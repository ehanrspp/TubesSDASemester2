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490" windowHeight="7515" activeTab="4"/>
  </bookViews>
  <sheets>
    <sheet name="Sheet1" sheetId="1" r:id="rId1"/>
    <sheet name="Sheet2" sheetId="2" r:id="rId2"/>
    <sheet name="Sheet3" sheetId="3" r:id="rId3"/>
    <sheet name="Sheet5" sheetId="5" r:id="rId4"/>
    <sheet name="Sheet6" sheetId="6" r:id="rId5"/>
  </sheets>
  <definedNames>
    <definedName name="_xlnm._FilterDatabase" localSheetId="3" hidden="1">Sheet5!$G$1:$H$9672</definedName>
    <definedName name="_xlnm._FilterDatabase" localSheetId="1" hidden="1">Sheet2!$A$1:$F$2405</definedName>
  </definedNames>
  <calcPr calcId="144525"/>
</workbook>
</file>

<file path=xl/sharedStrings.xml><?xml version="1.0" encoding="utf-8"?>
<sst xmlns="http://schemas.openxmlformats.org/spreadsheetml/2006/main" count="34280" uniqueCount="5544">
  <si>
    <t>Penyediaan Makanan tambahan (MT-Balita) pada Balita Gizi kurang spse 4.3</t>
  </si>
  <si>
    <t>Pemerintah Daerah Provinsi Kalimantan Barat</t>
  </si>
  <si>
    <t>Tender Sudah Selesai</t>
  </si>
  <si>
    <t>418,8 Jt</t>
  </si>
  <si>
    <t>Pengadaan Barang - TA 2019 - Tender Cepat - Pascakualifikasi Satu File Harga Terendah Sistem Gugur</t>
  </si>
  <si>
    <t>Nilai Kontrak : Nilai Kontrak belum dibuat</t>
  </si>
  <si>
    <t>Penyediaan Makanan Tambahan (MT-Bumil) pada Ibu Hamil kurang Energi Kronik (KEK) Tender Batal spse 4.3</t>
  </si>
  <si>
    <t>Tender Batal</t>
  </si>
  <si>
    <t>360,5 Jt</t>
  </si>
  <si>
    <t>Belanja Modal Pengadaan Alat-Alat Angkutan Darat Bermotor spse 4.3</t>
  </si>
  <si>
    <t>4 M</t>
  </si>
  <si>
    <t>Pengadaan Mesin Cetak spse 4.3</t>
  </si>
  <si>
    <t>349,8 Jt</t>
  </si>
  <si>
    <t>Nilai Kontrak : Rp. 323.400.000,00</t>
  </si>
  <si>
    <t>Belanja Modal Pengadaan AC/kipas angin spse 4.3</t>
  </si>
  <si>
    <t>236 Jt</t>
  </si>
  <si>
    <t>Pengadaan Barang - TA 2019 - Tender - Pascakualifikasi Satu File Harga Terendah Sistem Gugur</t>
  </si>
  <si>
    <t>Nilai Kontrak : Rp. 209.000.000,00</t>
  </si>
  <si>
    <t>Belanja Modal Pengadaan Alat-Alat Angkutan Darat Bermotor Tender Batal spse 4.3</t>
  </si>
  <si>
    <t>Peningkatan Badan Jalan Menggunakan LPC dan Gorong-Gorong serta Jembatan Dsn Sebetuk Bingaro Kec. Ngabang Kab. Landak Tender Ulang spse 4.3</t>
  </si>
  <si>
    <t>1,3 M</t>
  </si>
  <si>
    <t>Pekerjaan Konstruksi - TA 2019 - Tender - Pascakualifikasi Satu File Harga Terendah Sistem Gugur</t>
  </si>
  <si>
    <t>Pengadaan Mesin Cetak Tender Gagal spse 4.3</t>
  </si>
  <si>
    <t>Pembangunan Unit Sekolah Baru SMA Pangkalan Teluk Kec. Nanga Tayap spse 4.3</t>
  </si>
  <si>
    <t>899,6 Jt</t>
  </si>
  <si>
    <t>Renovasi Pendopo/Rumah Jabatan Gubernur Kalimantan Barat-- spse 4.3</t>
  </si>
  <si>
    <t>7 M</t>
  </si>
  <si>
    <t>PENINGKATAN JALAN AKSES VIP ROOM BANDARA SUPADIO spse 4.3</t>
  </si>
  <si>
    <t>3 M</t>
  </si>
  <si>
    <t>Nilai Kontrak : Rp. 2.520.741.954,00</t>
  </si>
  <si>
    <t>Belanja Modal Pengadaan AC/kipas angin Tender Batal spse 4.3</t>
  </si>
  <si>
    <t>Belanja Modal Pengadaan Peralatan Jaringan Komputer spse 4.3</t>
  </si>
  <si>
    <t>317,4 Jt</t>
  </si>
  <si>
    <t>Nilai Kontrak : Rp. 303.484.500,00</t>
  </si>
  <si>
    <t>Belanja modal Pengadaan mesin pompa air Tender Ulang spse 4.3</t>
  </si>
  <si>
    <t>240,4 Jt</t>
  </si>
  <si>
    <t>Nilai Kontrak : Rp. 230.593.000,00</t>
  </si>
  <si>
    <t>Belanja Modal Pengadaan Alat-alat Angkutan Darat Ambulans Tender Batal spse 4.3</t>
  </si>
  <si>
    <t>Penyediaan Makanan Tambahan (MT-Bumil) pada Ibu Hamil Kurang Energi Kronik (KEK) Tender Gagal Tender Ulang spse 4.3</t>
  </si>
  <si>
    <t>362,6 Jt</t>
  </si>
  <si>
    <t>Penyediaan Makanan tambahan (MT-Balita) pada Balita Gizi kurang Tender Gagal Tender Ulang spse 4.3</t>
  </si>
  <si>
    <t>Belanja Modal Pengadaan Karpet / Permadani spse 4.3</t>
  </si>
  <si>
    <t>301,3 Jt</t>
  </si>
  <si>
    <t>Nilai Kontrak : Rp. 280.813.500,00</t>
  </si>
  <si>
    <t>Peningkatan Badan Jalan Menggunakan LPC dan Gorong-Gorong serta Jembatan Dsn Sebetuk Bingaro Kec. Ngabang Kab. Landak Tender Gagal Tender Ulang spse 4.3</t>
  </si>
  <si>
    <t>Pembukaan Jalan Baru Desa Nanga Suhaid, Kecamatan Suhaid, Kabupaten Kapuas Hulu Tender Ulang spse 4.3</t>
  </si>
  <si>
    <t>720 Jt</t>
  </si>
  <si>
    <t>Jalan Lingkungan Jl. Pelita Desa Purun Besar Tender Gagal Tender Ulang spse 4.3</t>
  </si>
  <si>
    <t>495 Jt</t>
  </si>
  <si>
    <t>Jalan Lingkungan Jl. Amirudin Khatab Desa Nusapati Tender Gagal Tender Ulang spse 4.3</t>
  </si>
  <si>
    <t>Pembangunan dan Peningkatan RTNH spse 4.3</t>
  </si>
  <si>
    <t>275,5 Jt</t>
  </si>
  <si>
    <t>Revitalisasi PLTS Komunal 15 kWp Tender Gagal Tender Ulang spse 4.3</t>
  </si>
  <si>
    <t>1,6 M</t>
  </si>
  <si>
    <t>Jasa Lainnya - TA 2019 - Tender Cepat - Pascakualifikasi Satu File Harga Terendah Sistem Gugur</t>
  </si>
  <si>
    <t>Fasilitasi bantuan bibit durian dalam rangka pegembangan kawasan durian dan fasilitasi bantuan saprodi dalam rangaka pengembangan kawasan durian (80 Ha) di Kabupaten Sanggau spse 4.3</t>
  </si>
  <si>
    <t>798 Jt</t>
  </si>
  <si>
    <t>Nilai Kontrak : Rp. 786.434.800,00</t>
  </si>
  <si>
    <t>Fasilitasi bantuan sarana produksi lainnya untuk kawasan pisang (30 Ha) di kabupaten Kubu Raya, Fasilitasi bantuan sarana produksi lainnya untuk kawasan pisang (30 Ha) di Kabupaten Bengkayang dan Fasilitasi bantuan sarana produksi lainnya untuk kawasan pisang (30 Ha) di Kabupaten Mempawah Tender Ulang spse 4.3</t>
  </si>
  <si>
    <t>846 Jt</t>
  </si>
  <si>
    <t>Nilai Kontrak : Rp. 842.539.500,00</t>
  </si>
  <si>
    <t>Bantuan pupuk organik untuk kawasan cabai dan bantuan sarana produksi lainnya untuk kawasan cabai Tender Ulang spse 4.3</t>
  </si>
  <si>
    <t>2,7 M</t>
  </si>
  <si>
    <t>Nilai Kontrak : Rp. 2.605.237.000,00</t>
  </si>
  <si>
    <t>Belanja modal Pengadaan mesin pompa air Tender Gagal spse 4.3</t>
  </si>
  <si>
    <t>Penyediaan Makanan tambahan (MT-Balita) pada Balita Gizi kurang Tender Gagal spse 4.3</t>
  </si>
  <si>
    <t>Belanja Modal Peningkatan Gedung Kantor spse 4.3</t>
  </si>
  <si>
    <t>550 Jt</t>
  </si>
  <si>
    <t>Revitalisasi PLTS Komunal 15 kWp Tender Gagal spse 4.3</t>
  </si>
  <si>
    <t>Belanja Modal Pengadaan Meja Rapat spse 4.3</t>
  </si>
  <si>
    <t>345,6 Jt</t>
  </si>
  <si>
    <t>Pengadaan Pakan Ternak spse 4.3</t>
  </si>
  <si>
    <t>300,5 Jt</t>
  </si>
  <si>
    <t>ZONA 2 BANTUAN SAPRODI PADI BEBAS RESIDU (PUPUK ORGANIK, PUPUK HAYATI, PESTISIDA HAYATI) Tender Gagal Tender Ulang spse 4.3</t>
  </si>
  <si>
    <t>12,1 M</t>
  </si>
  <si>
    <t>Perencanaan Revitalisasi Gedung SMA Negeri 4 Seleksi Batal spse 4.3</t>
  </si>
  <si>
    <t>Seleksi Batal</t>
  </si>
  <si>
    <t>296,5 Jt</t>
  </si>
  <si>
    <t>Jasa Konsultansi Badan Usaha - TA 2019 - Seleksi - Prakualifikasi Dua File Kualitas dan Biaya</t>
  </si>
  <si>
    <t>Perencanaan Pagar RSUD Soedarso Seleksi Gagal spse 4.3</t>
  </si>
  <si>
    <t>197,6 Jt</t>
  </si>
  <si>
    <t>Perencanaan Pemb Pagar Gedung Museum Seleksi Gagal spse 4.3</t>
  </si>
  <si>
    <t>Perencanaan Pembangunan Gedung Pertemuan Dekranasda Provinsi Seleksi Batal spse 4.3</t>
  </si>
  <si>
    <t>241,1 Jt</t>
  </si>
  <si>
    <t>Perencanaan Pembangunan Gedung Arsip 3 Lantai Seleksi Batal spse 4.3</t>
  </si>
  <si>
    <t>325,6 Jt</t>
  </si>
  <si>
    <t>Perencanaan Pembangunan Gedung SMA Negeri 11 Pontianak Seleksi Batal spse 4.3</t>
  </si>
  <si>
    <t>Perencanaan Pembangunan Gedung Sertifikasi Tenaga Kerja spse 4.3</t>
  </si>
  <si>
    <t>Perencanaan Gedung Kantor Utama SPN di Singkawang Seleksi Batal spse 4.3</t>
  </si>
  <si>
    <t>299,3 Jt</t>
  </si>
  <si>
    <t>Jalan Lingkungan Jl. Garuda Desa Galang Tender Ulang spse 4.3</t>
  </si>
  <si>
    <t>406 Jt</t>
  </si>
  <si>
    <t>PAKET 3B, PERENCANAAN TEKNIS JEMBATAN RUAS JALAN SIMPANG SUNGAI GANTANG - TELOK BATU spse 4.3</t>
  </si>
  <si>
    <t>1,1 M</t>
  </si>
  <si>
    <t>PAKET 2B PERENCANAAN JEMBATAN SUNGAI KUBU BESAR spse 4.3</t>
  </si>
  <si>
    <t>499,9 Jt</t>
  </si>
  <si>
    <t>PAKET 1B, PERENCANAAN JALAN PONTIANAK - SEI. KAKAP spse 4.3</t>
  </si>
  <si>
    <t>1.000 Jt</t>
  </si>
  <si>
    <t>Bantuan pupuk anorganik untuk kawasan cabai spse 4.3</t>
  </si>
  <si>
    <t>Nilai Kontrak : Rp. 1.133.323.000,00</t>
  </si>
  <si>
    <t>Fasilitasi bantuan bibit jeruk (Ekstensifikasi) dan fasilitasi bantuan pupuk pabrikan untuk kawasan jeruk (200 Ha) (Ekstensifikasi) spse 4.3</t>
  </si>
  <si>
    <t>2,5 M</t>
  </si>
  <si>
    <t>Nilai Kontrak : Rp. 2.112.309.000,00</t>
  </si>
  <si>
    <t>Fasilitasi bantuan sarana produksi lainnya untuk kawasan jeruk (Intensifikasi) dan Fasilitasi bantuan pupuk pabrikan untuk kawasan jeruk (500 Ha) (Intensifikasi) spse 4.3</t>
  </si>
  <si>
    <t>Nilai Kontrak : Rp. 2.457.950.000,00</t>
  </si>
  <si>
    <t>Fasilitasi bantuan sarana produksi lainnya untuk kawasan pisang (30 Ha) di kabupaten Kubu Raya, Fasilitasi bantuan sarana produksi lainnya untuk kawasan pisang (30 Ha) di Kabupaten Bengkayang dan Fasilitasi bantuan sarana produksi lainnya untuk kawasan pisang (30 Ha) di Kabupaten Mempawah Tender Gagal spse 4.3</t>
  </si>
  <si>
    <t>Bantuan pupuk organik untuk kawasan bawang merah dengan umbi dan bantuan pupuk anorganik untuk kawasan bawang merah dengan umbi spse 4.3</t>
  </si>
  <si>
    <t>1,2 M</t>
  </si>
  <si>
    <t>Nilai Kontrak : Rp. 1.178.844.000,00</t>
  </si>
  <si>
    <t>Fasilitasi bantuan bibit durian dalam rangka pegembangan kawasan durian dan fasilitasi bantuan saprodi dalam rangaka pengembangan kawasan durian (80 Ha) di Kabupaten Sanggau Tender Batal spse 4.3</t>
  </si>
  <si>
    <t>Bantuan pupuk organik untuk kawasan cabai dan bantuan sarana produksi lainnya untuk kawasan cabai Tender Gagal spse 4.3</t>
  </si>
  <si>
    <t>Bantuan Sarana Produksi Sayuran di Kabupaten Sambas spse 4.3</t>
  </si>
  <si>
    <t>239,8 Jt</t>
  </si>
  <si>
    <t>Nilai Kontrak : Rp. 231.971.300,00</t>
  </si>
  <si>
    <t>Bantuan Benih Bawang Merah dengan Umbi (Kabupaten Bengkayang) spse 4.3</t>
  </si>
  <si>
    <t>220 Jt</t>
  </si>
  <si>
    <t>Nilai Kontrak : Rp. 217.210.000,00</t>
  </si>
  <si>
    <t>Bantuan Benih Bawang Putih Di Kabupaten Bengkayang spse 4.3</t>
  </si>
  <si>
    <t>Nilai Kontrak : Rp. 497.350.000,00</t>
  </si>
  <si>
    <t>Bantuan Benih Bawang Merah dengan Umbi (Kabupaten Kuburaya) spse 4.3</t>
  </si>
  <si>
    <t>275 Jt</t>
  </si>
  <si>
    <t>Nilai Kontrak : Rp. 271.512.500,00</t>
  </si>
  <si>
    <t>Bantuan Benih Bawang Merah dengan Umbi (Kabupaten Landak) spse 4.3</t>
  </si>
  <si>
    <t>Bantuan Benih Bawang Merah TSS spse 4.3</t>
  </si>
  <si>
    <t>752,4 Jt</t>
  </si>
  <si>
    <t>Nilai Kontrak : Rp. 749.360.000,00</t>
  </si>
  <si>
    <t>Pembukaan Jalan Baru Desa Nanga Suhaid, Kecamatan Suhaid, Kabupaten Kapuas Hulu Tender Gagal spse 4.3 Menyampaikan Penawaran Ulang</t>
  </si>
  <si>
    <t>Bangunan Jembatan Sungai Segak Sui. Segak RT.06 RW.02 Dudun Sui. Beliung Desa Sepakat Jaya Kec. Nanga Tayap Kab. Ketapang spse 4.3</t>
  </si>
  <si>
    <t>899,3 Jt</t>
  </si>
  <si>
    <t>Peningkatan Badan Jalan Menggunakan LPC dan Gorong-Gorong serta Jembatan Dsn Sebetuk Bingaro Kec. Ngabang Kab. Landak Tender Gagal spse 4.3 Menyampaikan Penawaran Ulang</t>
  </si>
  <si>
    <t>Bantuan Benih Bawang Merah dengan Umbi (Kabupaten Sanggau) spse 4.3</t>
  </si>
  <si>
    <t>Nilai Kontrak : Rp. 219.240.000,00</t>
  </si>
  <si>
    <t>Bantuan Benih Bawang Merah dengan Umbi (Kabupaten Sambas) spse 4.3</t>
  </si>
  <si>
    <t>Nilai Kontrak : Rp. 274.050.000,00</t>
  </si>
  <si>
    <t>Pengadaan N2 Cair spse 4.3</t>
  </si>
  <si>
    <t>446,3 Jt</t>
  </si>
  <si>
    <t>Obor Pangan Lestari (Sarana Vertikal Garden Hidroponik) spse 4.3</t>
  </si>
  <si>
    <t>300 Jt</t>
  </si>
  <si>
    <t>Nilai Kontrak : Rp. 285.674.400,00</t>
  </si>
  <si>
    <t>Jalan Lingkungan Jl. Prt. Lintang Bujur Desa Peniti Besar Tender Ulang spse 4.3</t>
  </si>
  <si>
    <t>660 Jt</t>
  </si>
  <si>
    <t>Bantuan Pupuk untuk Kawasan Bawang Merah TSS spse 4.3</t>
  </si>
  <si>
    <t>415,5 Jt</t>
  </si>
  <si>
    <t>Nilai Kontrak : Rp. 414.405.000,00</t>
  </si>
  <si>
    <t>Pembangunan SMAN Tebang Kacang Tender Gagal Tender Ulang spse 4.3</t>
  </si>
  <si>
    <t>2 M</t>
  </si>
  <si>
    <t>Konsultasi Pengawasan Konstruksi Pembuatan Sekat Kanal Seleksi Ulang spse 4.3</t>
  </si>
  <si>
    <t>327,8 Jt</t>
  </si>
  <si>
    <t>Pengadaan Meubelair Pendukung Pembelajaran Fakultas MIPA Universitas Tanjungpura spse 4.3</t>
  </si>
  <si>
    <t>Kementerian Riset, Teknologi, dan Pendidikan Tinggi</t>
  </si>
  <si>
    <t>420,2 Jt</t>
  </si>
  <si>
    <t>Nilai Kontrak : Rp. 377.080.000,00</t>
  </si>
  <si>
    <t>Jalan Lingkungan Jl. Penepat Kanan Sri Medan Tender Ulang spse 4.3</t>
  </si>
  <si>
    <t>Jalan Lingkungan Jl. Baiturahman Sui. Bemban Peniti Dalam Tender Ulang spse 4.3</t>
  </si>
  <si>
    <t>544 Jt</t>
  </si>
  <si>
    <t>Pengadaan Alat Laboratorium Fakultas Pertanian Universitas Tanjungpura Tender Batal spse 4.3</t>
  </si>
  <si>
    <t>508,9 Jt</t>
  </si>
  <si>
    <t>Pembuatan Sekat Kanal KHG Sungai Durian - Sungai Kualan (Desa Sungai Mata-Mata) spse 4.3</t>
  </si>
  <si>
    <t>254,5 Jt</t>
  </si>
  <si>
    <t>Pembuatan Sekat Kanal KHG Sungai Durian - Sungai Kualan (Desa Padu Banjar) spse 4.3</t>
  </si>
  <si>
    <t>Pembuatan Sekat Kanal KHG Sungai Melawi- Sungai Batunanta spse 4.3</t>
  </si>
  <si>
    <t>608,8 Jt</t>
  </si>
  <si>
    <t>Pembuatan Sekat Kanal KHG Sungai Pawan- Sungai Tolak spse 4.3</t>
  </si>
  <si>
    <t>907,5 Jt</t>
  </si>
  <si>
    <t>Pembuatan Sekat Kanal KHG Sungai Sambas Besar- Sungai Seiyung spse 4.3</t>
  </si>
  <si>
    <t>3,4 M</t>
  </si>
  <si>
    <t>Pembuatan Sekat Kanal KHG Sungai Mempawah- Sungai Peniti spse 4.3</t>
  </si>
  <si>
    <t>Pembuatan Sekat Kanal KHG Sungai Kapuas- Sungai Mandor spse 4.3</t>
  </si>
  <si>
    <t>1,8 M</t>
  </si>
  <si>
    <t>Pembuatan Sumur Bor KHG KHG Sungai Melawi - Sungai Batunanta (SBO-40-3) spse 4.3</t>
  </si>
  <si>
    <t>435,8 Jt</t>
  </si>
  <si>
    <t>Pembuatan Sumur Bor KHG KHG Sungai Pawan - Sungai Tolak (SBO-40-3) spse 4.3</t>
  </si>
  <si>
    <t>348,6 Jt</t>
  </si>
  <si>
    <t>Belanja modal Pengadaan Sarana dan Parasarana Pencegahan dan Penanggulangan KARHUTLA dan PAMHUT (DBHDR) - Pengadaan mesin pompa air Tender Ulang spse 4.3</t>
  </si>
  <si>
    <t>301,4 Jt</t>
  </si>
  <si>
    <t>Nilai Kontrak : Rp. 290.939.000,00</t>
  </si>
  <si>
    <t>Pembangunan Lanjutan Gedung Kuliah 2 Tahap III Fakultas Teknik Universitas Tanjungpura spse 4.3</t>
  </si>
  <si>
    <t>Pengadaan Alat-Alat Laboratorium Kesehatan spse 4.3</t>
  </si>
  <si>
    <t>Nilai Kontrak : Rp. 1.325.500.000,00</t>
  </si>
  <si>
    <t>Pembangunan Gedung Kantor Gubernur 6 Lantai tahap I Tender Ulang spse 4.3 Evaluasi Ulang</t>
  </si>
  <si>
    <t>19,2 M</t>
  </si>
  <si>
    <t>Belanja Modal Pengadaan Generator Tender Ulang spse 4.3</t>
  </si>
  <si>
    <t>342,4 Jt</t>
  </si>
  <si>
    <t>Renovasi Pendopo/Rumah Jabatan Gubernur Kalimantan Barat Tender Batal spse 4.3</t>
  </si>
  <si>
    <t>Belanja Jasa konsultasi Penelitian Penyusunan ROADMAP Pengembangan Potensi Ekraf spse 4.3</t>
  </si>
  <si>
    <t>259,9 Jt</t>
  </si>
  <si>
    <t>Belanja Pakaian Batik Tradisional. spse 4.3</t>
  </si>
  <si>
    <t>389,9 Jt</t>
  </si>
  <si>
    <t>Jasa Lainnya - TA 2019 - Tender - Pascakualifikasi Satu File Harga Terendah Sistem Gugur</t>
  </si>
  <si>
    <t>Pengawasan Pembangunan Gedung Barak SPN di Singkawang Seleksi Gagal spse 4.3</t>
  </si>
  <si>
    <t>151,1 Jt</t>
  </si>
  <si>
    <t>Pembangunan Gedung Barak SPN di Singkawang spse 4.3</t>
  </si>
  <si>
    <t>8 M</t>
  </si>
  <si>
    <t>PEMBANGUNAN JEMBATAN KOREK - PASAK spse 4.3</t>
  </si>
  <si>
    <t>10,4 M</t>
  </si>
  <si>
    <t>Nilai Kontrak : Rp. 10.264.250.000,00</t>
  </si>
  <si>
    <t>Penyediaan Makanan Tambahan (MT-Bumil) pada Ibu Hamil Kurang Energi Kronik (KEK) Tender Gagal spse 4.3</t>
  </si>
  <si>
    <t>Pengadaan Hewan Ternak / Bibit Ternak spse 4.3</t>
  </si>
  <si>
    <t>2,2 M</t>
  </si>
  <si>
    <t>Rehabilitasi / peningkatan mess / asrama putra bogor rahadi oesman Tender Ulang spse 4.3</t>
  </si>
  <si>
    <t>447,9 Jt</t>
  </si>
  <si>
    <t>Rehabilitasi / peningkatan mess / asrama mahasiswa rahadi oesman solo Tender Ulang spse 4.3</t>
  </si>
  <si>
    <t>447,2 Jt</t>
  </si>
  <si>
    <t>Pengawasan Renovasi Pendopo/Rumah Jabatan Gubernur Kalimantan Barat spse 4.3</t>
  </si>
  <si>
    <t>136,7 Jt</t>
  </si>
  <si>
    <t>Pengawasan Rehabilitasi Kantor Gubernur Eksisting Kalimantan Barat spse 4.3</t>
  </si>
  <si>
    <t>168,4 Jt</t>
  </si>
  <si>
    <t>Pengadaan Container spse 4.3</t>
  </si>
  <si>
    <t>446,2 Jt</t>
  </si>
  <si>
    <t>Peningkatan Jalan Lingkungan Jl. PPIP Desa Peniti Dalam Satu, Kec. Segedong Kab. Mempawah spse 4.3</t>
  </si>
  <si>
    <t>396 Jt</t>
  </si>
  <si>
    <t>Peningkatan Jalan Desa Sidas, Dusun Pak Gare – Dusun Sumiak spse 4.3</t>
  </si>
  <si>
    <t>1,5 M</t>
  </si>
  <si>
    <t>Renovasi Rumah Jabatan Wakil Gubernur Tender Ulang spse 4.3</t>
  </si>
  <si>
    <t>Peningkatan Badan Jalan Menggunakan LPC Jl. Redan Sidas Daya Kec. Ngabang Kab. Landak spse 4.3</t>
  </si>
  <si>
    <t>630 Jt</t>
  </si>
  <si>
    <t>Konsultasi Pengawasan Konstruksi Pembuatan Sekat Kanal Seleksi Gagal spse 4.3 Menyampaikan Penawaran Ulang</t>
  </si>
  <si>
    <t>Pembangunan Lanjutan Gedung Micro Teaching FKIP Universitas Tanjungpura (Tahap III) spse 4.3</t>
  </si>
  <si>
    <t>3,5 M</t>
  </si>
  <si>
    <t>Belanja modal Pengadaan Sarana dan Parasarana Pencegahan dan Penanggulangan KARHUTLA dan PAMHUT (DBHDR) - Pengadaan mesin pompa air Tender Gagal spse 4.3</t>
  </si>
  <si>
    <t>Pembangunan SMAN Tebang Kacang Tender Gagal spse 4.3</t>
  </si>
  <si>
    <t>Pembangunan Gedung Kantor Gubernur 6 Lantai tahap I Tender Gagal spse 4.3</t>
  </si>
  <si>
    <t>Pembuatan emblem emas Anggota DPRD Provinsi Kalbar Tender Ulang spse 4.3</t>
  </si>
  <si>
    <t>661,2 Jt</t>
  </si>
  <si>
    <t>Belanja Modal Pengadaan Generator spse 4.3</t>
  </si>
  <si>
    <t>593,3 Jt</t>
  </si>
  <si>
    <t>Nilai Kontrak : Rp. 592.000.000,00</t>
  </si>
  <si>
    <t>Pekerjaan Pembuatan Jalan Desa Tanjung Balai, Kecamatan Kuala Behe, Kab. Landak spse 4.3</t>
  </si>
  <si>
    <t>450 Jt</t>
  </si>
  <si>
    <t>Peningkatan Jalan Ruas Jalan Dusun Tumbang Raeng ke Dusun Meroboh Desa Tumbang Raeng, Kec. Jelimpo. Kab. Landak spse 4.3</t>
  </si>
  <si>
    <t>Belanja Modal Pengadaan Detektor Logam Tender Ulang spse 4.3</t>
  </si>
  <si>
    <t>Nilai Kontrak : Rp. 2.199.000.000,00</t>
  </si>
  <si>
    <t>ZONA 2 BANTUAN SAPRODI PADI BEBAS RESIDU (PUPUK ORGANIK, PUPUK HAYATI, PESTISIDA HAYATI) Tender Gagal spse 4.3</t>
  </si>
  <si>
    <t>ZONA 1 BANTUAN SAPRODI PADI BEBAS RESIDU (PUPUK ORGANIK, PUPUK HAYATI, PESTISIDA HAYATI) Tender Batal spse 4.3</t>
  </si>
  <si>
    <t>24,2 M</t>
  </si>
  <si>
    <t>Jalan Lingkungan Jl. Prt. Lintang Bujur Desa Peniti Besar Tender Gagal spse 4.3</t>
  </si>
  <si>
    <t>Jalan Lingkungan Jl. Amirudin Khatab Desa Nusapati Tender Gagal spse 4.3</t>
  </si>
  <si>
    <t>Jalan Lingkungan Jl. Baiturahman Sui. Bemban Peniti Dalam Tender Gagal spse 4.3</t>
  </si>
  <si>
    <t>Jalan Lingkungan Jl. Penepat Kanan Sri Medan Tender Gagal spse 4.3</t>
  </si>
  <si>
    <t>Jalan Lingkungan Jl. Garuda Desa Galang Tender Gagal spse 4.3</t>
  </si>
  <si>
    <t>Jalan Lingkungan Jl. Pelita Desa Purun Besar Tender Gagal spse 4.3</t>
  </si>
  <si>
    <t>Jalan Lingkungan Jl. Sungai Pandan Desa Wajok Hulu spse 4.3</t>
  </si>
  <si>
    <t>518 Jt</t>
  </si>
  <si>
    <t>Pemetaan Rantai Pasok Material Jasa Kontruksi Non Pabrik Seleksi Batal spse 4.3</t>
  </si>
  <si>
    <t>271,9 Jt</t>
  </si>
  <si>
    <t>Pengadaan Genset Fakultas Pertanian Universitas Tanjungpura spse 4.3</t>
  </si>
  <si>
    <t>519,8 Jt</t>
  </si>
  <si>
    <t>Peningkatan Jalan Dusun Ngarak Ke Dusun Air Merah, Kec. Mandor, Kab. Landak spse 4.3</t>
  </si>
  <si>
    <t>558 Jt</t>
  </si>
  <si>
    <t>Peningkatan Jalan Dusun Basopa-Dusun Sompak, Desa Pahokng, Kec. Mempawah Hulu, Kab. Landak spse 4.3</t>
  </si>
  <si>
    <t>Pembukaan Badan Jalan Dusun Jantaan-Desa Ongkol Padang, Kec. Menyuke, Kab. Landak spse 4.3</t>
  </si>
  <si>
    <t>Peningkatan Badan Jalan Menggunakan LPC Jl. Dsn Meramun - Amang, Desa Amang Kec. Ngabang Kab. Landak spse 4.3</t>
  </si>
  <si>
    <t>810 Jt</t>
  </si>
  <si>
    <t>Sarana Air Bersih (Perpipaan) Dusun Suka Ramai Desa Salatiga Kecamatan Mandor Kabupaten Landak spse 4.3</t>
  </si>
  <si>
    <t>455 Jt</t>
  </si>
  <si>
    <t>Rehabilitasi / peningkatan mess / asrama rahadi oesman malang spse 4.3</t>
  </si>
  <si>
    <t>897,4 Jt</t>
  </si>
  <si>
    <t>Rehabilitasi / peningkatan mess / asrama mahasiswa rahadi oesman solo Tender Gagal spse 4.3</t>
  </si>
  <si>
    <t>Rehabilitasi / peningkatan mess / asrama putra rahadi oesman yogyakarta spse 4.3</t>
  </si>
  <si>
    <t>447,7 Jt</t>
  </si>
  <si>
    <t>Rehabilitasi / peningkatan mess / asrama putra bogor rahadi oesman Tender Gagal spse 4.3</t>
  </si>
  <si>
    <t>Manajemen Konstruksi Pembangunan Gedung kantor Gubernur Kalimantan Barat Seleksi Ulang spse 4.3</t>
  </si>
  <si>
    <t>458,1 Jt</t>
  </si>
  <si>
    <t>Normalisasi Saluran/Sungai Dusun Bagan-Dusun Ladangan, Desa Amboyo Selatan, Kec. Ngabang, Kab. Landak spse 4.3</t>
  </si>
  <si>
    <t>448,5 Jt</t>
  </si>
  <si>
    <t>Nilai Kontrak : Rp. 403.696.732,00</t>
  </si>
  <si>
    <t>Pemeliharaan Saluran/Sungai Desa Teluk Bakung Kecamatan Ambawang Kabupaten Kubu Raya spse 4.3</t>
  </si>
  <si>
    <t>398,5 Jt</t>
  </si>
  <si>
    <t>Nilai Kontrak : Rp. 270.788.224,00</t>
  </si>
  <si>
    <t>Pemeliharaan Saluran/Sungai Desa Pancaroba Kecamatan Ambawang Kabupaten Kubu Raya spse 4.3</t>
  </si>
  <si>
    <t>Nilai Kontrak : Rp. 266.794.210,00</t>
  </si>
  <si>
    <t>Pemeliharaan Saluran/Sungai Desa Bengkarek Kecamatan Ambawang Kabupaten Kubu raya spse 4.3</t>
  </si>
  <si>
    <t>298,5 Jt</t>
  </si>
  <si>
    <t>Nilai Kontrak : Rp. 294.998.164,00</t>
  </si>
  <si>
    <t>PENGGANTIAN JEMBATAN SUNGAI TEBAS RUAS JALAN LINGKAR TEBAS spse 4.3</t>
  </si>
  <si>
    <t>4,2 M</t>
  </si>
  <si>
    <t>Nilai Kontrak : Rp. 4.031.721.000,00</t>
  </si>
  <si>
    <t>PEMBANGUNAN JEMBATAN RIAM DANAU spse 4.3</t>
  </si>
  <si>
    <t>12,2 M</t>
  </si>
  <si>
    <t>Nilai Kontrak : Rp. 11.575.270.000,00</t>
  </si>
  <si>
    <t>358,6 Jt</t>
  </si>
  <si>
    <t>PEMBANGUNAN JEMBATAN SUDARSO RUAS SEI. RAYA DALAM spse 4.3</t>
  </si>
  <si>
    <t>4,5 M</t>
  </si>
  <si>
    <t>Nilai Kontrak : Rp. 4.133.315.000,00</t>
  </si>
  <si>
    <t>Belanja Map Pengesahan / Perpanjangan Bea Balik Nama Mutasi Tender Ulang spse 4.3</t>
  </si>
  <si>
    <t>667,1 Jt</t>
  </si>
  <si>
    <t>Nilai Kontrak : Rp. 614.421.500,00</t>
  </si>
  <si>
    <t>Belanja Modal Pengadaan Detektor Logam Tender Gagal spse 4.3</t>
  </si>
  <si>
    <t>PENINGKATAN JALAN TEBIDAH - BUNYAU Tender Ulang spse 4.3</t>
  </si>
  <si>
    <t>9,4 M</t>
  </si>
  <si>
    <t>Nilai Kontrak : Rp. 8.616.162.000,00</t>
  </si>
  <si>
    <t>Pengkajian Kerusakan dan Rencana Penanganan Lanjutan Gedung Guest House Rumah Melayu Prov. Kalbar spse 4.3 Evaluasi Ulang</t>
  </si>
  <si>
    <t>498,3 Jt</t>
  </si>
  <si>
    <t>Review Design Perencanaan Pagar IPDN (Pagar + Saluran) spse 4.3 Evaluasi Ulang</t>
  </si>
  <si>
    <t>199,2 Jt</t>
  </si>
  <si>
    <t>Perencanaan Peningkatan Halaman Kantor Gubernur Seleksi Batal spse 4.3 Menyampaikan Penawaran Ulang</t>
  </si>
  <si>
    <t>135 Jt</t>
  </si>
  <si>
    <t>Jasa konsultansi penataan kawasan zona/blok pengelolaan Tahura Pandan Puloh spse 4.3</t>
  </si>
  <si>
    <t>170,5 Jt</t>
  </si>
  <si>
    <t>PENINGKATAN JALAN SIMPANG MEDANG - NANGA MAU Tender Ulang spse 4.3</t>
  </si>
  <si>
    <t>6,8 M</t>
  </si>
  <si>
    <t>Nilai Kontrak : Rp. 5.650.061.000,00</t>
  </si>
  <si>
    <t>PENGGANTIAN/PEMBANGUNAN JEMBATAN RAWAK KECIL CS Tender Ulang spse 4.3</t>
  </si>
  <si>
    <t>6 M</t>
  </si>
  <si>
    <t>Nilai Kontrak : Rp. 5.100.000.087,00</t>
  </si>
  <si>
    <t>Belanja jasa konsultasi Perencanaan Rehab Gedung Bulu Tangkis Seleksi Ulang spse 4.3</t>
  </si>
  <si>
    <t>244,9 Jt</t>
  </si>
  <si>
    <t>Belanja Modal Pengadaan Generator Tender Gagal spse 4.3</t>
  </si>
  <si>
    <t>Pembangunan Gedung SMA Kecil di Ng. Sokan- Kota baru spse 4.3</t>
  </si>
  <si>
    <t>PEMBANGUNAN TURAP BETON RUAS SEI. RAYA DALAM spse 4.3 Menyampaikan Penawaran Ulang</t>
  </si>
  <si>
    <t>10,1 M</t>
  </si>
  <si>
    <t>Nilai Kontrak : Rp. 9.551.160.000,00</t>
  </si>
  <si>
    <t>Renovasi Rumah Jabatan Wakil Gubernur Tender Gagal spse 4.3</t>
  </si>
  <si>
    <t>Revitalisasi PLTS Komunal 15 kWp di Kabupaten Landak Tender Gagal Tender Ulang spse 4.3</t>
  </si>
  <si>
    <t>Pengadaan konsumsi penyelenggaraan Pelatihan Dasar CPNS sebanyak 14 Angkatan Tender Ulang spse 4.3</t>
  </si>
  <si>
    <t>Nilai Kontrak : Rp. 1.756.277.000,00</t>
  </si>
  <si>
    <t>Pengadaan konsumsi penyelenggaraan Pelatihan Dasar CPNS sebanyak 14 Angkatan Tender Gagal Tender Ulang spse 4.3</t>
  </si>
  <si>
    <t>Belanja perlengkapan/peralatan Pelatihan Dasar CPNS Tender Ulang spse 4.3</t>
  </si>
  <si>
    <t>238,9 Jt</t>
  </si>
  <si>
    <t>Nilai Kontrak : Rp. 236.481.150,00</t>
  </si>
  <si>
    <t>Pengawasan Pembangunan Lanjutan Gedung Kuliah Prodi Seni Tari dan Musik Universitas Tanjungpura Seleksi Ulang spse 4.3</t>
  </si>
  <si>
    <t>189 Jt</t>
  </si>
  <si>
    <t>Jasa Konsultansi Badan Usaha - TA 2019 - Seleksi - Prakualifikasi Dua File Pagu Anggaran</t>
  </si>
  <si>
    <t>Pembangunan Lanjutan Gedung Kuliah Prodi Seni Tari dan Musik Universitas Tanjungpura spse 4.3</t>
  </si>
  <si>
    <t>7,8 M</t>
  </si>
  <si>
    <t>Pembangunan Gedung Asrama RSK/RSJ Singkawang spse 4.3</t>
  </si>
  <si>
    <t>Pengadaan Alat Musik Tradisional Tender Ulang spse 4.3</t>
  </si>
  <si>
    <t>Peningkatan Fasilitas Umum spse 4.3</t>
  </si>
  <si>
    <t>427,4 Jt</t>
  </si>
  <si>
    <t>Rehabilitasi GOR Pangsuma spse 4.3 Evaluasi Ulang</t>
  </si>
  <si>
    <t>Pembangunan Gedung RSUD Soedarso tahap I spse 4.3 Menyampaikan Penawaran Ulang</t>
  </si>
  <si>
    <t>37,8 M</t>
  </si>
  <si>
    <t>Pembangunan Gedung Kantor Dinas Perkebunan (lanjutan/Tahap VI) spse 4.3</t>
  </si>
  <si>
    <t>9,7 M</t>
  </si>
  <si>
    <t>Pembangunan Gedung Ditreskrimsus Polda Tahap II spse 4.3</t>
  </si>
  <si>
    <t>7,4 M</t>
  </si>
  <si>
    <t>PENGGANTIAN/PEMBANGUNAN JEMBATAN RAWAK KECIL CS Tender Gagal spse 4.3</t>
  </si>
  <si>
    <t>Pengadaan Alat Musik Tradisional Tender Gagal Tender Ulang spse 4.3</t>
  </si>
  <si>
    <t>Pengadaan konsumsi penyelenggaraan Pelatihan Dasar CPNS sebanyak 14 Angkatan Tender Gagal spse 4.3</t>
  </si>
  <si>
    <t>Belanja Pakaian Khusus Pelatihan dasar CPNS spse 4.3</t>
  </si>
  <si>
    <t>349,2 Jt</t>
  </si>
  <si>
    <t>Nilai Kontrak : Rp. 250.260.000,00</t>
  </si>
  <si>
    <t>Revitalisasi PLTS Komunal 15 kWp di Kabupaten Landak Tender Gagal spse 4.3</t>
  </si>
  <si>
    <t>Belanja perlengkapan/peralatan Pelatihan Dasar CPNS Tender Gagal spse 4.3</t>
  </si>
  <si>
    <t>Pengadaan Alat Musik Tradisional Tender Gagal spse 4.3</t>
  </si>
  <si>
    <t>Pengadaan Barang-barang Seni Budaya spse 4.3</t>
  </si>
  <si>
    <t>Pengadaan sarana PJOK SMA (DAK) spse 4.3</t>
  </si>
  <si>
    <t>839,7 Jt</t>
  </si>
  <si>
    <t>Pengadaan Generator spse 4.3</t>
  </si>
  <si>
    <t>546,7 Jt</t>
  </si>
  <si>
    <t>Pengadaan peralatan/perlengkapan rumah tangga (Peralatan Kitchen Set) spse 4.3</t>
  </si>
  <si>
    <t>912 Jt</t>
  </si>
  <si>
    <t>Nilai Kontrak : Rp. 904.780.000,00</t>
  </si>
  <si>
    <t>Pengadaan dan Pemasangan Alat Pemberi Isyarat Lalu Lintas (APILL) di Jalan Adi Sucipto spse 4.3</t>
  </si>
  <si>
    <t>424,3 Jt</t>
  </si>
  <si>
    <t>Pengawasan Pembangunan Lanjutan Gedung Kuliah Prodi Seni Tari dan Musik Universitas Tanjungpura Seleksi Gagal Seleksi Ulang spse 4.3</t>
  </si>
  <si>
    <t>Pengawasan Pembangunan Lanjutan Gedung Kuliah Prodi Seni Tari dan Musik Universitas Tanjungpura Seleksi Gagal spse 4.3</t>
  </si>
  <si>
    <t>Rehabilitasi/Peningkatan Pagar Kantor spse 4.3</t>
  </si>
  <si>
    <t>250 Jt</t>
  </si>
  <si>
    <t>Nilai Kontrak : Rp. 200.186.842,00</t>
  </si>
  <si>
    <t>Pengadaan Pakaian Dinas IPDN Kampus Kalimantan Barat spse 4.3</t>
  </si>
  <si>
    <t>Kementerian Dalam Negeri</t>
  </si>
  <si>
    <t>365,4 Jt</t>
  </si>
  <si>
    <t>Pembuatan emblem emas Anggota DPRD Provinsi Kalbar Tender Gagal spse 4.3</t>
  </si>
  <si>
    <t>260,6 Jt</t>
  </si>
  <si>
    <t>BIaya Kontruksi Fisik spse 4.3</t>
  </si>
  <si>
    <t>2,3 M</t>
  </si>
  <si>
    <t>Pengadaan Benih Karet Dalam Polybag Siap Tanam untuk Kegiatan Peremajaan Tanaman Karet di Kabupaten Sekadau seluas 100 Hektar Tender Ulang spse 4.3</t>
  </si>
  <si>
    <t>Nilai Kontrak : Rp. 494.500.000,00</t>
  </si>
  <si>
    <t>Belanja Modal Pengadaan Konstruksi Pembangunan Kantor Resort Pengelolaan Hutan UPT KPH Wilayah Kapuas Hulu Utara spse 4.3</t>
  </si>
  <si>
    <t>475 Jt</t>
  </si>
  <si>
    <t>Belanja Modal Peningkatan Mess / Asrama spse 4.3</t>
  </si>
  <si>
    <t>483,6 Jt</t>
  </si>
  <si>
    <t>Pembangunan Gedung Kantor RPH Bunut Hilir spse 4.3</t>
  </si>
  <si>
    <t>474,9 Jt</t>
  </si>
  <si>
    <t>Pembangunan Gedung Kantor RPH Seberuang Tender Batal spse 4.3 Menyampaikan Penawaran Ulang</t>
  </si>
  <si>
    <t>Pembangunan gedung kantor Tender Batal spse 4.3</t>
  </si>
  <si>
    <t>Pembangunan Gedung Kantor RPH Kalis spse 4.3 Menyampaikan Penawaran Ulang</t>
  </si>
  <si>
    <t>PENINGKATAN / PELEBARAN STRUKTUR JALAN SIDUK - SUKADANA Tender Ulang spse 4.3</t>
  </si>
  <si>
    <t>Nilai Kontrak : Rp. 9.104.456.000,00</t>
  </si>
  <si>
    <t>Pembangunan gedung kantor spse 4.3</t>
  </si>
  <si>
    <t>Nilai Kontrak : Rp. 465.546.323,00</t>
  </si>
  <si>
    <t>Belanja modal Pengadaan alat-alat laboratorium peternakan (DAK) spse 4.3</t>
  </si>
  <si>
    <t>Pembangunan Gedung Khusus (Workshop Kemasan) spse 4.3</t>
  </si>
  <si>
    <t>367,5 Jt</t>
  </si>
  <si>
    <t>Nilai Kontrak : Rp. 347.395.515,00</t>
  </si>
  <si>
    <t>Belanja jasa konsultasi Perencanaan Rehab Gedung Bulu Tangkis Seleksi Gagal spse 4.3</t>
  </si>
  <si>
    <t>Belanja Jasa Konsultasi Penelitian Pembuatan Neraca Satelit Pariwisata Daerah Kalbar spse 4.3 Evaluasi Ulang</t>
  </si>
  <si>
    <t>833 Jt</t>
  </si>
  <si>
    <t>Belanja modal Pengadaan konstruksi/pembelian gedung kantor Tender Batal spse 4.3</t>
  </si>
  <si>
    <t>Pembangunan Gedung Rehabilitasi NAPZA spse 4.3</t>
  </si>
  <si>
    <t>4,7 M</t>
  </si>
  <si>
    <t>Nilai Kontrak : Rp. 4.595.049.000,00</t>
  </si>
  <si>
    <t>Pembangunan Gedung IPSRS spse 4.3</t>
  </si>
  <si>
    <t>711,5 Jt</t>
  </si>
  <si>
    <t>Pembangunan Gedung Instalasi Gizi spse 4.3</t>
  </si>
  <si>
    <t>1,4 M</t>
  </si>
  <si>
    <t>Pembangunan Gedung Loundry spse 4.3</t>
  </si>
  <si>
    <t>Pembangunan Gedung Rawat Inap spse 4.3</t>
  </si>
  <si>
    <t>Belanja modal pembangunan gedung rawat inap (Bangsal Psikogeriatri) spse 4.3</t>
  </si>
  <si>
    <t>3,1 M</t>
  </si>
  <si>
    <t>Pembangunan gedung kantor Resort UPT KPH Wilayah Landak spse 4.3</t>
  </si>
  <si>
    <t>Belanja Modal Pengadaan Buku/Kepustakaan (DAK) spse 4.3</t>
  </si>
  <si>
    <t>222,7 Jt</t>
  </si>
  <si>
    <t>Penyusunan Master Plan Pembangunan Dermaga Penyeberangan Parit Raja Kab. Sambas Seleksi Ulang spse 4.3</t>
  </si>
  <si>
    <t>322,9 Jt</t>
  </si>
  <si>
    <t>Penyusunan Master Plan Pembangunan Dermaga Penyeberangan Sejangkung Kab. Sambas Seleksi Ulang spse 4.3</t>
  </si>
  <si>
    <t>Belanja modal pengadaan konstruksi/pembelian rumah dinas/mess/asrama Tender Ulang spse 4.3</t>
  </si>
  <si>
    <t>600 Jt</t>
  </si>
  <si>
    <t>Pekerjaan Konstruksi - TA 2019 - Seleksi - Pascakualifikasi Satu File Harga Terendah Sistem Gugur</t>
  </si>
  <si>
    <t>Nilai Kontrak : Rp. 479.994.335,00</t>
  </si>
  <si>
    <t>Renovasi/Rehabilitasi Gedung laboratroium Kesmas Tender Ulang spse 4.3</t>
  </si>
  <si>
    <t>853,8 Jt</t>
  </si>
  <si>
    <t>Nilai Kontrak : Rp. 793.001.475,00</t>
  </si>
  <si>
    <t>Penyusunan Kajian UKL - UPL Pembangunan Dermaga Penyeberangan Belitang Kab. Sekadau Seleksi Ulang spse 4.3</t>
  </si>
  <si>
    <t>223,9 Jt</t>
  </si>
  <si>
    <t>Penyusunan Kajian UKL-UPL Pembangunan Dermaga Penyeberangan Sepauk Kab. Sekadau Seleksi Ulang spse 4.3</t>
  </si>
  <si>
    <t>Penyusunan Kajian UKL-UPL Pembangunan Dermaga Sungai di Desa Gudang Hulu Kec. Selimbau Kab. Hulu Seleksi Ulang spse 4.3</t>
  </si>
  <si>
    <t>223,5 Jt</t>
  </si>
  <si>
    <t>Penyusunan Kajian UKL - UPL Pembangunan Dermaga Sungai di Desa Sungai Mayam Kec. Meliau Kab. Sanggau Seleksi Ulang spse 4.3 Evaluasi Ulang</t>
  </si>
  <si>
    <t>224,1 Jt</t>
  </si>
  <si>
    <t>Penyusunan Kajian UKL - UPL Pembangunan Dermaga Sungai di Desa Sumber Agung Kecamatan Batu Ampar Kab. Kubu Raya Seleksi Ulang spse 4.3</t>
  </si>
  <si>
    <t>224,3 Jt</t>
  </si>
  <si>
    <t>Pembangunan Pagar Area lahan Lingkungan Kantor Sisi Kanan spse 4.3</t>
  </si>
  <si>
    <t>Pembangunan Gedung Kantor Resort Pengelolaan Hutan Lumar UPT KPH Wilayah Bengkayang spse 4.3 Menyampaikan Penawaran Ulang</t>
  </si>
  <si>
    <t>Nilai Kontrak : Rp. 468.636.966,00</t>
  </si>
  <si>
    <t>Belanja Modal Pengadaan Konstruksi/Pembelian Gedung Kantor (Instalasi Farmasi) spse 4.3</t>
  </si>
  <si>
    <t>7,2 M</t>
  </si>
  <si>
    <t>Pembangunan Saluran Air spse 4.3</t>
  </si>
  <si>
    <t>364,6 Jt</t>
  </si>
  <si>
    <t>Nilai Kontrak : Rp. 352.428.900,00</t>
  </si>
  <si>
    <t>Belanja Modal Pengadaan Konstruksi/Pembelian Gedung Kantor (Instalasi Laboratorium) spse 4.3</t>
  </si>
  <si>
    <t>9,2 M</t>
  </si>
  <si>
    <t>Manajemen Konstruksi Pembangunan Gedung kantor Gubernur Kalimantan Barat Seleksi Gagal spse 4.3</t>
  </si>
  <si>
    <t>Pelaksanaan Perkuatan Tebing ( Turap Beton ) Ds. Suka Baru Kec. Benua Kayong Kab. Ketapang spse 4.3</t>
  </si>
  <si>
    <t>728,7 Jt</t>
  </si>
  <si>
    <t>Pelaksanaan Perkuatan Tebing Sungai Mendalam Desa Paduan Mendalam Kab. Kapuas Hulu spse 4.3</t>
  </si>
  <si>
    <t>2,1 M</t>
  </si>
  <si>
    <t>Pengamanan Abrasi Pantai Desa Suka Baru Kab. Ketapang spse 4.3</t>
  </si>
  <si>
    <t>Pembangunan Sarana Air Baku Pulau Maya Kab. Kayong Utara spse 4.3</t>
  </si>
  <si>
    <t>563,9 Jt</t>
  </si>
  <si>
    <t>Belanja modal pembangunan gedung rawat inap (Bangsal Psikogeriatri) Tender Gagal Tender Ulang spse 4.3</t>
  </si>
  <si>
    <t>Pengadaan Pupuk Organik Pabrikan (Rehabilitasi Tanaman Lada) spse 4.3</t>
  </si>
  <si>
    <t>638,9 Jt</t>
  </si>
  <si>
    <t>Nilai Kontrak : Rp. 636.768.000,00</t>
  </si>
  <si>
    <t>Pengadaan Pupuk NPK dan Herbisida untuk Kegiatan Peremajaan Tanaman Karet spse 4.3</t>
  </si>
  <si>
    <t>663,9 Jt</t>
  </si>
  <si>
    <t>Nilai Kontrak : Rp. 661.089.000,00</t>
  </si>
  <si>
    <t>Belanja Map Pengesahan / Perpanjangan Bea Balik Nama Mutasi Tender Gagal spse 4.3</t>
  </si>
  <si>
    <t>Pembangunan gedung kantor Tender Ulang spse 4.3</t>
  </si>
  <si>
    <t>Pembangunan gedung kantor resort UPT KPH Wilayah Kayong Tender Ulang spse 4.3 Menyampaikan Penawaran Ulang</t>
  </si>
  <si>
    <t>Belanja Plastik Surat Ketetapan Pajak Daerah spse 4.3 Menyampaikan Penawaran Ulang</t>
  </si>
  <si>
    <t>Nilai Kontrak : Rp. 382.800.000,00</t>
  </si>
  <si>
    <t>Pembangunan Jalan Kantor UPT-PPD Wilayah II spse 4.3</t>
  </si>
  <si>
    <t>473,6 Jt</t>
  </si>
  <si>
    <t>Pengadaan Obat - Obatan Tender Ulang spse 4.3</t>
  </si>
  <si>
    <t>399,5 Jt</t>
  </si>
  <si>
    <t>Belanja Pakaian Dinas Harian (PDH) Tender Batal spse 4.3</t>
  </si>
  <si>
    <t>590,2 Jt</t>
  </si>
  <si>
    <t>Penggantian Atap Kantor BPKPD Provinsi Kalimantan Barat spse 4.3</t>
  </si>
  <si>
    <t>350 Jt</t>
  </si>
  <si>
    <t>Belanja Modal Pengadaan Konstruksi Gedung Tempat Ibadah spse 4.3</t>
  </si>
  <si>
    <t>Nilai Kontrak : Rp. 1.047.766.138,00</t>
  </si>
  <si>
    <t>Pengadaan Pakaian dinas / kerja dan perlengkapannya spse 4.3</t>
  </si>
  <si>
    <t>1,9 M</t>
  </si>
  <si>
    <t>Pembangunan Gedung Kantor Resort Pengelolaan Hutan Sokan spse 4.3</t>
  </si>
  <si>
    <t>Pembangunan Shading Net spse 4.3</t>
  </si>
  <si>
    <t>505,3 Jt</t>
  </si>
  <si>
    <t>Nilai Kontrak : Rp. 485.838.250,00</t>
  </si>
  <si>
    <t>Penyusunan Rencana Pengelolaan Zonasi Kawasan Konservasi Seleksi Ulang spse 4.3</t>
  </si>
  <si>
    <t>199,3 Jt</t>
  </si>
  <si>
    <t>Pembangunan gedung kantor Tender Gagal spse 4.3</t>
  </si>
  <si>
    <t>Rehabilitasi/Peningkatan Gedung Kantor UPSBP Provinsi Kalimantan Barat spse 4.3</t>
  </si>
  <si>
    <t>504,5 Jt</t>
  </si>
  <si>
    <t>Nilai Kontrak : Rp. 492.288.000,00</t>
  </si>
  <si>
    <t>Pengadaan Obat - Obatan Tender Gagal spse 4.3</t>
  </si>
  <si>
    <t>Belanja modal pengadaan konstruksi pembanguanan jalan cor beton rabat blok kebun buah Tender Ulang spse 4.3</t>
  </si>
  <si>
    <t>Nilai Kontrak : Rp. 1.297.719.020,00</t>
  </si>
  <si>
    <t>pengadaan pemasangan batu kali tebing waduk penampungan air Tender Ulang spse 4.3</t>
  </si>
  <si>
    <t>Nilai Kontrak : Rp. 1.189.956.106,00</t>
  </si>
  <si>
    <t>PEMELIHARAAN BERKALA JEMBATAN PROVINSI TERSEBAR spse 4.3</t>
  </si>
  <si>
    <t>Nilai Kontrak : Rp. 1.209.676.000,00</t>
  </si>
  <si>
    <t>Belanja Modal Perangkat Command Centre spse 4.3</t>
  </si>
  <si>
    <t>Pembangunan gedung kantor resort UPT KPH Wilayah Kayong Tender Gagal spse 4.3</t>
  </si>
  <si>
    <t>pengadaan pemasangan batu kali tebing waduk penampungan air Tender Gagal spse 4.3</t>
  </si>
  <si>
    <t>Belanja modal pengadaan konstruksi pembanguanan jalan cor beton rabat blok kebun buah Tender Gagal spse 4.3</t>
  </si>
  <si>
    <t>Penataan Halaman Gedung VIP Bandara (lanjutan/Taman/Tahap IV) spse 4.3</t>
  </si>
  <si>
    <t>Belanja Modal Konsultansi Pengawasan Gedung Instalasi Laboratorium spse 4.3</t>
  </si>
  <si>
    <t>353,4 Jt</t>
  </si>
  <si>
    <t>Belanja Modal Konsultansi Pengawasan Gedung Instalasi Farmasi spse 4.3</t>
  </si>
  <si>
    <t>Pembangunan Gedung Kantor Dinas Perkebunan (lanjutan/Tahap VI) Tender Batal spse 4.3</t>
  </si>
  <si>
    <t>Pengadaan Pakan untuk Budidaya Air Payau spse 4.3 Menyampaikan Penawaran Ulang</t>
  </si>
  <si>
    <t>675,7 Jt</t>
  </si>
  <si>
    <t>Nilai Kontrak : Rp. 630.513.700,00</t>
  </si>
  <si>
    <t>Rehabilitasi Jembatan Dagan Lari Desa Pesaguan Kanan Kec. Matan Hilir Selatan Kab. Ketapang spse 4.3</t>
  </si>
  <si>
    <t>899,9 Jt</t>
  </si>
  <si>
    <t>Nilai Kontrak : Rp. 799.429.515,00</t>
  </si>
  <si>
    <t>Belanja perlengkapan/peralatan rumah tangga Tender Ulang spse 4.3</t>
  </si>
  <si>
    <t>332,4 Jt</t>
  </si>
  <si>
    <t>Pengadaan Benih Karet Dalam Polybag Siap Tanam untuk Kegiatan Peremajaan Tanaman Karet di Kabupaten Sekadau seluas 100 Hektar Tender Gagal spse 4.3</t>
  </si>
  <si>
    <t>Pengadaan Benih Karet Dalam Polybag Siap Tanam untuk Kegiatan Peremajaan Tanaman Karet di Kabupaten Bengkayang seluas 300 Hektar spse 4.3</t>
  </si>
  <si>
    <t>Nilai Kontrak : Rp. 1.480.500.000,00</t>
  </si>
  <si>
    <t>Penyusunan Feasibility Study Pembangunan Pelabuhan Laut di Buntar Kab. Ketapang spse 4.3</t>
  </si>
  <si>
    <t>322,3 Jt</t>
  </si>
  <si>
    <t>Penyusunan Feasibility Study Pembangunan Pelabuhan Penyeberangan Lintasan Perigi Kiri - Perigi Kanan Kab. Kapuas Hulu spse 4.3</t>
  </si>
  <si>
    <t>371,7 Jt</t>
  </si>
  <si>
    <t>Penyusunan Feasibility Study Pembangunan Pelabuhan Penyeberangan Lintasan Kendawangan Kota - Kendawangan Kanan Kab. Ketapang spse 4.3</t>
  </si>
  <si>
    <t>372,3 Jt</t>
  </si>
  <si>
    <t>Penyusunan Feasibility Study Pembangunan Pelabuhan Penyeberangan Lintasan Kelang - Padang Tikar Kab. Kubu Raya spse 4.3</t>
  </si>
  <si>
    <t>374,3 Jt</t>
  </si>
  <si>
    <t>Penyusunan Feasibility Study Pembangunan Pelabuhan Penyeberangan Lintasan Tanjung Harapan - Sukamaju Kab. Kubu Raya spse 4.3 Evaluasi Ulang</t>
  </si>
  <si>
    <t>Study Identifikasi Desain Potensi Air Baku Kabupaten Kayong Utara Seleksi Ulang spse 4.3</t>
  </si>
  <si>
    <t>Pengadaan Benih Karet Siap Tanam (Kegiatan Pengembangan Kebun Karet Rakyat di Kabupaten Melawi),Pengadaan Benih Karet Siap Tanam (Kegiatan Pengembangan Kebun Karet Rakyat di Kabupaten Melawi, Sintang dan Mempawah),Pengadaan Benih Karet Opas Siap Tanam (Kegiatan Pengembangan Kebun Karet Rakyat di Kabupaten Melawi, Sintang dan Mempawah) Tender Ulang spse 4.3</t>
  </si>
  <si>
    <t>489,5 Jt</t>
  </si>
  <si>
    <t>Belanja Modal Peningkatan Gedung Khusus / Bangunan Khusus / Konstruksi Khusus - Peningkatan Laboratorium PHP (DAK) spse 4.3</t>
  </si>
  <si>
    <t>Penyusunan Master Plan Pembangunan Dermaga Penyeberangan Sejangkung Kab. Sambas Seleksi Gagal spse 4.3</t>
  </si>
  <si>
    <t>Penyusunan Master Plan Pembangunan Dermaga Penyeberangan Parit Raja Kab. Sambas Seleksi Gagal spse 4.3</t>
  </si>
  <si>
    <t>Penyusunan Kajian UKL - UPL Pembangunan Dermaga Sungai di Desa Sumber Agung Kecamatan Batu Ampar Kab. Kubu Raya Seleksi Gagal spse 4.3</t>
  </si>
  <si>
    <t>Penyusunan Kajian UKL - UPL Pembangunan Dermaga Sungai di Desa Sungai Mayam Kec. Meliau Kab. Sanggau Seleksi Gagal spse 4.3</t>
  </si>
  <si>
    <t>Penyusunan Kajian UKL-UPL Pembangunan Dermaga Sungai di Desa Gudang Hulu Kec. Selimbau Kab. Hulu Seleksi Gagal spse 4.3</t>
  </si>
  <si>
    <t>Penyusunan Kajian UKL-UPL Pembangunan Dermaga Penyeberangan Sepauk Kab. Sekadau Seleksi Gagal spse 4.3</t>
  </si>
  <si>
    <t>Penyusunan Kajian UKL - UPL Pembangunan Dermaga Penyeberangan Belitang Kab. Sekadau Seleksi Gagal spse 4.3</t>
  </si>
  <si>
    <t>Pembangunan Dermaga di PPI Selakau Sambas (DAK) Tender Ulang spse 4.3</t>
  </si>
  <si>
    <t>4,4 M</t>
  </si>
  <si>
    <t>Nilai Kontrak : Rp. 3.505.700.000,00</t>
  </si>
  <si>
    <t>Rehabilitasi GOR Pangsuma Tender Batal spse 4.3</t>
  </si>
  <si>
    <t>Pengawasan Pembangunan Gedung Ditreskrimsus Polda Tahap II spse 4.3</t>
  </si>
  <si>
    <t>Belanja modal pembangunan gedung rawat inap (Bangsal Psikogeriatri) Tender Gagal spse 4.3</t>
  </si>
  <si>
    <t>Belanja modal pengadaan konstruksi/pembelian rumah dinas/mess/asrama Tender Gagal spse 4.3</t>
  </si>
  <si>
    <t>KEGIATAN PENINGKATAN JALAN DALAM KOTA PONTIANAK CS spse 4.3 Evaluasi Ulang</t>
  </si>
  <si>
    <t>23,4 M</t>
  </si>
  <si>
    <t>Nilai Kontrak : Rp. 22.400.121.000,00</t>
  </si>
  <si>
    <t>Belanja modal pembangunan gedung instalasi farmasi spse 4.3</t>
  </si>
  <si>
    <t>Belanja perlengkapan/peralatan rumah tangga Tender Gagal spse 4.3</t>
  </si>
  <si>
    <t>Inventarisasi dan Penyusunan Database Pengembangan Kinerja Air Minum spse 4.3</t>
  </si>
  <si>
    <t>409,5 Jt</t>
  </si>
  <si>
    <t>Inventarisasi dan Penyusunan Database Pengembangan Penyehatan Lingkungan spse 4.3</t>
  </si>
  <si>
    <t>399,9 Jt</t>
  </si>
  <si>
    <t>Belanja modal pengadaan alat-alat laboratorium fisika/geologi/geodesi spse 4.3</t>
  </si>
  <si>
    <t>457,6 Jt</t>
  </si>
  <si>
    <t>Nilai Kontrak : Rp. 455.050.700,00</t>
  </si>
  <si>
    <t>Renovasi/Rehabilitasi Gedung laboratroium Kesmas Tender Gagal spse 4.3</t>
  </si>
  <si>
    <t>Perencanaan Studi Gedung Kantor Gubernur Kapuas Raya (DED, Masterplan, dan FS) Seleksi Ulang spse 4.3</t>
  </si>
  <si>
    <t>998,1 Jt</t>
  </si>
  <si>
    <t>Perencanaan Studi Gedung Kantor DPRD Kapuas Raya (DED, Masterplan, dan FS) Seleksi Ulang spse 4.3</t>
  </si>
  <si>
    <t>Pengadaan Konsumsi Atlet Pusat Pendidikan dan latihan Olahraga Pelajar (PPLP) spse 4.3</t>
  </si>
  <si>
    <t>593,6 Jt</t>
  </si>
  <si>
    <t>PAKET 30, PENGAWASAN TEKNIS PEMBANGUNAN JEMBATAN DAN TURAP BETON DI RUAS JALAN SEI. RAYA DALAM (SUDARSO) spse 4.3</t>
  </si>
  <si>
    <t>469,7 Jt</t>
  </si>
  <si>
    <t>PAKET 27, PENGAWASAN TEKNIS PEMBANGUNAN JEMBATAN RIAM DANAU spse 4.3</t>
  </si>
  <si>
    <t>494,2 Jt</t>
  </si>
  <si>
    <t>PAKET 26, PENGAWASAN TEKNIS PENGGANTIAN JEMBATAN SUNGAI TEBAS RUAS JALAN LINGKAR TEBAS spse 4.3</t>
  </si>
  <si>
    <t>PAKET 23, PENGAWASAN TEKNIS PEMBANGUNAN JEMBATAN DESA KOREK - PASAK spse 4.3</t>
  </si>
  <si>
    <t>430,9 Jt</t>
  </si>
  <si>
    <t>PAKET 15, PENGAWASAN TEKNIS PENGGANTIAN/ PEMBANGUNAN JEMBATAN RAWAK KECIL CS spse 4.3</t>
  </si>
  <si>
    <t>475,6 Jt</t>
  </si>
  <si>
    <t>Pembangunan Gedung Kantor Resort Pengelolaan Hutan UPT KPH Wilayah Bengkayang spse 4.3</t>
  </si>
  <si>
    <t>474,4 Jt</t>
  </si>
  <si>
    <t>Penyediaan Bahan Makanan dan Minuman harian siswa SPP-SPMA spse 4.3</t>
  </si>
  <si>
    <t>Pengadaan dan Pemasangan Perlengkapan Jalan di Ruas Jalan Ketapang-Kendawangan spse 4.3</t>
  </si>
  <si>
    <t>815 Jt</t>
  </si>
  <si>
    <t>PENINGKATAN JALAN PASAR SEGEDONG Cs spse 4.3</t>
  </si>
  <si>
    <t>11 M</t>
  </si>
  <si>
    <t>Nilai Kontrak : Rp. 10.090.450.000,00</t>
  </si>
  <si>
    <t>PEMBANGUNAN JALAN PENIRAMAN - PURUN KECIL Cs spse 4.3 Evaluasi Ulang</t>
  </si>
  <si>
    <t>Nilai Kontrak : Rp. 8.742.324.000,00</t>
  </si>
  <si>
    <t>Pengadaan Benih Lada Siap Tanam (Rehabilitasi Tanaman Lada) spse 4.3</t>
  </si>
  <si>
    <t>Nilai Kontrak : Rp. 1.917.600.000,00</t>
  </si>
  <si>
    <t>Belanja Modal Peningkatan Interior Gedung Pertemuan / Aula Kantor Gubernur Kalimantan Barat spse 4.3</t>
  </si>
  <si>
    <t>Belanja modal pengadaan tempat tidur Tender Ulang spse 4.3</t>
  </si>
  <si>
    <t>278,3 Jt</t>
  </si>
  <si>
    <t>Nilai Kontrak : Rp. 233.640.000,00</t>
  </si>
  <si>
    <t>PENINGKATAN JALAN H. RAIS A RAHMAN Tender Batal spse 4.3</t>
  </si>
  <si>
    <t>Pengadaan Vaksin Rabies dan Perlengkapannya Tender Ulang spse 4.3</t>
  </si>
  <si>
    <t>673,1 Jt</t>
  </si>
  <si>
    <t>Data Base Spasial Daerah Irigasi Kewenangan Provinsi di Lintas Kabupaten Mempawah- Landak dan Bengkayang spse 4.3</t>
  </si>
  <si>
    <t>150 Jt</t>
  </si>
  <si>
    <t>Data Base Spasial Daerah Irigasi Rawa Kewenangan Provinsi di Kabupaten Kubu Raya spse 4.3</t>
  </si>
  <si>
    <t>500 Jt</t>
  </si>
  <si>
    <t>Data Base Spasial Daerah Irigasi Rawa Kewenangan Provinsi di Kabupaten Mempawah spse 4.3</t>
  </si>
  <si>
    <t>170 Jt</t>
  </si>
  <si>
    <t>Peningkatan Jaringan Irigasi DI. Pak Bulu Tender Ulang spse 4.3</t>
  </si>
  <si>
    <t>799,8 Jt</t>
  </si>
  <si>
    <t>Perencanaan Studi Gedung Kantor DPRD Kapuas Raya (DED, Masterplan, dan FS) Seleksi Gagal spse 4.3</t>
  </si>
  <si>
    <t>Perencanaan Studi Gedung Kantor Gubernur Kapuas Raya (DED, Masterplan, dan FS) Seleksi Gagal spse 4.3</t>
  </si>
  <si>
    <t>PENINGKATAN / PELEBARAN STRUKTUR JALAN SIDUK - SUKADANA Tender Gagal spse 4.3</t>
  </si>
  <si>
    <t>Study Identifikasi Desain Potensi Air Baku Kabupaten Kayong Utara Seleksi Gagal spse 4.3</t>
  </si>
  <si>
    <t>Rehabilitasi Pondasi Monumen dan Lantai TMP Patria Jaya spse 4.3</t>
  </si>
  <si>
    <t>Rehabilitasi Pagar TMP Patria Jaya spse 4.3</t>
  </si>
  <si>
    <t>Belanja Bahan/Material (Bahan Kimia)/Tender Tender Ulang spse 4.3</t>
  </si>
  <si>
    <t>Nilai Kontrak : Rp. 1.875.424.100,00</t>
  </si>
  <si>
    <t>PENINGKATAN JALAN TEBIDAH - BUNYAU Tender Gagal spse 4.3</t>
  </si>
  <si>
    <t>Penyusunan Rencana Pengelolaan Zonasi Kawasan Konservasi Seleksi Gagal spse 4.3</t>
  </si>
  <si>
    <t>Pengadaan Tambat Labuh Kapal Di Pulau Lemukutan (DAK) spse 4.3</t>
  </si>
  <si>
    <t>342 Jt</t>
  </si>
  <si>
    <t>Pengadaan Tambat Labuh Kapal Di Pulau Kabung (DAK) spse 4.3</t>
  </si>
  <si>
    <t>Manajemen Konstruksi Pembangunan Gedung kantor Gubernur Kalimantan Barat Seleksi Gagal Seleksi Ulang spse 4.3</t>
  </si>
  <si>
    <t>747,9 Jt</t>
  </si>
  <si>
    <t>Manajemen Konstruksi Pembangunan Gedung RSUD Soedarso Tahap I Seleksi Ulang spse 4.3</t>
  </si>
  <si>
    <t>795,6 Jt</t>
  </si>
  <si>
    <t>Belanja Bahan/Material (Bahan Kimia)/Tender Tender Gagal Tender Ulang spse 4.3</t>
  </si>
  <si>
    <t>PENINGKATAN JALAN NANGA MAU - TEBIDAH spse 4.3</t>
  </si>
  <si>
    <t>15,2 M</t>
  </si>
  <si>
    <t>Nilai Kontrak : Rp. 14.580.436.000,00</t>
  </si>
  <si>
    <t>PENGGANTIAN JEMBATAN RUAS JALAN NANGA ELLA - MENUKUNG spse 4.3</t>
  </si>
  <si>
    <t>Nilai Kontrak : Rp. 4.054.540.000,00</t>
  </si>
  <si>
    <t>PENINGKATAN STRUKTUR JALAN SINTANG - SEMUBUK spse 4.3</t>
  </si>
  <si>
    <t>11,6 M</t>
  </si>
  <si>
    <t>Nilai Kontrak : Rp. 10.794.280.000,00</t>
  </si>
  <si>
    <t>PENINGKATAN JALAN SIMPANG MEDANG - NANGA MAU Tender Gagal spse 4.3</t>
  </si>
  <si>
    <t>Pengadaan Benih Lada Siap Tanam (Rehabilitasi Tanaman Lada) Tender Batal spse 4.3</t>
  </si>
  <si>
    <t>Peninjauan Kembali Perda Prov. Kalbar No. 10 Tahun 2014 tentang RTRWP Kalbar Tahun 2014-2034 spse 4.3</t>
  </si>
  <si>
    <t>581 Jt</t>
  </si>
  <si>
    <t>Konsultan Percepatan Proses Persetujuan Subtansi RTR KSP spse 4.3</t>
  </si>
  <si>
    <t>Peningkatan Jalan Lingkungan Kantor UPT. Pelabuhan Perikanan Prov. Kalbar (DAK) Tender Ulang spse 4.3</t>
  </si>
  <si>
    <t>2,6 M</t>
  </si>
  <si>
    <t>Nilai Kontrak : Rp. 2.117.118.139,00</t>
  </si>
  <si>
    <t>Perencanaan Renovasi Kawasan Waterfront di Kab. Sanggau Seleksi Ulang spse 4.3</t>
  </si>
  <si>
    <t>324,1 Jt</t>
  </si>
  <si>
    <t>Perencanaan Pembangunan Kantor BPSDM (Perencanaan Teknis dan Dok. Lingkungan) Seleksi Ulang spse 4.3 Evaluasi Ulang</t>
  </si>
  <si>
    <t>699 Jt</t>
  </si>
  <si>
    <t>Perencanaan Pembangunan SMK Terpadu Kab. Sambas (Perencanaan Teknis dan Dok. Lingkungan) Seleksi Ulang spse 4.3</t>
  </si>
  <si>
    <t>598,8 Jt</t>
  </si>
  <si>
    <t>Perencanaan Pembangunan SMA Terpadu Kab. Mempawah Seleksi Ulang spse 4.3 Menyampaikan Penawaran Ulang</t>
  </si>
  <si>
    <t>498,6 Jt</t>
  </si>
  <si>
    <t>PENINGKATAN JALAN SELUANG - MAYASOPA spse 4.3</t>
  </si>
  <si>
    <t>Nilai Kontrak : Rp. 4.273.698.000,00</t>
  </si>
  <si>
    <t>PENINGKATAN JALAN SUDIRMAN spse 4.3</t>
  </si>
  <si>
    <t>5,1 M</t>
  </si>
  <si>
    <t>Nilai Kontrak : Rp. 5.073.068.000,00</t>
  </si>
  <si>
    <t>PENINGKATAN JALAN AUR KUNING – SUKA RAMAI - KENYAUK - KEPARI spse 4.3 Evaluasi Ulang</t>
  </si>
  <si>
    <t>5,8 M</t>
  </si>
  <si>
    <t>Nilai Kontrak : Rp. 5.340.000.000,00</t>
  </si>
  <si>
    <t>Pembangunan Dermaga di PPI Selakau Sambas (DAK) Tender Gagal spse 4.3</t>
  </si>
  <si>
    <t>PEMBANGUNAN JALAN SIMPANG BANTANAN I - SIMPANG BANTANAN II (SANGE) spse 4.3</t>
  </si>
  <si>
    <t>9,5 M</t>
  </si>
  <si>
    <t>Nilai Kontrak : Rp. 9.066.775.000,00</t>
  </si>
  <si>
    <t>PENINGKATAN JALAN BALAI SEBUT - BALAI SEPUAK - SEMUBUK spse 4.3</t>
  </si>
  <si>
    <t>12,6 M</t>
  </si>
  <si>
    <t>Nilai Kontrak : Rp. 10.999.000.000,00</t>
  </si>
  <si>
    <t>PENINGKATAN JALAN SIMPANG TANJUNG HARAPAN - TANAH HITAM spse 4.3</t>
  </si>
  <si>
    <t>9,1 M</t>
  </si>
  <si>
    <t>Nilai Kontrak : Rp. 8.774.787.000,00</t>
  </si>
  <si>
    <t>PEMBANGUNAN JEMBATAN RUAS SIMPANG BATANAN I - SIMPANG BANTANAN II (JEMBATAN SABING (JEMBATAN SABING CS) spse 4.3</t>
  </si>
  <si>
    <t>6,4 M</t>
  </si>
  <si>
    <t>Nilai Kontrak : Rp. 6.142.900.000,00</t>
  </si>
  <si>
    <t>PENINGKATAN JALAN DAN JEMBATAN TUMBANG TITI - TANJUNG spse 4.3</t>
  </si>
  <si>
    <t>9,3 M</t>
  </si>
  <si>
    <t>Nilai Kontrak : Rp. 8.520.755.000,00</t>
  </si>
  <si>
    <t>PENINGKATAN STRUKTUR JALAN NGABANG - SERIMBU spse 4.3</t>
  </si>
  <si>
    <t>29,6 M</t>
  </si>
  <si>
    <t>Nilai Kontrak : Rp. 29.610.266.000,00</t>
  </si>
  <si>
    <t>PEMBANGUNAN JALAN DAN JEMBATAN BENGKAYANG - SUTI SEMARANG - SERIMBU spse 4.3</t>
  </si>
  <si>
    <t>8,4 M</t>
  </si>
  <si>
    <t>Nilai Kontrak : Rp. 7.780.170.000,00</t>
  </si>
  <si>
    <t>PENINGKATAN JALAN SUHAID - MENSUSAI spse 4.3</t>
  </si>
  <si>
    <t>Nilai Kontrak : Rp. 6.885.600.000,00</t>
  </si>
  <si>
    <t>RELOKASI JALAN DI PASAR SEMITAU spse 4.3</t>
  </si>
  <si>
    <t>Nilai Kontrak : Rp. 3.344.000.000,00</t>
  </si>
  <si>
    <t>PEMBANGUNAN JALAN NYARI - SEMPATUNG LAWEK spse 4.3</t>
  </si>
  <si>
    <t>Nilai Kontrak : Rp. 2.150.320.000,00</t>
  </si>
  <si>
    <t>PENINGKATAN STRUKTUR JALAN DAN JEMBATAN SIDAS - SIMPANG TIGA spse 4.3</t>
  </si>
  <si>
    <t>19,4 M</t>
  </si>
  <si>
    <t>Nilai Kontrak : Rp. 19.035.028.000,00</t>
  </si>
  <si>
    <t>PENINGKATAN JALAN TEBAS - JAWAI (SENTEBANG) - TANAH HITAM spse 4.3</t>
  </si>
  <si>
    <t>Nilai Kontrak : Rp. 11.581.428.000,00</t>
  </si>
  <si>
    <t>Pembelian Gedung dan Bangunan (Selasar Kelas III) spse 4.3</t>
  </si>
  <si>
    <t>PENINGKATAN STRUKTUR JALAN SEKADAU - RAWAK spse 4.3</t>
  </si>
  <si>
    <t>11,2 M</t>
  </si>
  <si>
    <t>Nilai Kontrak : Rp. 10.270.021.000,00</t>
  </si>
  <si>
    <t>PENINGKATAN STRUKTUR JALAN DAN JEMBATA SAYAN - KOTA BARU spse 4.3</t>
  </si>
  <si>
    <t>11,7 M</t>
  </si>
  <si>
    <t>Nilai Kontrak : Rp. 10.677.942.000,00</t>
  </si>
  <si>
    <t>PENINGKATAN STRUKTUR JALAN PONTIANAK - SEI KAKAP spse 4.3</t>
  </si>
  <si>
    <t>14,3 M</t>
  </si>
  <si>
    <t>Nilai Kontrak : Rp. 13.178.628.000,00</t>
  </si>
  <si>
    <t>Belanja Perlengkapan Kantor (Lift) spse 4.3</t>
  </si>
  <si>
    <t>Penyusunan Inventarisasi Database Jalan Desa Kawasan Permukiman Wilayah III (Kab. Sanggau, Kab. Sekadau, Kab. Melawi, Kab. Kapuas Hulu, Kab. Sintang) spse 4.3 Menyampaikan Penawaran Ulang</t>
  </si>
  <si>
    <t>499,5 Jt</t>
  </si>
  <si>
    <t>Nilai Kontrak : Rp. 491.535.000,00</t>
  </si>
  <si>
    <t>Penyusunan Inventarisasi Database Jalan Desa Kawasan Permukiman Wilayah II (Kab. Mempawah, Kab. Bengkayang, Kab. Sambas, Kab. Landak) spse 4.3 Menyampaikan Penawaran Ulang</t>
  </si>
  <si>
    <t>374,6 Jt</t>
  </si>
  <si>
    <t>Perencanaan Peningkatan Halaman Kantor Gubernur Seleksi Gagal Seleksi Ulang spse 4.3</t>
  </si>
  <si>
    <t>Penyusunan Inventarisasi Database Jalan Desa Kawasan Permukiman Wilayah I (Kab, Kayong Utara, Kab. Ketapang, Kab. Kubu Raya) spse 4.3 Menyampaikan Penawaran Ulang</t>
  </si>
  <si>
    <t>299 Jt</t>
  </si>
  <si>
    <t>Data Base Spasial Daerah Irigasi Rawa Kewenangan Provinsi di Kabupaten Sambas spse 4.3</t>
  </si>
  <si>
    <t>DED Daerah Irigasi Tambak Sambas (Sebangkau, Sei. Batang, Sarang Burung Nilam, Sarang Burung Danau) Kabupaten Sambas spse 4.3 Menyampaikan Penawaran Ulang</t>
  </si>
  <si>
    <t>Pengadaan Vaksin Rabies dan Perlengkapannya Tender Gagal spse 4.3</t>
  </si>
  <si>
    <t>Review Design Perencanaan Pagar IPDN (Pagar + Saluran) Seleksi Gagal spse 4.3</t>
  </si>
  <si>
    <t>Pengawasan Pembangunan Gedung Kantor Dinas Perkebunan (lanjutan/Tahap VI) spse 4.3</t>
  </si>
  <si>
    <t>249 Jt</t>
  </si>
  <si>
    <t>Konsultan penyusunan rapergub database dan inventarisasi bangunan gedung negara dan rumah negara (beserta juklak/juknis) spse 4.3 Evaluasi Ulang</t>
  </si>
  <si>
    <t>471,4 Jt</t>
  </si>
  <si>
    <t>Perencanaan Gedung Barak SPN di Singkawang spse 4.3</t>
  </si>
  <si>
    <t>314,9 Jt</t>
  </si>
  <si>
    <t>Belanja Modal Pengadaan Alat-alat Angkutan Darat Bermotor Sedan Tender Batal spse 4.3</t>
  </si>
  <si>
    <t>5,5 M</t>
  </si>
  <si>
    <t>Peningkatan Jaringan Irigasi DI. Pak Bulu Tender Gagal spse 4.3</t>
  </si>
  <si>
    <t>Perencanaan Renovasi Pendopo/Rumah Jabatan Gubernur Kalimantan Barat spse 4.3</t>
  </si>
  <si>
    <t>173,7 Jt</t>
  </si>
  <si>
    <t>Perencanaan Renovasi Kawasan Pendopo/Rumah Jabatan Gubernur (Landscape) spse 4.3</t>
  </si>
  <si>
    <t>296,9 Jt</t>
  </si>
  <si>
    <t>Pengkajian Kerusakan dan Rencana Penanganan Lanjutan Gedung Guest House Rumah Melayu Prov. Kalbar Seleksi Gagal spse 4.3</t>
  </si>
  <si>
    <t>492,7 Jt</t>
  </si>
  <si>
    <t>Belanja Surat Ketetapan Pajak Daerah spse 4.3</t>
  </si>
  <si>
    <t>Nilai Kontrak : Rp. 1.294.150.000,00</t>
  </si>
  <si>
    <t>Perencanaan Pembangunan Kantor BPSDM (Perencanaan Teknis dan Dok. Lingkungan) Seleksi Gagal spse 4.3</t>
  </si>
  <si>
    <t>Perencanaan Pembangunan SMK Terpadu Kab. Sambas (Perencanaan Teknis dan Dok. Lingkungan) Seleksi Gagal spse 4.3</t>
  </si>
  <si>
    <t>Perencanaan Pembangunan SMA Terpadu Kab. Mempawah Seleksi Gagal spse 4.3</t>
  </si>
  <si>
    <t>PAKET 13, PENGAWASAN TEKNIS PENINGKATAN STRUKTUR JALAN SINTANG SEMUBUK spse 4.3</t>
  </si>
  <si>
    <t>510 Jt</t>
  </si>
  <si>
    <t>Belanja Bahan/Material (Bahan Kimia)/Tender Tender Gagal spse 4.3</t>
  </si>
  <si>
    <t>Perencanaan Renovasi Kawasan Waterfront di Kab. Sanggau Seleksi Gagal spse 4.3</t>
  </si>
  <si>
    <t>Pengadaan Bahan Kimia Rumah Sakit spse 4.3</t>
  </si>
  <si>
    <t>304,2 Jt</t>
  </si>
  <si>
    <t>Perencanaan Studi Gedung Kantor Gubernur Kapuas Raya (DED, Masterplan, dan FS) Seleksi Batal spse 4.3</t>
  </si>
  <si>
    <t>Perencanaan Studi Gedung Kantor DPRD Kapuas Raya (DED, Masterplan, dan FS) Seleksi Batal spse 4.3</t>
  </si>
  <si>
    <t>PAKET 29, PENGAWASAN TEKNIS PENINGKATAN JALAN DI KAB. MEMPAWAH spse 4.3</t>
  </si>
  <si>
    <t>696,7 Jt</t>
  </si>
  <si>
    <t>PAKET 28, PENGAWASAN TEKNIS PEMBANGUNAN JALAN SIMPANG BANTANAN I - SIMPANG BANTANAN II (SANGE) spse 4.3</t>
  </si>
  <si>
    <t>506,2 Jt</t>
  </si>
  <si>
    <t>PAKET 25, PENGAWASAN TEKNIS PENINGKATAN JALAN AUR KUNING - SUKARAMAI - KENYAUK - KEPARI spse 4.3</t>
  </si>
  <si>
    <t>512,9 Jt</t>
  </si>
  <si>
    <t>PAKET 24, PENGAWASAN TEKNIS PENINGKATAN JALAN TEBAS - JAWAI (SENTEBANG) - TANAH HITAM spse 4.3</t>
  </si>
  <si>
    <t>PAKET 22, PENGAWASAN TEKNIS PENINGKATAN JALAN SELUANG - MAYASOPA spse 4.3</t>
  </si>
  <si>
    <t>499,6 Jt</t>
  </si>
  <si>
    <t>PAKET 21, PENGAWASAN TEKNIS PENINGKATAN JALAN TEBIDAH - BUNYAU spse 4.3</t>
  </si>
  <si>
    <t>522,2 Jt</t>
  </si>
  <si>
    <t>PAKET 20, PENGAWASAN TEKNIS PENINGKATAN JALAN NANGA MAU - TEBIDAH spse 4.3</t>
  </si>
  <si>
    <t>513,9 Jt</t>
  </si>
  <si>
    <t>PAKET 19, PENGAWASAN TEKNIS PENINGKATAN JALAN DALAM KOTA PONTIANAK CS spse 4.3</t>
  </si>
  <si>
    <t>505 Jt</t>
  </si>
  <si>
    <t>PAKET 18, PENGAWASAN TEKNIS PENINGKATAN STRUKTUR JALAN PONTIANAK - SEI. KAKAP spse 4.3</t>
  </si>
  <si>
    <t>472,2 Jt</t>
  </si>
  <si>
    <t>PAKET 17, PENGAWASAN TEKNIS PENINGKATAN JALAN BALAI SEBUT - BALAI SEPUAK - SEMUBUK spse 4.3</t>
  </si>
  <si>
    <t>509,5 Jt</t>
  </si>
  <si>
    <t>PAKET 16, PENGAWASAN TEKNIS PEMBANGUNAN / PENGGANTIAN JEMBATAN SABING CS spse 4.3</t>
  </si>
  <si>
    <t>PAKET 14, PENGAWASAN TEKNIS PENINGKATAN STRUKTUR JALAN SEKADAU - RAWAK spse 4.3</t>
  </si>
  <si>
    <t>506,8 Jt</t>
  </si>
  <si>
    <t>PAKET 12, PENGAWASAN TEKNIS PENINGKATAN STRUKTUR JALAN DAN JEMBATAN SIDAS - SIMPANG TIGA spse 4.3</t>
  </si>
  <si>
    <t>505,7 Jt</t>
  </si>
  <si>
    <t>PAKET 11, PENGAWASAN TEKNIS PENINGKATAN / PELEBARAN STRUKTUR JALAN SIDUK - SUKADANA spse 4.3</t>
  </si>
  <si>
    <t>513,3 Jt</t>
  </si>
  <si>
    <t>PAKET 10, PENGAWASAN TEKNIS RELOKASI JALAN DI PASAR SEMITAU spse 4.3</t>
  </si>
  <si>
    <t>513,1 Jt</t>
  </si>
  <si>
    <t>PAKET 9, PENGAWASAN TEKNIS PENINGKATAN JALAN JALAN SUHAID - MENSUSAI spse 4.3</t>
  </si>
  <si>
    <t>517,2 Jt</t>
  </si>
  <si>
    <t>PAKET 8, PENGAWASAN TEKNIS PEMBANGUNAN JALAN DAN JEMBATAN BENGKAYANG - SUTI SEMARANG - SERIMBU spse 4.3</t>
  </si>
  <si>
    <t>506,4 Jt</t>
  </si>
  <si>
    <t>PAKET 7, PENGAWASAN TEKNIS PENINGKATAN STRUKTUR JALAN NGABANG - SERIMBU spse 4.3</t>
  </si>
  <si>
    <t>601,9 Jt</t>
  </si>
  <si>
    <t>PAKET 6, PENGAWASAN TEKNIS PENINGKATAN JALAN SIMPANG MEDANG - NANGA MAU spse 4.3</t>
  </si>
  <si>
    <t>513,6 Jt</t>
  </si>
  <si>
    <t>Rehabilitasi Bangunan Panti Benih/Bangsal/Hatchery spse 4.3</t>
  </si>
  <si>
    <t>226 Jt</t>
  </si>
  <si>
    <t>Nilai Kontrak : Rp. 218.015.900,00</t>
  </si>
  <si>
    <t>PAKET 5, PENGAWASAN TEKNIS PENINGKATAN JALAN SAYAN - KOTA BARU spse 4.3</t>
  </si>
  <si>
    <t>515,4 Jt</t>
  </si>
  <si>
    <t>PAKET 4, PENGAWASAN TEKNIS PENINGKATAN JALAN SIMPANG TANJUNG HARAPAN - TANAH HITAM spse 4.3</t>
  </si>
  <si>
    <t>PAKET 3, PENGAWASAN TEKNIS PENINGKATAN JALAN DAN JEMBATAN TUMBANG TITI - TANJUNG spse 4.3</t>
  </si>
  <si>
    <t>Rehabilitasi Kolam atau Bak Induk/Calon Induk spse 4.3</t>
  </si>
  <si>
    <t>Nilai Kontrak : Rp. 330.980.200,00</t>
  </si>
  <si>
    <t>PAKET 2, PENGAWASAN TEKNIS PENINGKATAN JALAN SUDIRMAN spse 4.3</t>
  </si>
  <si>
    <t>Rehabilitasi Jaringan Rawa DIR. Sei. Awan (DAK) Tender Ulang spse 4.3</t>
  </si>
  <si>
    <t>Rehabilitasi Jaringan Rawa DIR. Punggur Selat Kering (DAK) Tender Ulang spse 4.3</t>
  </si>
  <si>
    <t>Perencanaan Peningkatan Halaman Kantor Gubernur Seleksi Gagal spse 4.3</t>
  </si>
  <si>
    <t>Perencanaan Rehabilitasi Kantor Gubernur Eksisting Kalimantan Barat spse 4.3</t>
  </si>
  <si>
    <t>249,8 Jt</t>
  </si>
  <si>
    <t>Manajemen Konstruksi Pembangunan Gedung RSUD Soedarso Tahap I Seleksi Gagal spse 4.3</t>
  </si>
  <si>
    <t>Pengadaan Benih Karet Siap Tanam (Kegiatan Pengembangan Kebun Karet Rakyat di Kabupaten Melawi),Pengadaan Benih Karet Siap Tanam (Kegiatan Pengembangan Kebun Karet Rakyat di Kabupaten Melawi, Sintang dan Mempawah),Pengadaan Benih Karet Opas Siap Tanam (Kegiatan Pengembangan Kebun Karet Rakyat di Kabupaten Melawi, Sintang dan Mempawah) Tender Gagal spse 4.3</t>
  </si>
  <si>
    <t>Perencanaan Peningkatan Kawasan RSJ/RSK Singkawang spse 4.3</t>
  </si>
  <si>
    <t>124,4 Jt</t>
  </si>
  <si>
    <t>Peningkatan Jalan Lingkungan Kantor UPT. Pelabuhan Perikanan Prov. Kalbar (DAK) Tender Gagal spse 4.3</t>
  </si>
  <si>
    <t>Perencanaan Pembangunan Gedung Kantor Gubernur Prov. Kalbar spse 4.3</t>
  </si>
  <si>
    <t>806,5 Jt</t>
  </si>
  <si>
    <t>Perencanaan Pembangunan Gedung RSUD Soedarso spse 4.3</t>
  </si>
  <si>
    <t>897,9 Jt</t>
  </si>
  <si>
    <t>Pengadaan konsumsi penyelenggaraan pelatihan dasar CPNS sebanyak 10 angkatan Tender Ulang spse 4.3</t>
  </si>
  <si>
    <t>Nilai Kontrak : Rp. 1.302.924.000,00</t>
  </si>
  <si>
    <t>Belanja modal pengadaan tempat tidur Tender Gagal spse 4.3 Menyampaikan Penawaran Ulang</t>
  </si>
  <si>
    <t>PAKET 9A, DATA BASE JALAN DAN JEMBATAN PROVINSI BERBASIS GIS spse 4.3</t>
  </si>
  <si>
    <t>PAKET 8A, LEGER RUAS JALAN BENGKAYANG - SUTI SEMARANG spse 4.3</t>
  </si>
  <si>
    <t>800 Jt</t>
  </si>
  <si>
    <t>PAKET 7A, PERENCANAAN TEKNIS JEMBATAN SEJIRAM - SEMITAU spse 4.3</t>
  </si>
  <si>
    <t>PAKET 6A, PERENCANAAN JEMBATAN RAWAK KECIL spse 4.3</t>
  </si>
  <si>
    <t>Belanja Modal Konsultansi Perencanaan Gedung Instalasi Farmasi spse 4.3</t>
  </si>
  <si>
    <t>400 Jt</t>
  </si>
  <si>
    <t>PAKET 5A, PERENCANAAN JEMBATAN MENYEBAR PROVINSI KALIMANTAN BARAT spse 4.3</t>
  </si>
  <si>
    <t>Penyedia Jasa Kebersihan Kantor Tender Ulang spse 4.3</t>
  </si>
  <si>
    <t>417,8 Jt</t>
  </si>
  <si>
    <t>Belanja Modal Konsultansi Perencanaan Gedung Instalasi Laboratorium spse 4.3</t>
  </si>
  <si>
    <t>448,4 Jt</t>
  </si>
  <si>
    <t>Pengadaan Jasa Kebersihan Kantor spse 4.3</t>
  </si>
  <si>
    <t>214,3 Jt</t>
  </si>
  <si>
    <t>Belanja Modal Pengadaan Alat-Alat Laboratorium Peternakan (DAK) spse 4.3</t>
  </si>
  <si>
    <t>3,3 M</t>
  </si>
  <si>
    <t>Nilai Kontrak : Rp. 3.315.577.400,00</t>
  </si>
  <si>
    <t>Belanja modal pengadaan lemari pakaian spse 4.3</t>
  </si>
  <si>
    <t>273,2 Jt</t>
  </si>
  <si>
    <t>Nilai Kontrak : Rp. 243.700.000,00</t>
  </si>
  <si>
    <t>Belanja Bahan Makanan Dan Minuman Ternak Babi spse 4.3</t>
  </si>
  <si>
    <t>674,6 Jt</t>
  </si>
  <si>
    <t>Belanja Bahan Makanan dan Minuman Ternak Itik spse 4.3</t>
  </si>
  <si>
    <t>PAKET 4A, SURVEY INVENTARISASI JEMBATAN PROVINSI WILAYAH II (KAB. SANGGAU, SEKADAU , SINTANG , MELAWI DAN KAPUAS HULU) spse 4.3</t>
  </si>
  <si>
    <t>PAKET 3A, SURVEY INVENTARISASI JEMBATAN PROVINSI WILAYAH I (KOTA PONTIANAK, KAB. KUBU RAYA, KAB. MEMPAWAH , KOTA SINGKAWANG , KAB. SAMBAS) spse 4.3</t>
  </si>
  <si>
    <t>PAKET 2A, SURVEY KONDISI JALAN PROVINSI WILAYAH II (KAB. SANGGAU, SEKADAU , SINTANG , MELAWI DAN KAPUAS HULU) spse 4.3</t>
  </si>
  <si>
    <t>750 Jt</t>
  </si>
  <si>
    <t>PAKET 1A, SURVEY KONDISI JALAN PROVINSI WILAYAH I (KOTA PONTIANAK, KAB. KUBU RAYA, KAB. MEMPAWAH, KOTA SINGKAWANG, KAB. SAMBAS) spse 4.3</t>
  </si>
  <si>
    <t>PAKET 1, CORE TEAM PENGAWASAN BIDANG KE-BINA MARGA-AN spse 4.3</t>
  </si>
  <si>
    <t>835,3 Jt</t>
  </si>
  <si>
    <t>Pengadaan Benih Kopi Robusta (Pengembangan Kebun Kopi Rakyat) spse 4.3</t>
  </si>
  <si>
    <t>851,4 Jt</t>
  </si>
  <si>
    <t>Pengadaan konsumsi penyelenggaraan pelatihan dasar CPNS sebanyak 10 angkatan Tender Gagal spse 4.3</t>
  </si>
  <si>
    <t>Pengadaan Bahan Makanan dan Minuman Pasien spse 4.3</t>
  </si>
  <si>
    <t>Rehabilitasi Jaringan Rawa DIR. Punggur Selat Kering (DAK) Tender Gagal spse 4.3</t>
  </si>
  <si>
    <t>Belanja Modal Pengadaan Alat-alat Angkutan Darat Bermotor Jeep spse 4.3</t>
  </si>
  <si>
    <t>Nilai Kontrak : Rp. 4.640.000.000,00</t>
  </si>
  <si>
    <t>Pengadaan Air Bersih spse 4.3</t>
  </si>
  <si>
    <t>632,4 Jt</t>
  </si>
  <si>
    <t>Nilai Kontrak : Rp. 609.412.496,00</t>
  </si>
  <si>
    <t>Rehabilitasi Jaringan Rawa DIR. Sei. Awan (DAK) Tender Gagal spse 4.3</t>
  </si>
  <si>
    <t>Belanja Bahan Makanan dan Minuman Tender Batal spse 4.3</t>
  </si>
  <si>
    <t>577 Jt</t>
  </si>
  <si>
    <t>Belanja Kebersihan Kantor/ Cleaning Service spse 4.3</t>
  </si>
  <si>
    <t>524,7 Jt</t>
  </si>
  <si>
    <t>Nilai Kontrak : Rp. 513.331.756,00</t>
  </si>
  <si>
    <t>Cleaning Service Kantor Tender Ulang spse 4.3</t>
  </si>
  <si>
    <t>Penyediaan jasa kebersihan kantor spse 4.3</t>
  </si>
  <si>
    <t>240 Jt</t>
  </si>
  <si>
    <t>Nilai Kontrak : Rp. 233.658.300,00</t>
  </si>
  <si>
    <t>Belanja Makanan dan Minuman Mahasiswa spse 4.3</t>
  </si>
  <si>
    <t>430,2 Jt</t>
  </si>
  <si>
    <t>Nilai Kontrak : Rp. 427.887.600,00</t>
  </si>
  <si>
    <t>Pemeliharaan Kebersihan Gedung Sekretariat Daerah spse 4.3 Menyampaikan Penawaran Ulang</t>
  </si>
  <si>
    <t>554,7 Jt</t>
  </si>
  <si>
    <t>Nilai Kontrak : Rp. 522.788.200,00</t>
  </si>
  <si>
    <t>Pemeliharaan Kebersihan Halaman dan Taman Kantor Gubernur spse 4.3</t>
  </si>
  <si>
    <t>252,5 Jt</t>
  </si>
  <si>
    <t>Nilai Kontrak : Rp. 252.000.001,00</t>
  </si>
  <si>
    <t>692,4 Jt</t>
  </si>
  <si>
    <t>Belanja Bahan Makan dan Minum Lansia / Klien Tender Gagal Tender Ulang spse 4.3</t>
  </si>
  <si>
    <t>819,8 Jt</t>
  </si>
  <si>
    <t>Penyedia Jasa Kebersihan Kantor Tender Gagal spse 4.3 Menyampaikan Penawaran Ulang</t>
  </si>
  <si>
    <t>Cleaning Service Kantor Tender Gagal spse 4.3</t>
  </si>
  <si>
    <t>Pengadaan Makanan dan Minuman Anak Asuh Tender Ulang spse 4.3</t>
  </si>
  <si>
    <t>421,2 Jt</t>
  </si>
  <si>
    <t>Pengadaan Makanan dan Minuman Anak Asuh Tender Gagal spse 4.3</t>
  </si>
  <si>
    <t>Penyedia Jasa Kebersihan Kantor Tender Gagal Tender Ulang spse 4.3</t>
  </si>
  <si>
    <t>499,3 Jt</t>
  </si>
  <si>
    <t>Belanja Bahan Makan dan Minum Lansia / Klien Tender Gagal spse 4.3</t>
  </si>
  <si>
    <t>Pengadaan Bahan Makanan dan Minuman Pasien Tender Batal spse 4.3</t>
  </si>
  <si>
    <t>Penyedia Jasa Kebersihan Kantor Tender Gagal spse 4.3</t>
  </si>
  <si>
    <t>Belanja Jasa Kebersihan / Cleaning Service spse 4.3</t>
  </si>
  <si>
    <t>516,9 Jt</t>
  </si>
  <si>
    <t>Belanja Pemeliharaan Lahan / Taman / Halaman Rumah Sakitr Jiwa Provinsi Kalimantan Barat spse 4.3</t>
  </si>
  <si>
    <t>370,9 Jt</t>
  </si>
  <si>
    <t>Penyediaan Makan dan Minuman Pasien Rumah Sakit spse 4.3</t>
  </si>
  <si>
    <t>Belanja Pengadaan Makanan spse 4.3</t>
  </si>
  <si>
    <t>Kode</t>
  </si>
  <si>
    <t>Nama Paket</t>
  </si>
  <si>
    <t>K/L/PD</t>
  </si>
  <si>
    <t>Tahapan</t>
  </si>
  <si>
    <t>HPS</t>
  </si>
  <si>
    <t>Pengumuman Lelang</t>
  </si>
  <si>
    <t>Peserta</t>
  </si>
  <si>
    <t>Hasil Evaluasi</t>
  </si>
  <si>
    <t>Pemenang</t>
  </si>
  <si>
    <t>Pemenang Berkontrak</t>
  </si>
  <si>
    <t>https://lpse.kalbarprov.go.id/eproc4/lelang/5671097/pengumumanlelang</t>
  </si>
  <si>
    <t>https://lpse.kalbarprov.go.id/eproc4/lelang/5671097/peserta</t>
  </si>
  <si>
    <t>https://lpse.kalbarprov.go.id/eproc4/lelang/5671097/hasil</t>
  </si>
  <si>
    <t>https://lpse.kalbarprov.go.id/eproc4/lelang/5671097/pemenang</t>
  </si>
  <si>
    <t>https://lpse.kalbarprov.go.id/eproc4/lelang/5671097/pemenangberkontrak</t>
  </si>
  <si>
    <t>Rp. 418.806.000,00</t>
  </si>
  <si>
    <t>8 peserta</t>
  </si>
  <si>
    <t>Pengadaan Barang</t>
  </si>
  <si>
    <t xml:space="preserve">APBD 2019   </t>
  </si>
  <si>
    <t>https://lpse.kalbarprov.go.id/eproc4/lelang/5670097/pengumumanlelang</t>
  </si>
  <si>
    <t>https://lpse.kalbarprov.go.id/eproc4/lelang/5670097/peserta</t>
  </si>
  <si>
    <t>https://lpse.kalbarprov.go.id/eproc4/lelang/5670097/hasil</t>
  </si>
  <si>
    <t>https://lpse.kalbarprov.go.id/eproc4/lelang/5670097/pemenang</t>
  </si>
  <si>
    <t>https://lpse.kalbarprov.go.id/eproc4/lelang/5670097/pemenangberkontrak</t>
  </si>
  <si>
    <t xml:space="preserve"> </t>
  </si>
  <si>
    <t>Rp. 363.200.000,00</t>
  </si>
  <si>
    <t>7 peserta</t>
  </si>
  <si>
    <t>https://lpse.kalbarprov.go.id/eproc4/lelang/5662097/pengumumanlelang</t>
  </si>
  <si>
    <t>https://lpse.kalbarprov.go.id/eproc4/lelang/5662097/peserta</t>
  </si>
  <si>
    <t>https://lpse.kalbarprov.go.id/eproc4/lelang/5662097/hasil</t>
  </si>
  <si>
    <t>https://lpse.kalbarprov.go.id/eproc4/lelang/5662097/pemenang</t>
  </si>
  <si>
    <t>https://lpse.kalbarprov.go.id/eproc4/lelang/5662097/pemenangberkontrak</t>
  </si>
  <si>
    <t>Rp. 3.998.250.000,00</t>
  </si>
  <si>
    <t xml:space="preserve">APBDP 2019   </t>
  </si>
  <si>
    <t>https://lpse.kalbarprov.go.id/eproc4/lelang/5657097/pengumumanlelang</t>
  </si>
  <si>
    <t>https://lpse.kalbarprov.go.id/eproc4/lelang/5657097/peserta</t>
  </si>
  <si>
    <t>https://lpse.kalbarprov.go.id/eproc4/lelang/5657097/hasil</t>
  </si>
  <si>
    <t>https://lpse.kalbarprov.go.id/eproc4/lelang/5657097/pemenang</t>
  </si>
  <si>
    <t>https://lpse.kalbarprov.go.id/eproc4/lelang/5657097/pemenangberkontrak</t>
  </si>
  <si>
    <t>Rp. 350.000.000,00</t>
  </si>
  <si>
    <t>35 peserta</t>
  </si>
  <si>
    <t>https://lpse.kalbarprov.go.id/eproc4/lelang/5643097/pengumumanlelang</t>
  </si>
  <si>
    <t>https://lpse.kalbarprov.go.id/eproc4/lelang/5643097/peserta</t>
  </si>
  <si>
    <t>https://lpse.kalbarprov.go.id/eproc4/lelang/5643097/hasil</t>
  </si>
  <si>
    <t>https://lpse.kalbarprov.go.id/eproc4/lelang/5643097/pemenang</t>
  </si>
  <si>
    <t>https://lpse.kalbarprov.go.id/eproc4/lelang/5643097/pemenangberkontrak</t>
  </si>
  <si>
    <t>Rp. 242.000.000,00</t>
  </si>
  <si>
    <t>31 peserta</t>
  </si>
  <si>
    <t>https://lpse.kalbarprov.go.id/eproc4/lelang/5639097/pengumumanlelang</t>
  </si>
  <si>
    <t>https://lpse.kalbarprov.go.id/eproc4/lelang/5639097/peserta</t>
  </si>
  <si>
    <t>https://lpse.kalbarprov.go.id/eproc4/lelang/5639097/hasil</t>
  </si>
  <si>
    <t>https://lpse.kalbarprov.go.id/eproc4/lelang/5639097/pemenang</t>
  </si>
  <si>
    <t>https://lpse.kalbarprov.go.id/eproc4/lelang/5639097/pemenangberkontrak</t>
  </si>
  <si>
    <t>4 peserta</t>
  </si>
  <si>
    <t>https://lpse.kalbarprov.go.id/eproc4/lelang/5636097/pengumumanlelang</t>
  </si>
  <si>
    <t>https://lpse.kalbarprov.go.id/eproc4/lelang/5636097/peserta</t>
  </si>
  <si>
    <t>https://lpse.kalbarprov.go.id/eproc4/lelang/5636097/hasil</t>
  </si>
  <si>
    <t>https://lpse.kalbarprov.go.id/eproc4/lelang/5636097/pemenang</t>
  </si>
  <si>
    <t>https://lpse.kalbarprov.go.id/eproc4/lelang/5636097/pemenangberkontrak</t>
  </si>
  <si>
    <t>Rp. 1.350.000.000,00</t>
  </si>
  <si>
    <t>19 peserta</t>
  </si>
  <si>
    <t>Pekerjaan Konstruksi</t>
  </si>
  <si>
    <t>https://lpse.kalbarprov.go.id/eproc4/lelang/5635097/pengumumanlelang</t>
  </si>
  <si>
    <t>https://lpse.kalbarprov.go.id/eproc4/lelang/5635097/peserta</t>
  </si>
  <si>
    <t>https://lpse.kalbarprov.go.id/eproc4/lelang/5635097/hasil</t>
  </si>
  <si>
    <t>https://lpse.kalbarprov.go.id/eproc4/lelang/5635097/pemenang</t>
  </si>
  <si>
    <t>https://lpse.kalbarprov.go.id/eproc4/lelang/5635097/pemenangberkontrak</t>
  </si>
  <si>
    <t>38 peserta</t>
  </si>
  <si>
    <t>https://lpse.kalbarprov.go.id/eproc4/lelang/5634097/pengumumanlelang</t>
  </si>
  <si>
    <t>https://lpse.kalbarprov.go.id/eproc4/lelang/5634097/peserta</t>
  </si>
  <si>
    <t>https://lpse.kalbarprov.go.id/eproc4/lelang/5634097/hasil</t>
  </si>
  <si>
    <t>https://lpse.kalbarprov.go.id/eproc4/lelang/5634097/pemenang</t>
  </si>
  <si>
    <t>https://lpse.kalbarprov.go.id/eproc4/lelang/5634097/pemenangberkontrak</t>
  </si>
  <si>
    <t>Rp. 1.799.300.000,00</t>
  </si>
  <si>
    <t>30 peserta</t>
  </si>
  <si>
    <t xml:space="preserve">APBD 2019    APBD 2019   </t>
  </si>
  <si>
    <t>https://lpse.kalbarprov.go.id/eproc4/lelang/5631097/pengumumanlelang</t>
  </si>
  <si>
    <t>https://lpse.kalbarprov.go.id/eproc4/lelang/5631097/peserta</t>
  </si>
  <si>
    <t>https://lpse.kalbarprov.go.id/eproc4/lelang/5631097/hasil</t>
  </si>
  <si>
    <t>https://lpse.kalbarprov.go.id/eproc4/lelang/5631097/pemenang</t>
  </si>
  <si>
    <t>https://lpse.kalbarprov.go.id/eproc4/lelang/5631097/pemenangberkontrak</t>
  </si>
  <si>
    <t>Rp. 7.000.000.000,00</t>
  </si>
  <si>
    <t>73 peserta</t>
  </si>
  <si>
    <t>https://lpse.kalbarprov.go.id/eproc4/lelang/5628097/pengumumanlelang</t>
  </si>
  <si>
    <t>https://lpse.kalbarprov.go.id/eproc4/lelang/5628097/peserta</t>
  </si>
  <si>
    <t>https://lpse.kalbarprov.go.id/eproc4/lelang/5628097/hasil</t>
  </si>
  <si>
    <t>https://lpse.kalbarprov.go.id/eproc4/lelang/5628097/pemenang</t>
  </si>
  <si>
    <t>https://lpse.kalbarprov.go.id/eproc4/lelang/5628097/pemenangberkontrak</t>
  </si>
  <si>
    <t>Rp. 3.000.000.000,00</t>
  </si>
  <si>
    <t>37 peserta</t>
  </si>
  <si>
    <t>https://lpse.kalbarprov.go.id/eproc4/lelang/5624097/pengumumanlelang</t>
  </si>
  <si>
    <t>https://lpse.kalbarprov.go.id/eproc4/lelang/5624097/peserta</t>
  </si>
  <si>
    <t>https://lpse.kalbarprov.go.id/eproc4/lelang/5624097/hasil</t>
  </si>
  <si>
    <t>https://lpse.kalbarprov.go.id/eproc4/lelang/5624097/pemenang</t>
  </si>
  <si>
    <t>https://lpse.kalbarprov.go.id/eproc4/lelang/5624097/pemenangberkontrak</t>
  </si>
  <si>
    <t>0 peserta</t>
  </si>
  <si>
    <t>https://lpse.kalbarprov.go.id/eproc4/lelang/5623097/pengumumanlelang</t>
  </si>
  <si>
    <t>https://lpse.kalbarprov.go.id/eproc4/lelang/5623097/peserta</t>
  </si>
  <si>
    <t>https://lpse.kalbarprov.go.id/eproc4/lelang/5623097/hasil</t>
  </si>
  <si>
    <t>https://lpse.kalbarprov.go.id/eproc4/lelang/5623097/pemenang</t>
  </si>
  <si>
    <t>https://lpse.kalbarprov.go.id/eproc4/lelang/5623097/pemenangberkontrak</t>
  </si>
  <si>
    <t>Rp. 320.040.000,00</t>
  </si>
  <si>
    <t>https://lpse.kalbarprov.go.id/eproc4/lelang/5619097/pengumumanlelang</t>
  </si>
  <si>
    <t>https://lpse.kalbarprov.go.id/eproc4/lelang/5619097/peserta</t>
  </si>
  <si>
    <t>https://lpse.kalbarprov.go.id/eproc4/lelang/5619097/hasil</t>
  </si>
  <si>
    <t>https://lpse.kalbarprov.go.id/eproc4/lelang/5619097/pemenang</t>
  </si>
  <si>
    <t>https://lpse.kalbarprov.go.id/eproc4/lelang/5619097/pemenangberkontrak</t>
  </si>
  <si>
    <t>Rp. 240.450.000,00</t>
  </si>
  <si>
    <t>25 peserta</t>
  </si>
  <si>
    <t>https://lpse.kalbarprov.go.id/eproc4/lelang/5618097/pengumumanlelang</t>
  </si>
  <si>
    <t>https://lpse.kalbarprov.go.id/eproc4/lelang/5618097/peserta</t>
  </si>
  <si>
    <t>https://lpse.kalbarprov.go.id/eproc4/lelang/5618097/hasil</t>
  </si>
  <si>
    <t>https://lpse.kalbarprov.go.id/eproc4/lelang/5618097/pemenang</t>
  </si>
  <si>
    <t>https://lpse.kalbarprov.go.id/eproc4/lelang/5618097/pemenangberkontrak</t>
  </si>
  <si>
    <t>9 peserta</t>
  </si>
  <si>
    <t>https://lpse.kalbarprov.go.id/eproc4/lelang/5611097/pengumumanlelang</t>
  </si>
  <si>
    <t>https://lpse.kalbarprov.go.id/eproc4/lelang/5611097/peserta</t>
  </si>
  <si>
    <t>https://lpse.kalbarprov.go.id/eproc4/lelang/5611097/hasil</t>
  </si>
  <si>
    <t>https://lpse.kalbarprov.go.id/eproc4/lelang/5611097/pemenang</t>
  </si>
  <si>
    <t>https://lpse.kalbarprov.go.id/eproc4/lelang/5611097/pemenangberkontrak</t>
  </si>
  <si>
    <t>https://lpse.kalbarprov.go.id/eproc4/lelang/5610097/pengumumanlelang</t>
  </si>
  <si>
    <t>https://lpse.kalbarprov.go.id/eproc4/lelang/5610097/peserta</t>
  </si>
  <si>
    <t>https://lpse.kalbarprov.go.id/eproc4/lelang/5610097/hasil</t>
  </si>
  <si>
    <t>https://lpse.kalbarprov.go.id/eproc4/lelang/5610097/pemenang</t>
  </si>
  <si>
    <t>https://lpse.kalbarprov.go.id/eproc4/lelang/5610097/pemenangberkontrak</t>
  </si>
  <si>
    <t>https://lpse.kalbarprov.go.id/eproc4/lelang/5609097/pengumumanlelang</t>
  </si>
  <si>
    <t>https://lpse.kalbarprov.go.id/eproc4/lelang/5609097/peserta</t>
  </si>
  <si>
    <t>https://lpse.kalbarprov.go.id/eproc4/lelang/5609097/hasil</t>
  </si>
  <si>
    <t>https://lpse.kalbarprov.go.id/eproc4/lelang/5609097/pemenang</t>
  </si>
  <si>
    <t>https://lpse.kalbarprov.go.id/eproc4/lelang/5609097/pemenangberkontrak</t>
  </si>
  <si>
    <t>Rp. 320.032.000,00</t>
  </si>
  <si>
    <t>https://lpse.kalbarprov.go.id/eproc4/lelang/5607097/pengumumanlelang</t>
  </si>
  <si>
    <t>https://lpse.kalbarprov.go.id/eproc4/lelang/5607097/peserta</t>
  </si>
  <si>
    <t>https://lpse.kalbarprov.go.id/eproc4/lelang/5607097/hasil</t>
  </si>
  <si>
    <t>https://lpse.kalbarprov.go.id/eproc4/lelang/5607097/pemenang</t>
  </si>
  <si>
    <t>https://lpse.kalbarprov.go.id/eproc4/lelang/5607097/pemenangberkontrak</t>
  </si>
  <si>
    <t>26 peserta</t>
  </si>
  <si>
    <t>https://lpse.kalbarprov.go.id/eproc4/lelang/5606097/pengumumanlelang</t>
  </si>
  <si>
    <t>https://lpse.kalbarprov.go.id/eproc4/lelang/5606097/peserta</t>
  </si>
  <si>
    <t>https://lpse.kalbarprov.go.id/eproc4/lelang/5606097/hasil</t>
  </si>
  <si>
    <t>https://lpse.kalbarprov.go.id/eproc4/lelang/5606097/pemenang</t>
  </si>
  <si>
    <t>https://lpse.kalbarprov.go.id/eproc4/lelang/5606097/pemenangberkontrak</t>
  </si>
  <si>
    <t>Rp. 720.000.000,00</t>
  </si>
  <si>
    <t>27 peserta</t>
  </si>
  <si>
    <t>https://lpse.kalbarprov.go.id/eproc4/lelang/5605097/pengumumanlelang</t>
  </si>
  <si>
    <t>https://lpse.kalbarprov.go.id/eproc4/lelang/5605097/peserta</t>
  </si>
  <si>
    <t>https://lpse.kalbarprov.go.id/eproc4/lelang/5605097/hasil</t>
  </si>
  <si>
    <t>https://lpse.kalbarprov.go.id/eproc4/lelang/5605097/pemenang</t>
  </si>
  <si>
    <t>https://lpse.kalbarprov.go.id/eproc4/lelang/5605097/pemenangberkontrak</t>
  </si>
  <si>
    <t>Rp. 495.000.000,00</t>
  </si>
  <si>
    <t>https://lpse.kalbarprov.go.id/eproc4/lelang/5604097/pengumumanlelang</t>
  </si>
  <si>
    <t>https://lpse.kalbarprov.go.id/eproc4/lelang/5604097/peserta</t>
  </si>
  <si>
    <t>https://lpse.kalbarprov.go.id/eproc4/lelang/5604097/hasil</t>
  </si>
  <si>
    <t>https://lpse.kalbarprov.go.id/eproc4/lelang/5604097/pemenang</t>
  </si>
  <si>
    <t>https://lpse.kalbarprov.go.id/eproc4/lelang/5604097/pemenangberkontrak</t>
  </si>
  <si>
    <t>https://lpse.kalbarprov.go.id/eproc4/lelang/5603097/pengumumanlelang</t>
  </si>
  <si>
    <t>https://lpse.kalbarprov.go.id/eproc4/lelang/5603097/peserta</t>
  </si>
  <si>
    <t>https://lpse.kalbarprov.go.id/eproc4/lelang/5603097/hasil</t>
  </si>
  <si>
    <t>https://lpse.kalbarprov.go.id/eproc4/lelang/5603097/pemenang</t>
  </si>
  <si>
    <t>https://lpse.kalbarprov.go.id/eproc4/lelang/5603097/pemenangberkontrak</t>
  </si>
  <si>
    <t>Rp. 275.645.000,00</t>
  </si>
  <si>
    <t>https://lpse.kalbarprov.go.id/eproc4/lelang/5597097/pengumumanlelang</t>
  </si>
  <si>
    <t>https://lpse.kalbarprov.go.id/eproc4/lelang/5597097/peserta</t>
  </si>
  <si>
    <t>https://lpse.kalbarprov.go.id/eproc4/lelang/5597097/hasil</t>
  </si>
  <si>
    <t>https://lpse.kalbarprov.go.id/eproc4/lelang/5597097/pemenang</t>
  </si>
  <si>
    <t>https://lpse.kalbarprov.go.id/eproc4/lelang/5597097/pemenangberkontrak</t>
  </si>
  <si>
    <t>Rp. 1.620.000.000,00</t>
  </si>
  <si>
    <t>2 peserta</t>
  </si>
  <si>
    <t>Jasa Lainnya</t>
  </si>
  <si>
    <t>https://lpse.kalbarprov.go.id/eproc4/lelang/5588097/pengumumanlelang</t>
  </si>
  <si>
    <t>https://lpse.kalbarprov.go.id/eproc4/lelang/5588097/peserta</t>
  </si>
  <si>
    <t>https://lpse.kalbarprov.go.id/eproc4/lelang/5588097/hasil</t>
  </si>
  <si>
    <t>https://lpse.kalbarprov.go.id/eproc4/lelang/5588097/pemenang</t>
  </si>
  <si>
    <t>https://lpse.kalbarprov.go.id/eproc4/lelang/5588097/pemenangberkontrak</t>
  </si>
  <si>
    <t>Rp. 800.000.000,00</t>
  </si>
  <si>
    <t xml:space="preserve">APBN 2019   </t>
  </si>
  <si>
    <t>https://lpse.kalbarprov.go.id/eproc4/lelang/5585097/pengumumanlelang</t>
  </si>
  <si>
    <t>https://lpse.kalbarprov.go.id/eproc4/lelang/5585097/peserta</t>
  </si>
  <si>
    <t>https://lpse.kalbarprov.go.id/eproc4/lelang/5585097/hasil</t>
  </si>
  <si>
    <t>https://lpse.kalbarprov.go.id/eproc4/lelang/5585097/pemenang</t>
  </si>
  <si>
    <t>https://lpse.kalbarprov.go.id/eproc4/lelang/5585097/pemenangberkontrak</t>
  </si>
  <si>
    <t>Rp. 846.000.000,00</t>
  </si>
  <si>
    <t>https://lpse.kalbarprov.go.id/eproc4/lelang/5584097/pengumumanlelang</t>
  </si>
  <si>
    <t>https://lpse.kalbarprov.go.id/eproc4/lelang/5584097/peserta</t>
  </si>
  <si>
    <t>https://lpse.kalbarprov.go.id/eproc4/lelang/5584097/hasil</t>
  </si>
  <si>
    <t>https://lpse.kalbarprov.go.id/eproc4/lelang/5584097/pemenang</t>
  </si>
  <si>
    <t>https://lpse.kalbarprov.go.id/eproc4/lelang/5584097/pemenangberkontrak</t>
  </si>
  <si>
    <t>Rp. 2.660.000.000,00</t>
  </si>
  <si>
    <t>https://lpse.kalbarprov.go.id/eproc4/lelang/5583097/pengumumanlelang</t>
  </si>
  <si>
    <t>https://lpse.kalbarprov.go.id/eproc4/lelang/5583097/peserta</t>
  </si>
  <si>
    <t>https://lpse.kalbarprov.go.id/eproc4/lelang/5583097/hasil</t>
  </si>
  <si>
    <t>https://lpse.kalbarprov.go.id/eproc4/lelang/5583097/pemenang</t>
  </si>
  <si>
    <t>https://lpse.kalbarprov.go.id/eproc4/lelang/5583097/pemenangberkontrak</t>
  </si>
  <si>
    <t>https://lpse.kalbarprov.go.id/eproc4/lelang/5582097/pengumumanlelang</t>
  </si>
  <si>
    <t>https://lpse.kalbarprov.go.id/eproc4/lelang/5582097/peserta</t>
  </si>
  <si>
    <t>https://lpse.kalbarprov.go.id/eproc4/lelang/5582097/hasil</t>
  </si>
  <si>
    <t>https://lpse.kalbarprov.go.id/eproc4/lelang/5582097/pemenang</t>
  </si>
  <si>
    <t>https://lpse.kalbarprov.go.id/eproc4/lelang/5582097/pemenangberkontrak</t>
  </si>
  <si>
    <t>11 peserta</t>
  </si>
  <si>
    <t>https://lpse.kalbarprov.go.id/eproc4/lelang/5567097/pengumumanlelang</t>
  </si>
  <si>
    <t>https://lpse.kalbarprov.go.id/eproc4/lelang/5567097/peserta</t>
  </si>
  <si>
    <t>https://lpse.kalbarprov.go.id/eproc4/lelang/5567097/hasil</t>
  </si>
  <si>
    <t>https://lpse.kalbarprov.go.id/eproc4/lelang/5567097/pemenang</t>
  </si>
  <si>
    <t>https://lpse.kalbarprov.go.id/eproc4/lelang/5567097/pemenangberkontrak</t>
  </si>
  <si>
    <t>Rp. 550.000.000,00</t>
  </si>
  <si>
    <t>36 peserta</t>
  </si>
  <si>
    <t>https://lpse.kalbarprov.go.id/eproc4/lelang/5564097/pengumumanlelang</t>
  </si>
  <si>
    <t>https://lpse.kalbarprov.go.id/eproc4/lelang/5564097/peserta</t>
  </si>
  <si>
    <t>https://lpse.kalbarprov.go.id/eproc4/lelang/5564097/hasil</t>
  </si>
  <si>
    <t>https://lpse.kalbarprov.go.id/eproc4/lelang/5564097/pemenang</t>
  </si>
  <si>
    <t>https://lpse.kalbarprov.go.id/eproc4/lelang/5564097/pemenangberkontrak</t>
  </si>
  <si>
    <t>https://lpse.kalbarprov.go.id/eproc4/lelang/5563097/pengumumanlelang</t>
  </si>
  <si>
    <t>https://lpse.kalbarprov.go.id/eproc4/lelang/5563097/peserta</t>
  </si>
  <si>
    <t>https://lpse.kalbarprov.go.id/eproc4/lelang/5563097/hasil</t>
  </si>
  <si>
    <t>https://lpse.kalbarprov.go.id/eproc4/lelang/5563097/pemenang</t>
  </si>
  <si>
    <t>https://lpse.kalbarprov.go.id/eproc4/lelang/5563097/pemenangberkontrak</t>
  </si>
  <si>
    <t>Rp. 346.000.000,00</t>
  </si>
  <si>
    <t>42 peserta</t>
  </si>
  <si>
    <t>https://lpse.kalbarprov.go.id/eproc4/lelang/5558097/pengumumanlelang</t>
  </si>
  <si>
    <t>https://lpse.kalbarprov.go.id/eproc4/lelang/5558097/peserta</t>
  </si>
  <si>
    <t>https://lpse.kalbarprov.go.id/eproc4/lelang/5558097/hasil</t>
  </si>
  <si>
    <t>https://lpse.kalbarprov.go.id/eproc4/lelang/5558097/pemenang</t>
  </si>
  <si>
    <t>https://lpse.kalbarprov.go.id/eproc4/lelang/5558097/pemenangberkontrak</t>
  </si>
  <si>
    <t>Rp. 302.460.000,00</t>
  </si>
  <si>
    <t>10 peserta</t>
  </si>
  <si>
    <t>https://lpse.kalbarprov.go.id/eproc4/lelang/5553097/pengumumanlelang</t>
  </si>
  <si>
    <t>https://lpse.kalbarprov.go.id/eproc4/lelang/5553097/peserta</t>
  </si>
  <si>
    <t>https://lpse.kalbarprov.go.id/eproc4/lelang/5553097/hasil</t>
  </si>
  <si>
    <t>https://lpse.kalbarprov.go.id/eproc4/lelang/5553097/pemenang</t>
  </si>
  <si>
    <t>https://lpse.kalbarprov.go.id/eproc4/lelang/5553097/pemenangberkontrak</t>
  </si>
  <si>
    <t>Rp. 12.400.000.000,00</t>
  </si>
  <si>
    <t>32 peserta</t>
  </si>
  <si>
    <t>https://lpse.kalbarprov.go.id/eproc4/lelang/5549097/pengumumanlelang</t>
  </si>
  <si>
    <t>https://lpse.kalbarprov.go.id/eproc4/lelang/5549097/peserta</t>
  </si>
  <si>
    <t>https://lpse.kalbarprov.go.id/eproc4/lelang/5549097/hasil</t>
  </si>
  <si>
    <t>https://lpse.kalbarprov.go.id/eproc4/lelang/5549097/pemenang</t>
  </si>
  <si>
    <t>https://lpse.kalbarprov.go.id/eproc4/lelang/5549097/pemenangberkontrak</t>
  </si>
  <si>
    <t>Rp. 300.000.000,00</t>
  </si>
  <si>
    <t>28 peserta</t>
  </si>
  <si>
    <t>Jasa Konsultansi Badan Usaha</t>
  </si>
  <si>
    <t>https://lpse.kalbarprov.go.id/eproc4/lelang/5547097/pengumumanlelang</t>
  </si>
  <si>
    <t>https://lpse.kalbarprov.go.id/eproc4/lelang/5547097/peserta</t>
  </si>
  <si>
    <t>https://lpse.kalbarprov.go.id/eproc4/lelang/5547097/hasil</t>
  </si>
  <si>
    <t>https://lpse.kalbarprov.go.id/eproc4/lelang/5547097/pemenang</t>
  </si>
  <si>
    <t>https://lpse.kalbarprov.go.id/eproc4/lelang/5547097/pemenangberkontrak</t>
  </si>
  <si>
    <t>Rp. 200.000.000,00</t>
  </si>
  <si>
    <t>https://lpse.kalbarprov.go.id/eproc4/lelang/5546097/pengumumanlelang</t>
  </si>
  <si>
    <t>https://lpse.kalbarprov.go.id/eproc4/lelang/5546097/peserta</t>
  </si>
  <si>
    <t>https://lpse.kalbarprov.go.id/eproc4/lelang/5546097/hasil</t>
  </si>
  <si>
    <t>https://lpse.kalbarprov.go.id/eproc4/lelang/5546097/pemenang</t>
  </si>
  <si>
    <t>https://lpse.kalbarprov.go.id/eproc4/lelang/5546097/pemenangberkontrak</t>
  </si>
  <si>
    <t>https://lpse.kalbarprov.go.id/eproc4/lelang/5545097/pengumumanlelang</t>
  </si>
  <si>
    <t>https://lpse.kalbarprov.go.id/eproc4/lelang/5545097/peserta</t>
  </si>
  <si>
    <t>https://lpse.kalbarprov.go.id/eproc4/lelang/5545097/hasil</t>
  </si>
  <si>
    <t>https://lpse.kalbarprov.go.id/eproc4/lelang/5545097/pemenang</t>
  </si>
  <si>
    <t>https://lpse.kalbarprov.go.id/eproc4/lelang/5545097/pemenangberkontrak</t>
  </si>
  <si>
    <t>Rp. 250.000.000,00</t>
  </si>
  <si>
    <t>https://lpse.kalbarprov.go.id/eproc4/lelang/5544097/pengumumanlelang</t>
  </si>
  <si>
    <t>https://lpse.kalbarprov.go.id/eproc4/lelang/5544097/peserta</t>
  </si>
  <si>
    <t>https://lpse.kalbarprov.go.id/eproc4/lelang/5544097/hasil</t>
  </si>
  <si>
    <t>https://lpse.kalbarprov.go.id/eproc4/lelang/5544097/pemenang</t>
  </si>
  <si>
    <t>https://lpse.kalbarprov.go.id/eproc4/lelang/5544097/pemenangberkontrak</t>
  </si>
  <si>
    <t>Rp. 330.000.000,00</t>
  </si>
  <si>
    <t>https://lpse.kalbarprov.go.id/eproc4/lelang/5541097/pengumumanlelang</t>
  </si>
  <si>
    <t>https://lpse.kalbarprov.go.id/eproc4/lelang/5541097/peserta</t>
  </si>
  <si>
    <t>https://lpse.kalbarprov.go.id/eproc4/lelang/5541097/hasil</t>
  </si>
  <si>
    <t>https://lpse.kalbarprov.go.id/eproc4/lelang/5541097/pemenang</t>
  </si>
  <si>
    <t>https://lpse.kalbarprov.go.id/eproc4/lelang/5541097/pemenangberkontrak</t>
  </si>
  <si>
    <t>23 peserta</t>
  </si>
  <si>
    <t>https://lpse.kalbarprov.go.id/eproc4/lelang/5540097/pengumumanlelang</t>
  </si>
  <si>
    <t>https://lpse.kalbarprov.go.id/eproc4/lelang/5540097/peserta</t>
  </si>
  <si>
    <t>https://lpse.kalbarprov.go.id/eproc4/lelang/5540097/hasil</t>
  </si>
  <si>
    <t>https://lpse.kalbarprov.go.id/eproc4/lelang/5540097/pemenang</t>
  </si>
  <si>
    <t>https://lpse.kalbarprov.go.id/eproc4/lelang/5540097/pemenangberkontrak</t>
  </si>
  <si>
    <t>29 peserta</t>
  </si>
  <si>
    <t>https://lpse.kalbarprov.go.id/eproc4/lelang/5539097/pengumumanlelang</t>
  </si>
  <si>
    <t>https://lpse.kalbarprov.go.id/eproc4/lelang/5539097/peserta</t>
  </si>
  <si>
    <t>https://lpse.kalbarprov.go.id/eproc4/lelang/5539097/hasil</t>
  </si>
  <si>
    <t>https://lpse.kalbarprov.go.id/eproc4/lelang/5539097/pemenang</t>
  </si>
  <si>
    <t>https://lpse.kalbarprov.go.id/eproc4/lelang/5539097/pemenangberkontrak</t>
  </si>
  <si>
    <t>22 peserta</t>
  </si>
  <si>
    <t>https://lpse.kalbarprov.go.id/eproc4/lelang/5537097/pengumumanlelang</t>
  </si>
  <si>
    <t>https://lpse.kalbarprov.go.id/eproc4/lelang/5537097/peserta</t>
  </si>
  <si>
    <t>https://lpse.kalbarprov.go.id/eproc4/lelang/5537097/hasil</t>
  </si>
  <si>
    <t>https://lpse.kalbarprov.go.id/eproc4/lelang/5537097/pemenang</t>
  </si>
  <si>
    <t>https://lpse.kalbarprov.go.id/eproc4/lelang/5537097/pemenangberkontrak</t>
  </si>
  <si>
    <t>Rp. 406.000.000,00</t>
  </si>
  <si>
    <t>https://lpse.kalbarprov.go.id/eproc4/lelang/5536097/pengumumanlelang</t>
  </si>
  <si>
    <t>https://lpse.kalbarprov.go.id/eproc4/lelang/5536097/peserta</t>
  </si>
  <si>
    <t>https://lpse.kalbarprov.go.id/eproc4/lelang/5536097/hasil</t>
  </si>
  <si>
    <t>https://lpse.kalbarprov.go.id/eproc4/lelang/5536097/pemenang</t>
  </si>
  <si>
    <t>https://lpse.kalbarprov.go.id/eproc4/lelang/5536097/pemenangberkontrak</t>
  </si>
  <si>
    <t>Rp. 1.100.000.000,00</t>
  </si>
  <si>
    <t>21 peserta</t>
  </si>
  <si>
    <t>https://lpse.kalbarprov.go.id/eproc4/lelang/5535097/pengumumanlelang</t>
  </si>
  <si>
    <t>https://lpse.kalbarprov.go.id/eproc4/lelang/5535097/peserta</t>
  </si>
  <si>
    <t>https://lpse.kalbarprov.go.id/eproc4/lelang/5535097/hasil</t>
  </si>
  <si>
    <t>https://lpse.kalbarprov.go.id/eproc4/lelang/5535097/pemenang</t>
  </si>
  <si>
    <t>https://lpse.kalbarprov.go.id/eproc4/lelang/5535097/pemenangberkontrak</t>
  </si>
  <si>
    <t>Rp. 500.000.000,00</t>
  </si>
  <si>
    <t>20 peserta</t>
  </si>
  <si>
    <t>https://lpse.kalbarprov.go.id/eproc4/lelang/5534097/pengumumanlelang</t>
  </si>
  <si>
    <t>https://lpse.kalbarprov.go.id/eproc4/lelang/5534097/peserta</t>
  </si>
  <si>
    <t>https://lpse.kalbarprov.go.id/eproc4/lelang/5534097/hasil</t>
  </si>
  <si>
    <t>https://lpse.kalbarprov.go.id/eproc4/lelang/5534097/pemenang</t>
  </si>
  <si>
    <t>https://lpse.kalbarprov.go.id/eproc4/lelang/5534097/pemenangberkontrak</t>
  </si>
  <si>
    <t>Rp. 1.000.000.000,00</t>
  </si>
  <si>
    <t>https://lpse.kalbarprov.go.id/eproc4/lelang/5531097/pengumumanlelang</t>
  </si>
  <si>
    <t>https://lpse.kalbarprov.go.id/eproc4/lelang/5531097/peserta</t>
  </si>
  <si>
    <t>https://lpse.kalbarprov.go.id/eproc4/lelang/5531097/hasil</t>
  </si>
  <si>
    <t>https://lpse.kalbarprov.go.id/eproc4/lelang/5531097/pemenang</t>
  </si>
  <si>
    <t>https://lpse.kalbarprov.go.id/eproc4/lelang/5531097/pemenangberkontrak</t>
  </si>
  <si>
    <t>Rp. 1.140.000.000,00</t>
  </si>
  <si>
    <t>https://lpse.kalbarprov.go.id/eproc4/lelang/5530097/pengumumanlelang</t>
  </si>
  <si>
    <t>https://lpse.kalbarprov.go.id/eproc4/lelang/5530097/peserta</t>
  </si>
  <si>
    <t>https://lpse.kalbarprov.go.id/eproc4/lelang/5530097/hasil</t>
  </si>
  <si>
    <t>https://lpse.kalbarprov.go.id/eproc4/lelang/5530097/pemenang</t>
  </si>
  <si>
    <t>https://lpse.kalbarprov.go.id/eproc4/lelang/5530097/pemenangberkontrak</t>
  </si>
  <si>
    <t>Rp. 2.480.000.000,00</t>
  </si>
  <si>
    <t>24 peserta</t>
  </si>
  <si>
    <t>https://lpse.kalbarprov.go.id/eproc4/lelang/5529097/pengumumanlelang</t>
  </si>
  <si>
    <t>https://lpse.kalbarprov.go.id/eproc4/lelang/5529097/peserta</t>
  </si>
  <si>
    <t>https://lpse.kalbarprov.go.id/eproc4/lelang/5529097/hasil</t>
  </si>
  <si>
    <t>https://lpse.kalbarprov.go.id/eproc4/lelang/5529097/pemenang</t>
  </si>
  <si>
    <t>https://lpse.kalbarprov.go.id/eproc4/lelang/5529097/pemenangberkontrak</t>
  </si>
  <si>
    <t>Rp. 2.500.000.000,00</t>
  </si>
  <si>
    <t>https://lpse.kalbarprov.go.id/eproc4/lelang/5528097/pengumumanlelang</t>
  </si>
  <si>
    <t>https://lpse.kalbarprov.go.id/eproc4/lelang/5528097/peserta</t>
  </si>
  <si>
    <t>https://lpse.kalbarprov.go.id/eproc4/lelang/5528097/hasil</t>
  </si>
  <si>
    <t>https://lpse.kalbarprov.go.id/eproc4/lelang/5528097/pemenang</t>
  </si>
  <si>
    <t>https://lpse.kalbarprov.go.id/eproc4/lelang/5528097/pemenangberkontrak</t>
  </si>
  <si>
    <t>https://lpse.kalbarprov.go.id/eproc4/lelang/5527097/pengumumanlelang</t>
  </si>
  <si>
    <t>https://lpse.kalbarprov.go.id/eproc4/lelang/5527097/peserta</t>
  </si>
  <si>
    <t>https://lpse.kalbarprov.go.id/eproc4/lelang/5527097/hasil</t>
  </si>
  <si>
    <t>https://lpse.kalbarprov.go.id/eproc4/lelang/5527097/pemenang</t>
  </si>
  <si>
    <t>https://lpse.kalbarprov.go.id/eproc4/lelang/5527097/pemenangberkontrak</t>
  </si>
  <si>
    <t>Rp. 1.183.000.000,00</t>
  </si>
  <si>
    <t>https://lpse.kalbarprov.go.id/eproc4/lelang/5526097/pengumumanlelang</t>
  </si>
  <si>
    <t>https://lpse.kalbarprov.go.id/eproc4/lelang/5526097/peserta</t>
  </si>
  <si>
    <t>https://lpse.kalbarprov.go.id/eproc4/lelang/5526097/hasil</t>
  </si>
  <si>
    <t>https://lpse.kalbarprov.go.id/eproc4/lelang/5526097/pemenang</t>
  </si>
  <si>
    <t>https://lpse.kalbarprov.go.id/eproc4/lelang/5526097/pemenangberkontrak</t>
  </si>
  <si>
    <t>https://lpse.kalbarprov.go.id/eproc4/lelang/5525097/pengumumanlelang</t>
  </si>
  <si>
    <t>https://lpse.kalbarprov.go.id/eproc4/lelang/5525097/peserta</t>
  </si>
  <si>
    <t>https://lpse.kalbarprov.go.id/eproc4/lelang/5525097/hasil</t>
  </si>
  <si>
    <t>https://lpse.kalbarprov.go.id/eproc4/lelang/5525097/pemenang</t>
  </si>
  <si>
    <t>https://lpse.kalbarprov.go.id/eproc4/lelang/5525097/pemenangberkontrak</t>
  </si>
  <si>
    <t>34 peserta</t>
  </si>
  <si>
    <t>https://lpse.kalbarprov.go.id/eproc4/lelang/5524097/pengumumanlelang</t>
  </si>
  <si>
    <t>https://lpse.kalbarprov.go.id/eproc4/lelang/5524097/peserta</t>
  </si>
  <si>
    <t>https://lpse.kalbarprov.go.id/eproc4/lelang/5524097/hasil</t>
  </si>
  <si>
    <t>https://lpse.kalbarprov.go.id/eproc4/lelang/5524097/pemenang</t>
  </si>
  <si>
    <t>https://lpse.kalbarprov.go.id/eproc4/lelang/5524097/pemenangberkontrak</t>
  </si>
  <si>
    <t>Rp. 240.000.000,00</t>
  </si>
  <si>
    <t>https://lpse.kalbarprov.go.id/eproc4/lelang/5523097/pengumumanlelang</t>
  </si>
  <si>
    <t>https://lpse.kalbarprov.go.id/eproc4/lelang/5523097/peserta</t>
  </si>
  <si>
    <t>https://lpse.kalbarprov.go.id/eproc4/lelang/5523097/hasil</t>
  </si>
  <si>
    <t>https://lpse.kalbarprov.go.id/eproc4/lelang/5523097/pemenang</t>
  </si>
  <si>
    <t>https://lpse.kalbarprov.go.id/eproc4/lelang/5523097/pemenangberkontrak</t>
  </si>
  <si>
    <t>Rp. 220.000.000,00</t>
  </si>
  <si>
    <t>https://lpse.kalbarprov.go.id/eproc4/lelang/5522097/pengumumanlelang</t>
  </si>
  <si>
    <t>https://lpse.kalbarprov.go.id/eproc4/lelang/5522097/peserta</t>
  </si>
  <si>
    <t>https://lpse.kalbarprov.go.id/eproc4/lelang/5522097/hasil</t>
  </si>
  <si>
    <t>https://lpse.kalbarprov.go.id/eproc4/lelang/5522097/pemenang</t>
  </si>
  <si>
    <t>https://lpse.kalbarprov.go.id/eproc4/lelang/5522097/pemenangberkontrak</t>
  </si>
  <si>
    <t>https://lpse.kalbarprov.go.id/eproc4/lelang/5521097/pengumumanlelang</t>
  </si>
  <si>
    <t>https://lpse.kalbarprov.go.id/eproc4/lelang/5521097/peserta</t>
  </si>
  <si>
    <t>https://lpse.kalbarprov.go.id/eproc4/lelang/5521097/hasil</t>
  </si>
  <si>
    <t>https://lpse.kalbarprov.go.id/eproc4/lelang/5521097/pemenang</t>
  </si>
  <si>
    <t>https://lpse.kalbarprov.go.id/eproc4/lelang/5521097/pemenangberkontrak</t>
  </si>
  <si>
    <t>Rp. 275.000.000,00</t>
  </si>
  <si>
    <t>18 peserta</t>
  </si>
  <si>
    <t>https://lpse.kalbarprov.go.id/eproc4/lelang/5520097/pengumumanlelang</t>
  </si>
  <si>
    <t>https://lpse.kalbarprov.go.id/eproc4/lelang/5520097/peserta</t>
  </si>
  <si>
    <t>https://lpse.kalbarprov.go.id/eproc4/lelang/5520097/hasil</t>
  </si>
  <si>
    <t>https://lpse.kalbarprov.go.id/eproc4/lelang/5520097/pemenang</t>
  </si>
  <si>
    <t>https://lpse.kalbarprov.go.id/eproc4/lelang/5520097/pemenangberkontrak</t>
  </si>
  <si>
    <t>14 peserta</t>
  </si>
  <si>
    <t>https://lpse.kalbarprov.go.id/eproc4/lelang/5519097/pengumumanlelang</t>
  </si>
  <si>
    <t>https://lpse.kalbarprov.go.id/eproc4/lelang/5519097/peserta</t>
  </si>
  <si>
    <t>https://lpse.kalbarprov.go.id/eproc4/lelang/5519097/hasil</t>
  </si>
  <si>
    <t>https://lpse.kalbarprov.go.id/eproc4/lelang/5519097/pemenang</t>
  </si>
  <si>
    <t>https://lpse.kalbarprov.go.id/eproc4/lelang/5519097/pemenangberkontrak</t>
  </si>
  <si>
    <t>Rp. 752.400.000,00</t>
  </si>
  <si>
    <t>https://lpse.kalbarprov.go.id/eproc4/lelang/5518097/pengumumanlelang</t>
  </si>
  <si>
    <t>https://lpse.kalbarprov.go.id/eproc4/lelang/5518097/peserta</t>
  </si>
  <si>
    <t>https://lpse.kalbarprov.go.id/eproc4/lelang/5518097/hasil</t>
  </si>
  <si>
    <t>https://lpse.kalbarprov.go.id/eproc4/lelang/5518097/pemenang</t>
  </si>
  <si>
    <t>https://lpse.kalbarprov.go.id/eproc4/lelang/5518097/pemenangberkontrak</t>
  </si>
  <si>
    <t>https://lpse.kalbarprov.go.id/eproc4/lelang/5517097/pengumumanlelang</t>
  </si>
  <si>
    <t>https://lpse.kalbarprov.go.id/eproc4/lelang/5517097/peserta</t>
  </si>
  <si>
    <t>https://lpse.kalbarprov.go.id/eproc4/lelang/5517097/hasil</t>
  </si>
  <si>
    <t>https://lpse.kalbarprov.go.id/eproc4/lelang/5517097/pemenang</t>
  </si>
  <si>
    <t>https://lpse.kalbarprov.go.id/eproc4/lelang/5517097/pemenangberkontrak</t>
  </si>
  <si>
    <t>Rp. 900.000.000,00</t>
  </si>
  <si>
    <t>https://lpse.kalbarprov.go.id/eproc4/lelang/5516097/pengumumanlelang</t>
  </si>
  <si>
    <t>https://lpse.kalbarprov.go.id/eproc4/lelang/5516097/peserta</t>
  </si>
  <si>
    <t>https://lpse.kalbarprov.go.id/eproc4/lelang/5516097/hasil</t>
  </si>
  <si>
    <t>https://lpse.kalbarprov.go.id/eproc4/lelang/5516097/pemenang</t>
  </si>
  <si>
    <t>https://lpse.kalbarprov.go.id/eproc4/lelang/5516097/pemenangberkontrak</t>
  </si>
  <si>
    <t>https://lpse.kalbarprov.go.id/eproc4/lelang/5514097/pengumumanlelang</t>
  </si>
  <si>
    <t>https://lpse.kalbarprov.go.id/eproc4/lelang/5514097/peserta</t>
  </si>
  <si>
    <t>https://lpse.kalbarprov.go.id/eproc4/lelang/5514097/hasil</t>
  </si>
  <si>
    <t>https://lpse.kalbarprov.go.id/eproc4/lelang/5514097/pemenang</t>
  </si>
  <si>
    <t>https://lpse.kalbarprov.go.id/eproc4/lelang/5514097/pemenangberkontrak</t>
  </si>
  <si>
    <t>https://lpse.kalbarprov.go.id/eproc4/lelang/5513097/pengumumanlelang</t>
  </si>
  <si>
    <t>https://lpse.kalbarprov.go.id/eproc4/lelang/5513097/peserta</t>
  </si>
  <si>
    <t>https://lpse.kalbarprov.go.id/eproc4/lelang/5513097/hasil</t>
  </si>
  <si>
    <t>https://lpse.kalbarprov.go.id/eproc4/lelang/5513097/pemenang</t>
  </si>
  <si>
    <t>https://lpse.kalbarprov.go.id/eproc4/lelang/5513097/pemenangberkontrak</t>
  </si>
  <si>
    <t>17 peserta</t>
  </si>
  <si>
    <t>https://lpse.kalbarprov.go.id/eproc4/lelang/5512097/pengumumanlelang</t>
  </si>
  <si>
    <t>https://lpse.kalbarprov.go.id/eproc4/lelang/5512097/peserta</t>
  </si>
  <si>
    <t>https://lpse.kalbarprov.go.id/eproc4/lelang/5512097/hasil</t>
  </si>
  <si>
    <t>https://lpse.kalbarprov.go.id/eproc4/lelang/5512097/pemenang</t>
  </si>
  <si>
    <t>https://lpse.kalbarprov.go.id/eproc4/lelang/5512097/pemenangberkontrak</t>
  </si>
  <si>
    <t>Rp. 750.000.000,00</t>
  </si>
  <si>
    <t>https://lpse.kalbarprov.go.id/eproc4/lelang/5509097/pengumumanlelang</t>
  </si>
  <si>
    <t>https://lpse.kalbarprov.go.id/eproc4/lelang/5509097/peserta</t>
  </si>
  <si>
    <t>https://lpse.kalbarprov.go.id/eproc4/lelang/5509097/hasil</t>
  </si>
  <si>
    <t>https://lpse.kalbarprov.go.id/eproc4/lelang/5509097/pemenang</t>
  </si>
  <si>
    <t>https://lpse.kalbarprov.go.id/eproc4/lelang/5509097/pemenangberkontrak</t>
  </si>
  <si>
    <t>https://lpse.kalbarprov.go.id/eproc4/lelang/5508097/pengumumanlelang</t>
  </si>
  <si>
    <t>https://lpse.kalbarprov.go.id/eproc4/lelang/5508097/peserta</t>
  </si>
  <si>
    <t>https://lpse.kalbarprov.go.id/eproc4/lelang/5508097/hasil</t>
  </si>
  <si>
    <t>https://lpse.kalbarprov.go.id/eproc4/lelang/5508097/pemenang</t>
  </si>
  <si>
    <t>https://lpse.kalbarprov.go.id/eproc4/lelang/5508097/pemenangberkontrak</t>
  </si>
  <si>
    <t>Rp. 660.000.000,00</t>
  </si>
  <si>
    <t>https://lpse.kalbarprov.go.id/eproc4/lelang/5507097/pengumumanlelang</t>
  </si>
  <si>
    <t>https://lpse.kalbarprov.go.id/eproc4/lelang/5507097/peserta</t>
  </si>
  <si>
    <t>https://lpse.kalbarprov.go.id/eproc4/lelang/5507097/hasil</t>
  </si>
  <si>
    <t>https://lpse.kalbarprov.go.id/eproc4/lelang/5507097/pemenang</t>
  </si>
  <si>
    <t>https://lpse.kalbarprov.go.id/eproc4/lelang/5507097/pemenangberkontrak</t>
  </si>
  <si>
    <t>Rp. 415.600.000,00</t>
  </si>
  <si>
    <t>https://lpse.kalbarprov.go.id/eproc4/lelang/5505097/pengumumanlelang</t>
  </si>
  <si>
    <t>https://lpse.kalbarprov.go.id/eproc4/lelang/5505097/peserta</t>
  </si>
  <si>
    <t>https://lpse.kalbarprov.go.id/eproc4/lelang/5505097/hasil</t>
  </si>
  <si>
    <t>https://lpse.kalbarprov.go.id/eproc4/lelang/5505097/pemenang</t>
  </si>
  <si>
    <t>https://lpse.kalbarprov.go.id/eproc4/lelang/5505097/pemenangberkontrak</t>
  </si>
  <si>
    <t>Rp. 2.000.000.000,00</t>
  </si>
  <si>
    <t>45 peserta</t>
  </si>
  <si>
    <t>https://lpse.kalbarprov.go.id/eproc4/lelang/5504097/pengumumanlelang</t>
  </si>
  <si>
    <t>https://lpse.kalbarprov.go.id/eproc4/lelang/5504097/peserta</t>
  </si>
  <si>
    <t>https://lpse.kalbarprov.go.id/eproc4/lelang/5504097/hasil</t>
  </si>
  <si>
    <t>https://lpse.kalbarprov.go.id/eproc4/lelang/5504097/pemenang</t>
  </si>
  <si>
    <t>https://lpse.kalbarprov.go.id/eproc4/lelang/5504097/pemenangberkontrak</t>
  </si>
  <si>
    <t>Rp. 405.000.000,00</t>
  </si>
  <si>
    <t>15 peserta</t>
  </si>
  <si>
    <t>https://lpse.kalbarprov.go.id/eproc4/lelang/5503097/pengumumanlelang</t>
  </si>
  <si>
    <t>https://lpse.kalbarprov.go.id/eproc4/lelang/5503097/peserta</t>
  </si>
  <si>
    <t>https://lpse.kalbarprov.go.id/eproc4/lelang/5503097/hasil</t>
  </si>
  <si>
    <t>https://lpse.kalbarprov.go.id/eproc4/lelang/5503097/pemenang</t>
  </si>
  <si>
    <t>https://lpse.kalbarprov.go.id/eproc4/lelang/5503097/pemenangberkontrak</t>
  </si>
  <si>
    <t>Rp. 420.331.000,00</t>
  </si>
  <si>
    <t xml:space="preserve">BLU 2019   </t>
  </si>
  <si>
    <t>https://lpse.kalbarprov.go.id/eproc4/lelang/5500097/pengumumanlelang</t>
  </si>
  <si>
    <t>https://lpse.kalbarprov.go.id/eproc4/lelang/5500097/peserta</t>
  </si>
  <si>
    <t>https://lpse.kalbarprov.go.id/eproc4/lelang/5500097/hasil</t>
  </si>
  <si>
    <t>https://lpse.kalbarprov.go.id/eproc4/lelang/5500097/pemenang</t>
  </si>
  <si>
    <t>https://lpse.kalbarprov.go.id/eproc4/lelang/5500097/pemenangberkontrak</t>
  </si>
  <si>
    <t>https://lpse.kalbarprov.go.id/eproc4/lelang/5499097/pengumumanlelang</t>
  </si>
  <si>
    <t>https://lpse.kalbarprov.go.id/eproc4/lelang/5499097/peserta</t>
  </si>
  <si>
    <t>https://lpse.kalbarprov.go.id/eproc4/lelang/5499097/hasil</t>
  </si>
  <si>
    <t>https://lpse.kalbarprov.go.id/eproc4/lelang/5499097/pemenang</t>
  </si>
  <si>
    <t>https://lpse.kalbarprov.go.id/eproc4/lelang/5499097/pemenangberkontrak</t>
  </si>
  <si>
    <t>Rp. 544.000.000,00</t>
  </si>
  <si>
    <t>https://lpse.kalbarprov.go.id/eproc4/lelang/5498097/pengumumanlelang</t>
  </si>
  <si>
    <t>https://lpse.kalbarprov.go.id/eproc4/lelang/5498097/peserta</t>
  </si>
  <si>
    <t>https://lpse.kalbarprov.go.id/eproc4/lelang/5498097/hasil</t>
  </si>
  <si>
    <t>https://lpse.kalbarprov.go.id/eproc4/lelang/5498097/pemenang</t>
  </si>
  <si>
    <t>https://lpse.kalbarprov.go.id/eproc4/lelang/5498097/pemenangberkontrak</t>
  </si>
  <si>
    <t>Rp. 509.000.000,00</t>
  </si>
  <si>
    <t>https://lpse.kalbarprov.go.id/eproc4/lelang/5496097/pengumumanlelang</t>
  </si>
  <si>
    <t>https://lpse.kalbarprov.go.id/eproc4/lelang/5496097/peserta</t>
  </si>
  <si>
    <t>https://lpse.kalbarprov.go.id/eproc4/lelang/5496097/hasil</t>
  </si>
  <si>
    <t>https://lpse.kalbarprov.go.id/eproc4/lelang/5496097/pemenang</t>
  </si>
  <si>
    <t>https://lpse.kalbarprov.go.id/eproc4/lelang/5496097/pemenangberkontrak</t>
  </si>
  <si>
    <t>Rp. 254.741.000,00</t>
  </si>
  <si>
    <t>https://lpse.kalbarprov.go.id/eproc4/lelang/5495097/pengumumanlelang</t>
  </si>
  <si>
    <t>https://lpse.kalbarprov.go.id/eproc4/lelang/5495097/peserta</t>
  </si>
  <si>
    <t>https://lpse.kalbarprov.go.id/eproc4/lelang/5495097/hasil</t>
  </si>
  <si>
    <t>https://lpse.kalbarprov.go.id/eproc4/lelang/5495097/pemenang</t>
  </si>
  <si>
    <t>https://lpse.kalbarprov.go.id/eproc4/lelang/5495097/pemenangberkontrak</t>
  </si>
  <si>
    <t>Rp. 1.628.307.000,00</t>
  </si>
  <si>
    <t>44 peserta</t>
  </si>
  <si>
    <t>https://lpse.kalbarprov.go.id/eproc4/lelang/5494097/pengumumanlelang</t>
  </si>
  <si>
    <t>https://lpse.kalbarprov.go.id/eproc4/lelang/5494097/peserta</t>
  </si>
  <si>
    <t>https://lpse.kalbarprov.go.id/eproc4/lelang/5494097/hasil</t>
  </si>
  <si>
    <t>https://lpse.kalbarprov.go.id/eproc4/lelang/5494097/pemenang</t>
  </si>
  <si>
    <t>https://lpse.kalbarprov.go.id/eproc4/lelang/5494097/pemenangberkontrak</t>
  </si>
  <si>
    <t>Rp. 609.343.000,00</t>
  </si>
  <si>
    <t>https://lpse.kalbarprov.go.id/eproc4/lelang/5493097/pengumumanlelang</t>
  </si>
  <si>
    <t>https://lpse.kalbarprov.go.id/eproc4/lelang/5493097/peserta</t>
  </si>
  <si>
    <t>https://lpse.kalbarprov.go.id/eproc4/lelang/5493097/hasil</t>
  </si>
  <si>
    <t>https://lpse.kalbarprov.go.id/eproc4/lelang/5493097/pemenang</t>
  </si>
  <si>
    <t>https://lpse.kalbarprov.go.id/eproc4/lelang/5493097/pemenangberkontrak</t>
  </si>
  <si>
    <t>Rp. 908.926.000,00</t>
  </si>
  <si>
    <t>https://lpse.kalbarprov.go.id/eproc4/lelang/5492097/pengumumanlelang</t>
  </si>
  <si>
    <t>https://lpse.kalbarprov.go.id/eproc4/lelang/5492097/peserta</t>
  </si>
  <si>
    <t>https://lpse.kalbarprov.go.id/eproc4/lelang/5492097/hasil</t>
  </si>
  <si>
    <t>https://lpse.kalbarprov.go.id/eproc4/lelang/5492097/pemenang</t>
  </si>
  <si>
    <t>https://lpse.kalbarprov.go.id/eproc4/lelang/5492097/pemenangberkontrak</t>
  </si>
  <si>
    <t>Rp. 3.372.113.000,00</t>
  </si>
  <si>
    <t>48 peserta</t>
  </si>
  <si>
    <t>https://lpse.kalbarprov.go.id/eproc4/lelang/5491097/pengumumanlelang</t>
  </si>
  <si>
    <t>https://lpse.kalbarprov.go.id/eproc4/lelang/5491097/peserta</t>
  </si>
  <si>
    <t>https://lpse.kalbarprov.go.id/eproc4/lelang/5491097/hasil</t>
  </si>
  <si>
    <t>https://lpse.kalbarprov.go.id/eproc4/lelang/5491097/pemenang</t>
  </si>
  <si>
    <t>https://lpse.kalbarprov.go.id/eproc4/lelang/5491097/pemenangberkontrak</t>
  </si>
  <si>
    <t>Rp. 1.538.623.000,00</t>
  </si>
  <si>
    <t>https://lpse.kalbarprov.go.id/eproc4/lelang/5490097/pengumumanlelang</t>
  </si>
  <si>
    <t>https://lpse.kalbarprov.go.id/eproc4/lelang/5490097/peserta</t>
  </si>
  <si>
    <t>https://lpse.kalbarprov.go.id/eproc4/lelang/5490097/hasil</t>
  </si>
  <si>
    <t>https://lpse.kalbarprov.go.id/eproc4/lelang/5490097/pemenang</t>
  </si>
  <si>
    <t>https://lpse.kalbarprov.go.id/eproc4/lelang/5490097/pemenangberkontrak</t>
  </si>
  <si>
    <t>Rp. 1.894.506.000,00</t>
  </si>
  <si>
    <t>39 peserta</t>
  </si>
  <si>
    <t>https://lpse.kalbarprov.go.id/eproc4/lelang/5488097/pengumumanlelang</t>
  </si>
  <si>
    <t>https://lpse.kalbarprov.go.id/eproc4/lelang/5488097/peserta</t>
  </si>
  <si>
    <t>https://lpse.kalbarprov.go.id/eproc4/lelang/5488097/hasil</t>
  </si>
  <si>
    <t>https://lpse.kalbarprov.go.id/eproc4/lelang/5488097/pemenang</t>
  </si>
  <si>
    <t>https://lpse.kalbarprov.go.id/eproc4/lelang/5488097/pemenangberkontrak</t>
  </si>
  <si>
    <t>Rp. 436.400.000,00</t>
  </si>
  <si>
    <t>https://lpse.kalbarprov.go.id/eproc4/lelang/5487097/pengumumanlelang</t>
  </si>
  <si>
    <t>https://lpse.kalbarprov.go.id/eproc4/lelang/5487097/peserta</t>
  </si>
  <si>
    <t>https://lpse.kalbarprov.go.id/eproc4/lelang/5487097/hasil</t>
  </si>
  <si>
    <t>https://lpse.kalbarprov.go.id/eproc4/lelang/5487097/pemenang</t>
  </si>
  <si>
    <t>https://lpse.kalbarprov.go.id/eproc4/lelang/5487097/pemenangberkontrak</t>
  </si>
  <si>
    <t>Rp. 349.120.000,00</t>
  </si>
  <si>
    <t>https://lpse.kalbarprov.go.id/eproc4/lelang/5486097/pengumumanlelang</t>
  </si>
  <si>
    <t>https://lpse.kalbarprov.go.id/eproc4/lelang/5486097/peserta</t>
  </si>
  <si>
    <t>https://lpse.kalbarprov.go.id/eproc4/lelang/5486097/hasil</t>
  </si>
  <si>
    <t>https://lpse.kalbarprov.go.id/eproc4/lelang/5486097/pemenang</t>
  </si>
  <si>
    <t>https://lpse.kalbarprov.go.id/eproc4/lelang/5486097/pemenangberkontrak</t>
  </si>
  <si>
    <t>Rp. 301.400.000,00</t>
  </si>
  <si>
    <t>https://lpse.kalbarprov.go.id/eproc4/lelang/5484097/pengumumanlelang</t>
  </si>
  <si>
    <t>https://lpse.kalbarprov.go.id/eproc4/lelang/5484097/peserta</t>
  </si>
  <si>
    <t>https://lpse.kalbarprov.go.id/eproc4/lelang/5484097/hasil</t>
  </si>
  <si>
    <t>https://lpse.kalbarprov.go.id/eproc4/lelang/5484097/pemenang</t>
  </si>
  <si>
    <t>https://lpse.kalbarprov.go.id/eproc4/lelang/5484097/pemenangberkontrak</t>
  </si>
  <si>
    <t>Rp. 1.320.000.000,00</t>
  </si>
  <si>
    <t>76 peserta</t>
  </si>
  <si>
    <t>https://lpse.kalbarprov.go.id/eproc4/lelang/5482097/pengumumanlelang</t>
  </si>
  <si>
    <t>https://lpse.kalbarprov.go.id/eproc4/lelang/5482097/peserta</t>
  </si>
  <si>
    <t>https://lpse.kalbarprov.go.id/eproc4/lelang/5482097/hasil</t>
  </si>
  <si>
    <t>https://lpse.kalbarprov.go.id/eproc4/lelang/5482097/pemenang</t>
  </si>
  <si>
    <t>https://lpse.kalbarprov.go.id/eproc4/lelang/5482097/pemenangberkontrak</t>
  </si>
  <si>
    <t>Rp. 1.333.292.542,00</t>
  </si>
  <si>
    <t>https://lpse.kalbarprov.go.id/eproc4/lelang/5481097/pengumumanlelang</t>
  </si>
  <si>
    <t>https://lpse.kalbarprov.go.id/eproc4/lelang/5481097/peserta</t>
  </si>
  <si>
    <t>https://lpse.kalbarprov.go.id/eproc4/lelang/5481097/hasil</t>
  </si>
  <si>
    <t>https://lpse.kalbarprov.go.id/eproc4/lelang/5481097/pemenang</t>
  </si>
  <si>
    <t>https://lpse.kalbarprov.go.id/eproc4/lelang/5481097/pemenangberkontrak</t>
  </si>
  <si>
    <t>Rp. 35.000.000.000,00</t>
  </si>
  <si>
    <t>50 peserta</t>
  </si>
  <si>
    <t>https://lpse.kalbarprov.go.id/eproc4/lelang/5477097/pengumumanlelang</t>
  </si>
  <si>
    <t>https://lpse.kalbarprov.go.id/eproc4/lelang/5477097/peserta</t>
  </si>
  <si>
    <t>https://lpse.kalbarprov.go.id/eproc4/lelang/5477097/hasil</t>
  </si>
  <si>
    <t>https://lpse.kalbarprov.go.id/eproc4/lelang/5477097/pemenang</t>
  </si>
  <si>
    <t>https://lpse.kalbarprov.go.id/eproc4/lelang/5477097/pemenangberkontrak</t>
  </si>
  <si>
    <t>Rp. 342.440.000,00</t>
  </si>
  <si>
    <t>https://lpse.kalbarprov.go.id/eproc4/lelang/5476097/pengumumanlelang</t>
  </si>
  <si>
    <t>https://lpse.kalbarprov.go.id/eproc4/lelang/5476097/peserta</t>
  </si>
  <si>
    <t>https://lpse.kalbarprov.go.id/eproc4/lelang/5476097/hasil</t>
  </si>
  <si>
    <t>https://lpse.kalbarprov.go.id/eproc4/lelang/5476097/pemenang</t>
  </si>
  <si>
    <t>https://lpse.kalbarprov.go.id/eproc4/lelang/5476097/pemenangberkontrak</t>
  </si>
  <si>
    <t>60 peserta</t>
  </si>
  <si>
    <t>https://lpse.kalbarprov.go.id/eproc4/lelang/5475097/pengumumanlelang</t>
  </si>
  <si>
    <t>https://lpse.kalbarprov.go.id/eproc4/lelang/5475097/peserta</t>
  </si>
  <si>
    <t>https://lpse.kalbarprov.go.id/eproc4/lelang/5475097/hasil</t>
  </si>
  <si>
    <t>https://lpse.kalbarprov.go.id/eproc4/lelang/5475097/pemenang</t>
  </si>
  <si>
    <t>https://lpse.kalbarprov.go.id/eproc4/lelang/5475097/pemenangberkontrak</t>
  </si>
  <si>
    <t>56 peserta</t>
  </si>
  <si>
    <t>https://lpse.kalbarprov.go.id/eproc4/lelang/5474097/pengumumanlelang</t>
  </si>
  <si>
    <t>https://lpse.kalbarprov.go.id/eproc4/lelang/5474097/peserta</t>
  </si>
  <si>
    <t>https://lpse.kalbarprov.go.id/eproc4/lelang/5474097/hasil</t>
  </si>
  <si>
    <t>https://lpse.kalbarprov.go.id/eproc4/lelang/5474097/pemenang</t>
  </si>
  <si>
    <t>https://lpse.kalbarprov.go.id/eproc4/lelang/5474097/pemenangberkontrak</t>
  </si>
  <si>
    <t>Rp. 259.870.500,00</t>
  </si>
  <si>
    <t>https://lpse.kalbarprov.go.id/eproc4/lelang/5473097/pengumumanlelang</t>
  </si>
  <si>
    <t>https://lpse.kalbarprov.go.id/eproc4/lelang/5473097/peserta</t>
  </si>
  <si>
    <t>https://lpse.kalbarprov.go.id/eproc4/lelang/5473097/hasil</t>
  </si>
  <si>
    <t>https://lpse.kalbarprov.go.id/eproc4/lelang/5473097/pemenang</t>
  </si>
  <si>
    <t>https://lpse.kalbarprov.go.id/eproc4/lelang/5473097/pemenangberkontrak</t>
  </si>
  <si>
    <t>Rp. 390.000.000,00</t>
  </si>
  <si>
    <t>12 peserta</t>
  </si>
  <si>
    <t>https://lpse.kalbarprov.go.id/eproc4/lelang/5472097/pengumumanlelang</t>
  </si>
  <si>
    <t>https://lpse.kalbarprov.go.id/eproc4/lelang/5472097/peserta</t>
  </si>
  <si>
    <t>https://lpse.kalbarprov.go.id/eproc4/lelang/5472097/hasil</t>
  </si>
  <si>
    <t>https://lpse.kalbarprov.go.id/eproc4/lelang/5472097/pemenang</t>
  </si>
  <si>
    <t>https://lpse.kalbarprov.go.id/eproc4/lelang/5472097/pemenangberkontrak</t>
  </si>
  <si>
    <t>https://lpse.kalbarprov.go.id/eproc4/lelang/5471097/pengumumanlelang</t>
  </si>
  <si>
    <t>https://lpse.kalbarprov.go.id/eproc4/lelang/5471097/peserta</t>
  </si>
  <si>
    <t>https://lpse.kalbarprov.go.id/eproc4/lelang/5471097/hasil</t>
  </si>
  <si>
    <t>https://lpse.kalbarprov.go.id/eproc4/lelang/5471097/pemenang</t>
  </si>
  <si>
    <t>https://lpse.kalbarprov.go.id/eproc4/lelang/5471097/pemenangberkontrak</t>
  </si>
  <si>
    <t>Rp. 12.500.000.000,00</t>
  </si>
  <si>
    <t>93 peserta</t>
  </si>
  <si>
    <t>https://lpse.kalbarprov.go.id/eproc4/lelang/5470097/pengumumanlelang</t>
  </si>
  <si>
    <t>https://lpse.kalbarprov.go.id/eproc4/lelang/5470097/peserta</t>
  </si>
  <si>
    <t>https://lpse.kalbarprov.go.id/eproc4/lelang/5470097/hasil</t>
  </si>
  <si>
    <t>https://lpse.kalbarprov.go.id/eproc4/lelang/5470097/pemenang</t>
  </si>
  <si>
    <t>https://lpse.kalbarprov.go.id/eproc4/lelang/5470097/pemenangberkontrak</t>
  </si>
  <si>
    <t>Rp. 13.323.610.000,00</t>
  </si>
  <si>
    <t>41 peserta</t>
  </si>
  <si>
    <t>https://lpse.kalbarprov.go.id/eproc4/lelang/5468097/pengumumanlelang</t>
  </si>
  <si>
    <t>https://lpse.kalbarprov.go.id/eproc4/lelang/5468097/peserta</t>
  </si>
  <si>
    <t>https://lpse.kalbarprov.go.id/eproc4/lelang/5468097/hasil</t>
  </si>
  <si>
    <t>https://lpse.kalbarprov.go.id/eproc4/lelang/5468097/pemenang</t>
  </si>
  <si>
    <t>https://lpse.kalbarprov.go.id/eproc4/lelang/5468097/pemenangberkontrak</t>
  </si>
  <si>
    <t>https://lpse.kalbarprov.go.id/eproc4/lelang/5464097/pengumumanlelang</t>
  </si>
  <si>
    <t>https://lpse.kalbarprov.go.id/eproc4/lelang/5464097/peserta</t>
  </si>
  <si>
    <t>https://lpse.kalbarprov.go.id/eproc4/lelang/5464097/hasil</t>
  </si>
  <si>
    <t>https://lpse.kalbarprov.go.id/eproc4/lelang/5464097/pemenang</t>
  </si>
  <si>
    <t>https://lpse.kalbarprov.go.id/eproc4/lelang/5464097/pemenangberkontrak</t>
  </si>
  <si>
    <t>Rp. 2.287.800.000,00</t>
  </si>
  <si>
    <t>33 peserta</t>
  </si>
  <si>
    <t>https://lpse.kalbarprov.go.id/eproc4/lelang/5463097/pengumumanlelang</t>
  </si>
  <si>
    <t>https://lpse.kalbarprov.go.id/eproc4/lelang/5463097/peserta</t>
  </si>
  <si>
    <t>https://lpse.kalbarprov.go.id/eproc4/lelang/5463097/hasil</t>
  </si>
  <si>
    <t>https://lpse.kalbarprov.go.id/eproc4/lelang/5463097/pemenang</t>
  </si>
  <si>
    <t>https://lpse.kalbarprov.go.id/eproc4/lelang/5463097/pemenangberkontrak</t>
  </si>
  <si>
    <t>Rp. 448.792.000,00</t>
  </si>
  <si>
    <t>https://lpse.kalbarprov.go.id/eproc4/lelang/5462097/pengumumanlelang</t>
  </si>
  <si>
    <t>https://lpse.kalbarprov.go.id/eproc4/lelang/5462097/peserta</t>
  </si>
  <si>
    <t>https://lpse.kalbarprov.go.id/eproc4/lelang/5462097/hasil</t>
  </si>
  <si>
    <t>https://lpse.kalbarprov.go.id/eproc4/lelang/5462097/pemenang</t>
  </si>
  <si>
    <t>https://lpse.kalbarprov.go.id/eproc4/lelang/5462097/pemenangberkontrak</t>
  </si>
  <si>
    <t>https://lpse.kalbarprov.go.id/eproc4/lelang/5461097/pengumumanlelang</t>
  </si>
  <si>
    <t>https://lpse.kalbarprov.go.id/eproc4/lelang/5461097/peserta</t>
  </si>
  <si>
    <t>https://lpse.kalbarprov.go.id/eproc4/lelang/5461097/hasil</t>
  </si>
  <si>
    <t>https://lpse.kalbarprov.go.id/eproc4/lelang/5461097/pemenang</t>
  </si>
  <si>
    <t>https://lpse.kalbarprov.go.id/eproc4/lelang/5461097/pemenangberkontrak</t>
  </si>
  <si>
    <t>Rp. 150.000.000,00</t>
  </si>
  <si>
    <t>13 peserta</t>
  </si>
  <si>
    <t>https://lpse.kalbarprov.go.id/eproc4/lelang/5460097/pengumumanlelang</t>
  </si>
  <si>
    <t>https://lpse.kalbarprov.go.id/eproc4/lelang/5460097/peserta</t>
  </si>
  <si>
    <t>https://lpse.kalbarprov.go.id/eproc4/lelang/5460097/hasil</t>
  </si>
  <si>
    <t>https://lpse.kalbarprov.go.id/eproc4/lelang/5460097/pemenang</t>
  </si>
  <si>
    <t>https://lpse.kalbarprov.go.id/eproc4/lelang/5460097/pemenangberkontrak</t>
  </si>
  <si>
    <t>https://lpse.kalbarprov.go.id/eproc4/lelang/5459097/pengumumanlelang</t>
  </si>
  <si>
    <t>https://lpse.kalbarprov.go.id/eproc4/lelang/5459097/peserta</t>
  </si>
  <si>
    <t>https://lpse.kalbarprov.go.id/eproc4/lelang/5459097/hasil</t>
  </si>
  <si>
    <t>https://lpse.kalbarprov.go.id/eproc4/lelang/5459097/pemenang</t>
  </si>
  <si>
    <t>https://lpse.kalbarprov.go.id/eproc4/lelang/5459097/pemenangberkontrak</t>
  </si>
  <si>
    <t>Rp. 450.000.000,00</t>
  </si>
  <si>
    <t>https://lpse.kalbarprov.go.id/eproc4/lelang/5458097/pengumumanlelang</t>
  </si>
  <si>
    <t>https://lpse.kalbarprov.go.id/eproc4/lelang/5458097/peserta</t>
  </si>
  <si>
    <t>https://lpse.kalbarprov.go.id/eproc4/lelang/5458097/hasil</t>
  </si>
  <si>
    <t>https://lpse.kalbarprov.go.id/eproc4/lelang/5458097/pemenang</t>
  </si>
  <si>
    <t>https://lpse.kalbarprov.go.id/eproc4/lelang/5458097/pemenangberkontrak</t>
  </si>
  <si>
    <t>Rp. 396.000.000,00</t>
  </si>
  <si>
    <t>https://lpse.kalbarprov.go.id/eproc4/lelang/5457097/pengumumanlelang</t>
  </si>
  <si>
    <t>https://lpse.kalbarprov.go.id/eproc4/lelang/5457097/peserta</t>
  </si>
  <si>
    <t>https://lpse.kalbarprov.go.id/eproc4/lelang/5457097/hasil</t>
  </si>
  <si>
    <t>https://lpse.kalbarprov.go.id/eproc4/lelang/5457097/pemenang</t>
  </si>
  <si>
    <t>https://lpse.kalbarprov.go.id/eproc4/lelang/5457097/pemenangberkontrak</t>
  </si>
  <si>
    <t>Rp. 1.500.000.000,00</t>
  </si>
  <si>
    <t>https://lpse.kalbarprov.go.id/eproc4/lelang/5456097/pengumumanlelang</t>
  </si>
  <si>
    <t>https://lpse.kalbarprov.go.id/eproc4/lelang/5456097/peserta</t>
  </si>
  <si>
    <t>https://lpse.kalbarprov.go.id/eproc4/lelang/5456097/hasil</t>
  </si>
  <si>
    <t>https://lpse.kalbarprov.go.id/eproc4/lelang/5456097/pemenang</t>
  </si>
  <si>
    <t>https://lpse.kalbarprov.go.id/eproc4/lelang/5456097/pemenangberkontrak</t>
  </si>
  <si>
    <t>Rp. 2.200.000.000,00</t>
  </si>
  <si>
    <t>53 peserta</t>
  </si>
  <si>
    <t>https://lpse.kalbarprov.go.id/eproc4/lelang/5455097/pengumumanlelang</t>
  </si>
  <si>
    <t>https://lpse.kalbarprov.go.id/eproc4/lelang/5455097/peserta</t>
  </si>
  <si>
    <t>https://lpse.kalbarprov.go.id/eproc4/lelang/5455097/hasil</t>
  </si>
  <si>
    <t>https://lpse.kalbarprov.go.id/eproc4/lelang/5455097/pemenang</t>
  </si>
  <si>
    <t>https://lpse.kalbarprov.go.id/eproc4/lelang/5455097/pemenangberkontrak</t>
  </si>
  <si>
    <t>Rp. 630.000.000,00</t>
  </si>
  <si>
    <t>https://lpse.kalbarprov.go.id/eproc4/lelang/5454097/pengumumanlelang</t>
  </si>
  <si>
    <t>https://lpse.kalbarprov.go.id/eproc4/lelang/5454097/peserta</t>
  </si>
  <si>
    <t>https://lpse.kalbarprov.go.id/eproc4/lelang/5454097/hasil</t>
  </si>
  <si>
    <t>https://lpse.kalbarprov.go.id/eproc4/lelang/5454097/pemenang</t>
  </si>
  <si>
    <t>https://lpse.kalbarprov.go.id/eproc4/lelang/5454097/pemenangberkontrak</t>
  </si>
  <si>
    <t>https://lpse.kalbarprov.go.id/eproc4/lelang/5451097/pengumumanlelang</t>
  </si>
  <si>
    <t>https://lpse.kalbarprov.go.id/eproc4/lelang/5451097/peserta</t>
  </si>
  <si>
    <t>https://lpse.kalbarprov.go.id/eproc4/lelang/5451097/hasil</t>
  </si>
  <si>
    <t>https://lpse.kalbarprov.go.id/eproc4/lelang/5451097/pemenang</t>
  </si>
  <si>
    <t>https://lpse.kalbarprov.go.id/eproc4/lelang/5451097/pemenangberkontrak</t>
  </si>
  <si>
    <t>Rp. 3.550.000.000,00</t>
  </si>
  <si>
    <t>75 peserta</t>
  </si>
  <si>
    <t>https://lpse.kalbarprov.go.id/eproc4/lelang/5450097/pengumumanlelang</t>
  </si>
  <si>
    <t>https://lpse.kalbarprov.go.id/eproc4/lelang/5450097/peserta</t>
  </si>
  <si>
    <t>https://lpse.kalbarprov.go.id/eproc4/lelang/5450097/hasil</t>
  </si>
  <si>
    <t>https://lpse.kalbarprov.go.id/eproc4/lelang/5450097/pemenang</t>
  </si>
  <si>
    <t>https://lpse.kalbarprov.go.id/eproc4/lelang/5450097/pemenangberkontrak</t>
  </si>
  <si>
    <t>https://lpse.kalbarprov.go.id/eproc4/lelang/5449097/pengumumanlelang</t>
  </si>
  <si>
    <t>https://lpse.kalbarprov.go.id/eproc4/lelang/5449097/peserta</t>
  </si>
  <si>
    <t>https://lpse.kalbarprov.go.id/eproc4/lelang/5449097/hasil</t>
  </si>
  <si>
    <t>https://lpse.kalbarprov.go.id/eproc4/lelang/5449097/pemenang</t>
  </si>
  <si>
    <t>https://lpse.kalbarprov.go.id/eproc4/lelang/5449097/pemenangberkontrak</t>
  </si>
  <si>
    <t>59 peserta</t>
  </si>
  <si>
    <t>https://lpse.kalbarprov.go.id/eproc4/lelang/5448097/pengumumanlelang</t>
  </si>
  <si>
    <t>https://lpse.kalbarprov.go.id/eproc4/lelang/5448097/peserta</t>
  </si>
  <si>
    <t>https://lpse.kalbarprov.go.id/eproc4/lelang/5448097/hasil</t>
  </si>
  <si>
    <t>https://lpse.kalbarprov.go.id/eproc4/lelang/5448097/pemenang</t>
  </si>
  <si>
    <t>https://lpse.kalbarprov.go.id/eproc4/lelang/5448097/pemenangberkontrak</t>
  </si>
  <si>
    <t>63 peserta</t>
  </si>
  <si>
    <t>https://lpse.kalbarprov.go.id/eproc4/lelang/5446097/pengumumanlelang</t>
  </si>
  <si>
    <t>https://lpse.kalbarprov.go.id/eproc4/lelang/5446097/peserta</t>
  </si>
  <si>
    <t>https://lpse.kalbarprov.go.id/eproc4/lelang/5446097/hasil</t>
  </si>
  <si>
    <t>https://lpse.kalbarprov.go.id/eproc4/lelang/5446097/pemenang</t>
  </si>
  <si>
    <t>https://lpse.kalbarprov.go.id/eproc4/lelang/5446097/pemenangberkontrak</t>
  </si>
  <si>
    <t>Rp. 661.250.000,00</t>
  </si>
  <si>
    <t>https://lpse.kalbarprov.go.id/eproc4/lelang/5445097/pengumumanlelang</t>
  </si>
  <si>
    <t>https://lpse.kalbarprov.go.id/eproc4/lelang/5445097/peserta</t>
  </si>
  <si>
    <t>https://lpse.kalbarprov.go.id/eproc4/lelang/5445097/hasil</t>
  </si>
  <si>
    <t>https://lpse.kalbarprov.go.id/eproc4/lelang/5445097/pemenang</t>
  </si>
  <si>
    <t>https://lpse.kalbarprov.go.id/eproc4/lelang/5445097/pemenangberkontrak</t>
  </si>
  <si>
    <t>Rp. 1.550.000.000,00</t>
  </si>
  <si>
    <t>https://lpse.kalbarprov.go.id/eproc4/lelang/5444097/pengumumanlelang</t>
  </si>
  <si>
    <t>https://lpse.kalbarprov.go.id/eproc4/lelang/5444097/peserta</t>
  </si>
  <si>
    <t>https://lpse.kalbarprov.go.id/eproc4/lelang/5444097/hasil</t>
  </si>
  <si>
    <t>https://lpse.kalbarprov.go.id/eproc4/lelang/5444097/pemenang</t>
  </si>
  <si>
    <t>https://lpse.kalbarprov.go.id/eproc4/lelang/5444097/pemenangberkontrak</t>
  </si>
  <si>
    <t>https://lpse.kalbarprov.go.id/eproc4/lelang/5443097/pengumumanlelang</t>
  </si>
  <si>
    <t>https://lpse.kalbarprov.go.id/eproc4/lelang/5443097/peserta</t>
  </si>
  <si>
    <t>https://lpse.kalbarprov.go.id/eproc4/lelang/5443097/hasil</t>
  </si>
  <si>
    <t>https://lpse.kalbarprov.go.id/eproc4/lelang/5443097/pemenang</t>
  </si>
  <si>
    <t>https://lpse.kalbarprov.go.id/eproc4/lelang/5443097/pemenangberkontrak</t>
  </si>
  <si>
    <t>https://lpse.kalbarprov.go.id/eproc4/lelang/5441097/pengumumanlelang</t>
  </si>
  <si>
    <t>https://lpse.kalbarprov.go.id/eproc4/lelang/5441097/peserta</t>
  </si>
  <si>
    <t>https://lpse.kalbarprov.go.id/eproc4/lelang/5441097/hasil</t>
  </si>
  <si>
    <t>https://lpse.kalbarprov.go.id/eproc4/lelang/5441097/pemenang</t>
  </si>
  <si>
    <t>https://lpse.kalbarprov.go.id/eproc4/lelang/5441097/pemenangberkontrak</t>
  </si>
  <si>
    <t>https://lpse.kalbarprov.go.id/eproc4/lelang/5440097/pengumumanlelang</t>
  </si>
  <si>
    <t>https://lpse.kalbarprov.go.id/eproc4/lelang/5440097/peserta</t>
  </si>
  <si>
    <t>https://lpse.kalbarprov.go.id/eproc4/lelang/5440097/hasil</t>
  </si>
  <si>
    <t>https://lpse.kalbarprov.go.id/eproc4/lelang/5440097/pemenang</t>
  </si>
  <si>
    <t>https://lpse.kalbarprov.go.id/eproc4/lelang/5440097/pemenangberkontrak</t>
  </si>
  <si>
    <t>https://lpse.kalbarprov.go.id/eproc4/lelang/5439097/pengumumanlelang</t>
  </si>
  <si>
    <t>https://lpse.kalbarprov.go.id/eproc4/lelang/5439097/peserta</t>
  </si>
  <si>
    <t>https://lpse.kalbarprov.go.id/eproc4/lelang/5439097/hasil</t>
  </si>
  <si>
    <t>https://lpse.kalbarprov.go.id/eproc4/lelang/5439097/pemenang</t>
  </si>
  <si>
    <t>https://lpse.kalbarprov.go.id/eproc4/lelang/5439097/pemenangberkontrak</t>
  </si>
  <si>
    <t>Rp. 24.800.000.000,00</t>
  </si>
  <si>
    <t>https://lpse.kalbarprov.go.id/eproc4/lelang/5438097/pengumumanlelang</t>
  </si>
  <si>
    <t>https://lpse.kalbarprov.go.id/eproc4/lelang/5438097/peserta</t>
  </si>
  <si>
    <t>https://lpse.kalbarprov.go.id/eproc4/lelang/5438097/hasil</t>
  </si>
  <si>
    <t>https://lpse.kalbarprov.go.id/eproc4/lelang/5438097/pemenang</t>
  </si>
  <si>
    <t>https://lpse.kalbarprov.go.id/eproc4/lelang/5438097/pemenangberkontrak</t>
  </si>
  <si>
    <t>https://lpse.kalbarprov.go.id/eproc4/lelang/5437097/pengumumanlelang</t>
  </si>
  <si>
    <t>https://lpse.kalbarprov.go.id/eproc4/lelang/5437097/peserta</t>
  </si>
  <si>
    <t>https://lpse.kalbarprov.go.id/eproc4/lelang/5437097/hasil</t>
  </si>
  <si>
    <t>https://lpse.kalbarprov.go.id/eproc4/lelang/5437097/pemenang</t>
  </si>
  <si>
    <t>https://lpse.kalbarprov.go.id/eproc4/lelang/5437097/pemenangberkontrak</t>
  </si>
  <si>
    <t>https://lpse.kalbarprov.go.id/eproc4/lelang/5436097/pengumumanlelang</t>
  </si>
  <si>
    <t>https://lpse.kalbarprov.go.id/eproc4/lelang/5436097/peserta</t>
  </si>
  <si>
    <t>https://lpse.kalbarprov.go.id/eproc4/lelang/5436097/hasil</t>
  </si>
  <si>
    <t>https://lpse.kalbarprov.go.id/eproc4/lelang/5436097/pemenang</t>
  </si>
  <si>
    <t>https://lpse.kalbarprov.go.id/eproc4/lelang/5436097/pemenangberkontrak</t>
  </si>
  <si>
    <t>https://lpse.kalbarprov.go.id/eproc4/lelang/5435097/pengumumanlelang</t>
  </si>
  <si>
    <t>https://lpse.kalbarprov.go.id/eproc4/lelang/5435097/peserta</t>
  </si>
  <si>
    <t>https://lpse.kalbarprov.go.id/eproc4/lelang/5435097/hasil</t>
  </si>
  <si>
    <t>https://lpse.kalbarprov.go.id/eproc4/lelang/5435097/pemenang</t>
  </si>
  <si>
    <t>https://lpse.kalbarprov.go.id/eproc4/lelang/5435097/pemenangberkontrak</t>
  </si>
  <si>
    <t>https://lpse.kalbarprov.go.id/eproc4/lelang/5434097/pengumumanlelang</t>
  </si>
  <si>
    <t>https://lpse.kalbarprov.go.id/eproc4/lelang/5434097/peserta</t>
  </si>
  <si>
    <t>https://lpse.kalbarprov.go.id/eproc4/lelang/5434097/hasil</t>
  </si>
  <si>
    <t>https://lpse.kalbarprov.go.id/eproc4/lelang/5434097/pemenang</t>
  </si>
  <si>
    <t>https://lpse.kalbarprov.go.id/eproc4/lelang/5434097/pemenangberkontrak</t>
  </si>
  <si>
    <t>https://lpse.kalbarprov.go.id/eproc4/lelang/5433097/pengumumanlelang</t>
  </si>
  <si>
    <t>https://lpse.kalbarprov.go.id/eproc4/lelang/5433097/peserta</t>
  </si>
  <si>
    <t>https://lpse.kalbarprov.go.id/eproc4/lelang/5433097/hasil</t>
  </si>
  <si>
    <t>https://lpse.kalbarprov.go.id/eproc4/lelang/5433097/pemenang</t>
  </si>
  <si>
    <t>https://lpse.kalbarprov.go.id/eproc4/lelang/5433097/pemenangberkontrak</t>
  </si>
  <si>
    <t>https://lpse.kalbarprov.go.id/eproc4/lelang/5432097/pengumumanlelang</t>
  </si>
  <si>
    <t>https://lpse.kalbarprov.go.id/eproc4/lelang/5432097/peserta</t>
  </si>
  <si>
    <t>https://lpse.kalbarprov.go.id/eproc4/lelang/5432097/hasil</t>
  </si>
  <si>
    <t>https://lpse.kalbarprov.go.id/eproc4/lelang/5432097/pemenang</t>
  </si>
  <si>
    <t>https://lpse.kalbarprov.go.id/eproc4/lelang/5432097/pemenangberkontrak</t>
  </si>
  <si>
    <t>Rp. 518.000.000,00</t>
  </si>
  <si>
    <t>https://lpse.kalbarprov.go.id/eproc4/lelang/5431097/pengumumanlelang</t>
  </si>
  <si>
    <t>https://lpse.kalbarprov.go.id/eproc4/lelang/5431097/peserta</t>
  </si>
  <si>
    <t>https://lpse.kalbarprov.go.id/eproc4/lelang/5431097/hasil</t>
  </si>
  <si>
    <t>https://lpse.kalbarprov.go.id/eproc4/lelang/5431097/pemenang</t>
  </si>
  <si>
    <t>https://lpse.kalbarprov.go.id/eproc4/lelang/5431097/pemenangberkontrak</t>
  </si>
  <si>
    <t>Rp. 276.009.200,00</t>
  </si>
  <si>
    <t>https://lpse.kalbarprov.go.id/eproc4/lelang/5430097/pengumumanlelang</t>
  </si>
  <si>
    <t>https://lpse.kalbarprov.go.id/eproc4/lelang/5430097/peserta</t>
  </si>
  <si>
    <t>https://lpse.kalbarprov.go.id/eproc4/lelang/5430097/hasil</t>
  </si>
  <si>
    <t>https://lpse.kalbarprov.go.id/eproc4/lelang/5430097/pemenang</t>
  </si>
  <si>
    <t>https://lpse.kalbarprov.go.id/eproc4/lelang/5430097/pemenangberkontrak</t>
  </si>
  <si>
    <t>Rp. 520.000.000,00</t>
  </si>
  <si>
    <t>https://lpse.kalbarprov.go.id/eproc4/lelang/5428097/pengumumanlelang</t>
  </si>
  <si>
    <t>https://lpse.kalbarprov.go.id/eproc4/lelang/5428097/peserta</t>
  </si>
  <si>
    <t>https://lpse.kalbarprov.go.id/eproc4/lelang/5428097/hasil</t>
  </si>
  <si>
    <t>https://lpse.kalbarprov.go.id/eproc4/lelang/5428097/pemenang</t>
  </si>
  <si>
    <t>https://lpse.kalbarprov.go.id/eproc4/lelang/5428097/pemenangberkontrak</t>
  </si>
  <si>
    <t>Rp. 558.000.000,00</t>
  </si>
  <si>
    <t>https://lpse.kalbarprov.go.id/eproc4/lelang/5427097/pengumumanlelang</t>
  </si>
  <si>
    <t>https://lpse.kalbarprov.go.id/eproc4/lelang/5427097/peserta</t>
  </si>
  <si>
    <t>https://lpse.kalbarprov.go.id/eproc4/lelang/5427097/hasil</t>
  </si>
  <si>
    <t>https://lpse.kalbarprov.go.id/eproc4/lelang/5427097/pemenang</t>
  </si>
  <si>
    <t>https://lpse.kalbarprov.go.id/eproc4/lelang/5427097/pemenangberkontrak</t>
  </si>
  <si>
    <t>https://lpse.kalbarprov.go.id/eproc4/lelang/5426097/pengumumanlelang</t>
  </si>
  <si>
    <t>https://lpse.kalbarprov.go.id/eproc4/lelang/5426097/peserta</t>
  </si>
  <si>
    <t>https://lpse.kalbarprov.go.id/eproc4/lelang/5426097/hasil</t>
  </si>
  <si>
    <t>https://lpse.kalbarprov.go.id/eproc4/lelang/5426097/pemenang</t>
  </si>
  <si>
    <t>https://lpse.kalbarprov.go.id/eproc4/lelang/5426097/pemenangberkontrak</t>
  </si>
  <si>
    <t>https://lpse.kalbarprov.go.id/eproc4/lelang/5425097/pengumumanlelang</t>
  </si>
  <si>
    <t>https://lpse.kalbarprov.go.id/eproc4/lelang/5425097/peserta</t>
  </si>
  <si>
    <t>https://lpse.kalbarprov.go.id/eproc4/lelang/5425097/hasil</t>
  </si>
  <si>
    <t>https://lpse.kalbarprov.go.id/eproc4/lelang/5425097/pemenang</t>
  </si>
  <si>
    <t>https://lpse.kalbarprov.go.id/eproc4/lelang/5425097/pemenangberkontrak</t>
  </si>
  <si>
    <t>Rp. 810.000.000,00</t>
  </si>
  <si>
    <t>https://lpse.kalbarprov.go.id/eproc4/lelang/5422097/pengumumanlelang</t>
  </si>
  <si>
    <t>https://lpse.kalbarprov.go.id/eproc4/lelang/5422097/peserta</t>
  </si>
  <si>
    <t>https://lpse.kalbarprov.go.id/eproc4/lelang/5422097/hasil</t>
  </si>
  <si>
    <t>https://lpse.kalbarprov.go.id/eproc4/lelang/5422097/pemenang</t>
  </si>
  <si>
    <t>https://lpse.kalbarprov.go.id/eproc4/lelang/5422097/pemenangberkontrak</t>
  </si>
  <si>
    <t>Rp. 455.068.200,00</t>
  </si>
  <si>
    <t>16 peserta</t>
  </si>
  <si>
    <t>https://lpse.kalbarprov.go.id/eproc4/lelang/5419097/pengumumanlelang</t>
  </si>
  <si>
    <t>https://lpse.kalbarprov.go.id/eproc4/lelang/5419097/peserta</t>
  </si>
  <si>
    <t>https://lpse.kalbarprov.go.id/eproc4/lelang/5419097/hasil</t>
  </si>
  <si>
    <t>https://lpse.kalbarprov.go.id/eproc4/lelang/5419097/pemenang</t>
  </si>
  <si>
    <t>https://lpse.kalbarprov.go.id/eproc4/lelang/5419097/pemenangberkontrak</t>
  </si>
  <si>
    <t>Rp. 900.792.000,00</t>
  </si>
  <si>
    <t>https://lpse.kalbarprov.go.id/eproc4/lelang/5418097/pengumumanlelang</t>
  </si>
  <si>
    <t>https://lpse.kalbarprov.go.id/eproc4/lelang/5418097/peserta</t>
  </si>
  <si>
    <t>https://lpse.kalbarprov.go.id/eproc4/lelang/5418097/hasil</t>
  </si>
  <si>
    <t>https://lpse.kalbarprov.go.id/eproc4/lelang/5418097/pemenang</t>
  </si>
  <si>
    <t>https://lpse.kalbarprov.go.id/eproc4/lelang/5418097/pemenangberkontrak</t>
  </si>
  <si>
    <t>https://lpse.kalbarprov.go.id/eproc4/lelang/5417097/pengumumanlelang</t>
  </si>
  <si>
    <t>https://lpse.kalbarprov.go.id/eproc4/lelang/5417097/peserta</t>
  </si>
  <si>
    <t>https://lpse.kalbarprov.go.id/eproc4/lelang/5417097/hasil</t>
  </si>
  <si>
    <t>https://lpse.kalbarprov.go.id/eproc4/lelang/5417097/pemenang</t>
  </si>
  <si>
    <t>https://lpse.kalbarprov.go.id/eproc4/lelang/5417097/pemenangberkontrak</t>
  </si>
  <si>
    <t>https://lpse.kalbarprov.go.id/eproc4/lelang/5416097/pengumumanlelang</t>
  </si>
  <si>
    <t>https://lpse.kalbarprov.go.id/eproc4/lelang/5416097/peserta</t>
  </si>
  <si>
    <t>https://lpse.kalbarprov.go.id/eproc4/lelang/5416097/hasil</t>
  </si>
  <si>
    <t>https://lpse.kalbarprov.go.id/eproc4/lelang/5416097/pemenang</t>
  </si>
  <si>
    <t>https://lpse.kalbarprov.go.id/eproc4/lelang/5416097/pemenangberkontrak</t>
  </si>
  <si>
    <t>https://lpse.kalbarprov.go.id/eproc4/lelang/5415097/pengumumanlelang</t>
  </si>
  <si>
    <t>https://lpse.kalbarprov.go.id/eproc4/lelang/5415097/peserta</t>
  </si>
  <si>
    <t>https://lpse.kalbarprov.go.id/eproc4/lelang/5415097/hasil</t>
  </si>
  <si>
    <t>https://lpse.kalbarprov.go.id/eproc4/lelang/5415097/pemenang</t>
  </si>
  <si>
    <t>https://lpse.kalbarprov.go.id/eproc4/lelang/5415097/pemenangberkontrak</t>
  </si>
  <si>
    <t>https://lpse.kalbarprov.go.id/eproc4/lelang/5413097/pengumumanlelang</t>
  </si>
  <si>
    <t>https://lpse.kalbarprov.go.id/eproc4/lelang/5413097/peserta</t>
  </si>
  <si>
    <t>https://lpse.kalbarprov.go.id/eproc4/lelang/5413097/hasil</t>
  </si>
  <si>
    <t>https://lpse.kalbarprov.go.id/eproc4/lelang/5413097/pemenang</t>
  </si>
  <si>
    <t>https://lpse.kalbarprov.go.id/eproc4/lelang/5413097/pemenangberkontrak</t>
  </si>
  <si>
    <t>Rp. 448.500.000,00</t>
  </si>
  <si>
    <t>https://lpse.kalbarprov.go.id/eproc4/lelang/5412097/pengumumanlelang</t>
  </si>
  <si>
    <t>https://lpse.kalbarprov.go.id/eproc4/lelang/5412097/peserta</t>
  </si>
  <si>
    <t>https://lpse.kalbarprov.go.id/eproc4/lelang/5412097/hasil</t>
  </si>
  <si>
    <t>https://lpse.kalbarprov.go.id/eproc4/lelang/5412097/pemenang</t>
  </si>
  <si>
    <t>https://lpse.kalbarprov.go.id/eproc4/lelang/5412097/pemenangberkontrak</t>
  </si>
  <si>
    <t>Rp. 398.500.000,00</t>
  </si>
  <si>
    <t>https://lpse.kalbarprov.go.id/eproc4/lelang/5411097/pengumumanlelang</t>
  </si>
  <si>
    <t>https://lpse.kalbarprov.go.id/eproc4/lelang/5411097/peserta</t>
  </si>
  <si>
    <t>https://lpse.kalbarprov.go.id/eproc4/lelang/5411097/hasil</t>
  </si>
  <si>
    <t>https://lpse.kalbarprov.go.id/eproc4/lelang/5411097/pemenang</t>
  </si>
  <si>
    <t>https://lpse.kalbarprov.go.id/eproc4/lelang/5411097/pemenangberkontrak</t>
  </si>
  <si>
    <t>https://lpse.kalbarprov.go.id/eproc4/lelang/5409097/pengumumanlelang</t>
  </si>
  <si>
    <t>https://lpse.kalbarprov.go.id/eproc4/lelang/5409097/peserta</t>
  </si>
  <si>
    <t>https://lpse.kalbarprov.go.id/eproc4/lelang/5409097/hasil</t>
  </si>
  <si>
    <t>https://lpse.kalbarprov.go.id/eproc4/lelang/5409097/pemenang</t>
  </si>
  <si>
    <t>https://lpse.kalbarprov.go.id/eproc4/lelang/5409097/pemenangberkontrak</t>
  </si>
  <si>
    <t>Rp. 298.500.000,00</t>
  </si>
  <si>
    <t>https://lpse.kalbarprov.go.id/eproc4/lelang/5407097/pengumumanlelang</t>
  </si>
  <si>
    <t>https://lpse.kalbarprov.go.id/eproc4/lelang/5407097/peserta</t>
  </si>
  <si>
    <t>https://lpse.kalbarprov.go.id/eproc4/lelang/5407097/hasil</t>
  </si>
  <si>
    <t>https://lpse.kalbarprov.go.id/eproc4/lelang/5407097/pemenang</t>
  </si>
  <si>
    <t>https://lpse.kalbarprov.go.id/eproc4/lelang/5407097/pemenangberkontrak</t>
  </si>
  <si>
    <t>Rp. 4.223.000.000,00</t>
  </si>
  <si>
    <t>https://lpse.kalbarprov.go.id/eproc4/lelang/5406097/pengumumanlelang</t>
  </si>
  <si>
    <t>https://lpse.kalbarprov.go.id/eproc4/lelang/5406097/peserta</t>
  </si>
  <si>
    <t>https://lpse.kalbarprov.go.id/eproc4/lelang/5406097/hasil</t>
  </si>
  <si>
    <t>https://lpse.kalbarprov.go.id/eproc4/lelang/5406097/pemenang</t>
  </si>
  <si>
    <t>https://lpse.kalbarprov.go.id/eproc4/lelang/5406097/pemenangberkontrak</t>
  </si>
  <si>
    <t>Rp. 12.205.000.000,00</t>
  </si>
  <si>
    <t>https://lpse.kalbarprov.go.id/eproc4/lelang/5405097/pengumumanlelang</t>
  </si>
  <si>
    <t>https://lpse.kalbarprov.go.id/eproc4/lelang/5405097/peserta</t>
  </si>
  <si>
    <t>https://lpse.kalbarprov.go.id/eproc4/lelang/5405097/hasil</t>
  </si>
  <si>
    <t>https://lpse.kalbarprov.go.id/eproc4/lelang/5405097/pemenang</t>
  </si>
  <si>
    <t>https://lpse.kalbarprov.go.id/eproc4/lelang/5405097/pemenangberkontrak</t>
  </si>
  <si>
    <t>Rp. 358.750.000,00</t>
  </si>
  <si>
    <t>https://lpse.kalbarprov.go.id/eproc4/lelang/5404097/pengumumanlelang</t>
  </si>
  <si>
    <t>https://lpse.kalbarprov.go.id/eproc4/lelang/5404097/peserta</t>
  </si>
  <si>
    <t>https://lpse.kalbarprov.go.id/eproc4/lelang/5404097/hasil</t>
  </si>
  <si>
    <t>https://lpse.kalbarprov.go.id/eproc4/lelang/5404097/pemenang</t>
  </si>
  <si>
    <t>https://lpse.kalbarprov.go.id/eproc4/lelang/5404097/pemenangberkontrak</t>
  </si>
  <si>
    <t>Rp. 4.500.000.000,00</t>
  </si>
  <si>
    <t>https://lpse.kalbarprov.go.id/eproc4/lelang/5400097/pengumumanlelang</t>
  </si>
  <si>
    <t>https://lpse.kalbarprov.go.id/eproc4/lelang/5400097/peserta</t>
  </si>
  <si>
    <t>https://lpse.kalbarprov.go.id/eproc4/lelang/5400097/hasil</t>
  </si>
  <si>
    <t>https://lpse.kalbarprov.go.id/eproc4/lelang/5400097/pemenang</t>
  </si>
  <si>
    <t>https://lpse.kalbarprov.go.id/eproc4/lelang/5400097/pemenangberkontrak</t>
  </si>
  <si>
    <t>Rp. 670.278.000,00</t>
  </si>
  <si>
    <t>https://lpse.kalbarprov.go.id/eproc4/lelang/5399097/pengumumanlelang</t>
  </si>
  <si>
    <t>https://lpse.kalbarprov.go.id/eproc4/lelang/5399097/peserta</t>
  </si>
  <si>
    <t>https://lpse.kalbarprov.go.id/eproc4/lelang/5399097/hasil</t>
  </si>
  <si>
    <t>https://lpse.kalbarprov.go.id/eproc4/lelang/5399097/pemenang</t>
  </si>
  <si>
    <t>https://lpse.kalbarprov.go.id/eproc4/lelang/5399097/pemenangberkontrak</t>
  </si>
  <si>
    <t>https://lpse.kalbarprov.go.id/eproc4/lelang/5397097/pengumumanlelang</t>
  </si>
  <si>
    <t>https://lpse.kalbarprov.go.id/eproc4/lelang/5397097/peserta</t>
  </si>
  <si>
    <t>https://lpse.kalbarprov.go.id/eproc4/lelang/5397097/hasil</t>
  </si>
  <si>
    <t>https://lpse.kalbarprov.go.id/eproc4/lelang/5397097/pemenang</t>
  </si>
  <si>
    <t>https://lpse.kalbarprov.go.id/eproc4/lelang/5397097/pemenangberkontrak</t>
  </si>
  <si>
    <t>Rp. 9.397.000.000,00</t>
  </si>
  <si>
    <t>57 peserta</t>
  </si>
  <si>
    <t>https://lpse.kalbarprov.go.id/eproc4/lelang/5396097/pengumumanlelang</t>
  </si>
  <si>
    <t>https://lpse.kalbarprov.go.id/eproc4/lelang/5396097/peserta</t>
  </si>
  <si>
    <t>https://lpse.kalbarprov.go.id/eproc4/lelang/5396097/hasil</t>
  </si>
  <si>
    <t>https://lpse.kalbarprov.go.id/eproc4/lelang/5396097/pemenang</t>
  </si>
  <si>
    <t>https://lpse.kalbarprov.go.id/eproc4/lelang/5396097/pemenangberkontrak</t>
  </si>
  <si>
    <t>https://lpse.kalbarprov.go.id/eproc4/lelang/5395097/pengumumanlelang</t>
  </si>
  <si>
    <t>https://lpse.kalbarprov.go.id/eproc4/lelang/5395097/peserta</t>
  </si>
  <si>
    <t>https://lpse.kalbarprov.go.id/eproc4/lelang/5395097/hasil</t>
  </si>
  <si>
    <t>https://lpse.kalbarprov.go.id/eproc4/lelang/5395097/pemenang</t>
  </si>
  <si>
    <t>https://lpse.kalbarprov.go.id/eproc4/lelang/5395097/pemenangberkontrak</t>
  </si>
  <si>
    <t>https://lpse.kalbarprov.go.id/eproc4/lelang/5394097/pengumumanlelang</t>
  </si>
  <si>
    <t>https://lpse.kalbarprov.go.id/eproc4/lelang/5394097/peserta</t>
  </si>
  <si>
    <t>https://lpse.kalbarprov.go.id/eproc4/lelang/5394097/hasil</t>
  </si>
  <si>
    <t>https://lpse.kalbarprov.go.id/eproc4/lelang/5394097/pemenang</t>
  </si>
  <si>
    <t>https://lpse.kalbarprov.go.id/eproc4/lelang/5394097/pemenangberkontrak</t>
  </si>
  <si>
    <t>Rp. 135.000.000,00</t>
  </si>
  <si>
    <t>https://lpse.kalbarprov.go.id/eproc4/lelang/5393097/pengumumanlelang</t>
  </si>
  <si>
    <t>https://lpse.kalbarprov.go.id/eproc4/lelang/5393097/peserta</t>
  </si>
  <si>
    <t>https://lpse.kalbarprov.go.id/eproc4/lelang/5393097/hasil</t>
  </si>
  <si>
    <t>https://lpse.kalbarprov.go.id/eproc4/lelang/5393097/pemenang</t>
  </si>
  <si>
    <t>https://lpse.kalbarprov.go.id/eproc4/lelang/5393097/pemenangberkontrak</t>
  </si>
  <si>
    <t>Rp. 170.589.400,00</t>
  </si>
  <si>
    <t>https://lpse.kalbarprov.go.id/eproc4/lelang/5392097/pengumumanlelang</t>
  </si>
  <si>
    <t>https://lpse.kalbarprov.go.id/eproc4/lelang/5392097/peserta</t>
  </si>
  <si>
    <t>https://lpse.kalbarprov.go.id/eproc4/lelang/5392097/hasil</t>
  </si>
  <si>
    <t>https://lpse.kalbarprov.go.id/eproc4/lelang/5392097/pemenang</t>
  </si>
  <si>
    <t>https://lpse.kalbarprov.go.id/eproc4/lelang/5392097/pemenangberkontrak</t>
  </si>
  <si>
    <t>Rp. 6.807.000.000,00</t>
  </si>
  <si>
    <t>49 peserta</t>
  </si>
  <si>
    <t>https://lpse.kalbarprov.go.id/eproc4/lelang/5386097/pengumumanlelang</t>
  </si>
  <si>
    <t>https://lpse.kalbarprov.go.id/eproc4/lelang/5386097/peserta</t>
  </si>
  <si>
    <t>https://lpse.kalbarprov.go.id/eproc4/lelang/5386097/hasil</t>
  </si>
  <si>
    <t>https://lpse.kalbarprov.go.id/eproc4/lelang/5386097/pemenang</t>
  </si>
  <si>
    <t>https://lpse.kalbarprov.go.id/eproc4/lelang/5386097/pemenangberkontrak</t>
  </si>
  <si>
    <t>Rp. 6.017.000.000,00</t>
  </si>
  <si>
    <t>62 peserta</t>
  </si>
  <si>
    <t>https://lpse.kalbarprov.go.id/eproc4/lelang/5385097/pengumumanlelang</t>
  </si>
  <si>
    <t>https://lpse.kalbarprov.go.id/eproc4/lelang/5385097/peserta</t>
  </si>
  <si>
    <t>https://lpse.kalbarprov.go.id/eproc4/lelang/5385097/hasil</t>
  </si>
  <si>
    <t>https://lpse.kalbarprov.go.id/eproc4/lelang/5385097/pemenang</t>
  </si>
  <si>
    <t>https://lpse.kalbarprov.go.id/eproc4/lelang/5385097/pemenangberkontrak</t>
  </si>
  <si>
    <t>Rp. 245.000.000,00</t>
  </si>
  <si>
    <t>https://lpse.kalbarprov.go.id/eproc4/lelang/5383097/pengumumanlelang</t>
  </si>
  <si>
    <t>https://lpse.kalbarprov.go.id/eproc4/lelang/5383097/peserta</t>
  </si>
  <si>
    <t>https://lpse.kalbarprov.go.id/eproc4/lelang/5383097/hasil</t>
  </si>
  <si>
    <t>https://lpse.kalbarprov.go.id/eproc4/lelang/5383097/pemenang</t>
  </si>
  <si>
    <t>https://lpse.kalbarprov.go.id/eproc4/lelang/5383097/pemenangberkontrak</t>
  </si>
  <si>
    <t>https://lpse.kalbarprov.go.id/eproc4/lelang/5378097/pengumumanlelang</t>
  </si>
  <si>
    <t>https://lpse.kalbarprov.go.id/eproc4/lelang/5378097/peserta</t>
  </si>
  <si>
    <t>https://lpse.kalbarprov.go.id/eproc4/lelang/5378097/hasil</t>
  </si>
  <si>
    <t>https://lpse.kalbarprov.go.id/eproc4/lelang/5378097/pemenang</t>
  </si>
  <si>
    <t>https://lpse.kalbarprov.go.id/eproc4/lelang/5378097/pemenangberkontrak</t>
  </si>
  <si>
    <t>https://lpse.kalbarprov.go.id/eproc4/lelang/5377097/pengumumanlelang</t>
  </si>
  <si>
    <t>https://lpse.kalbarprov.go.id/eproc4/lelang/5377097/peserta</t>
  </si>
  <si>
    <t>https://lpse.kalbarprov.go.id/eproc4/lelang/5377097/hasil</t>
  </si>
  <si>
    <t>https://lpse.kalbarprov.go.id/eproc4/lelang/5377097/pemenang</t>
  </si>
  <si>
    <t>https://lpse.kalbarprov.go.id/eproc4/lelang/5377097/pemenangberkontrak</t>
  </si>
  <si>
    <t>https://lpse.kalbarprov.go.id/eproc4/lelang/5375097/pengumumanlelang</t>
  </si>
  <si>
    <t>https://lpse.kalbarprov.go.id/eproc4/lelang/5375097/peserta</t>
  </si>
  <si>
    <t>https://lpse.kalbarprov.go.id/eproc4/lelang/5375097/hasil</t>
  </si>
  <si>
    <t>https://lpse.kalbarprov.go.id/eproc4/lelang/5375097/pemenang</t>
  </si>
  <si>
    <t>https://lpse.kalbarprov.go.id/eproc4/lelang/5375097/pemenangberkontrak</t>
  </si>
  <si>
    <t>Rp. 10.074.000.000,00</t>
  </si>
  <si>
    <t>86 peserta</t>
  </si>
  <si>
    <t>https://lpse.kalbarprov.go.id/eproc4/lelang/5364097/pengumumanlelang</t>
  </si>
  <si>
    <t>https://lpse.kalbarprov.go.id/eproc4/lelang/5364097/peserta</t>
  </si>
  <si>
    <t>https://lpse.kalbarprov.go.id/eproc4/lelang/5364097/hasil</t>
  </si>
  <si>
    <t>https://lpse.kalbarprov.go.id/eproc4/lelang/5364097/pemenang</t>
  </si>
  <si>
    <t>https://lpse.kalbarprov.go.id/eproc4/lelang/5364097/pemenangberkontrak</t>
  </si>
  <si>
    <t>https://lpse.kalbarprov.go.id/eproc4/lelang/5356097/pengumumanlelang</t>
  </si>
  <si>
    <t>https://lpse.kalbarprov.go.id/eproc4/lelang/5356097/peserta</t>
  </si>
  <si>
    <t>https://lpse.kalbarprov.go.id/eproc4/lelang/5356097/hasil</t>
  </si>
  <si>
    <t>https://lpse.kalbarprov.go.id/eproc4/lelang/5356097/pemenang</t>
  </si>
  <si>
    <t>https://lpse.kalbarprov.go.id/eproc4/lelang/5356097/pemenangberkontrak</t>
  </si>
  <si>
    <t>Rp. 1.570.635.000,00</t>
  </si>
  <si>
    <t>https://lpse.kalbarprov.go.id/eproc4/lelang/5353097/pengumumanlelang</t>
  </si>
  <si>
    <t>https://lpse.kalbarprov.go.id/eproc4/lelang/5353097/peserta</t>
  </si>
  <si>
    <t>https://lpse.kalbarprov.go.id/eproc4/lelang/5353097/hasil</t>
  </si>
  <si>
    <t>https://lpse.kalbarprov.go.id/eproc4/lelang/5353097/pemenang</t>
  </si>
  <si>
    <t>https://lpse.kalbarprov.go.id/eproc4/lelang/5353097/pemenangberkontrak</t>
  </si>
  <si>
    <t>Rp. 1.792.590.000,00</t>
  </si>
  <si>
    <t>6 peserta</t>
  </si>
  <si>
    <t>https://lpse.kalbarprov.go.id/eproc4/lelang/5352097/pengumumanlelang</t>
  </si>
  <si>
    <t>https://lpse.kalbarprov.go.id/eproc4/lelang/5352097/peserta</t>
  </si>
  <si>
    <t>https://lpse.kalbarprov.go.id/eproc4/lelang/5352097/hasil</t>
  </si>
  <si>
    <t>https://lpse.kalbarprov.go.id/eproc4/lelang/5352097/pemenang</t>
  </si>
  <si>
    <t>https://lpse.kalbarprov.go.id/eproc4/lelang/5352097/pemenangberkontrak</t>
  </si>
  <si>
    <t>https://lpse.kalbarprov.go.id/eproc4/lelang/5351097/pengumumanlelang</t>
  </si>
  <si>
    <t>https://lpse.kalbarprov.go.id/eproc4/lelang/5351097/peserta</t>
  </si>
  <si>
    <t>https://lpse.kalbarprov.go.id/eproc4/lelang/5351097/hasil</t>
  </si>
  <si>
    <t>https://lpse.kalbarprov.go.id/eproc4/lelang/5351097/pemenang</t>
  </si>
  <si>
    <t>https://lpse.kalbarprov.go.id/eproc4/lelang/5351097/pemenangberkontrak</t>
  </si>
  <si>
    <t>Rp. 261.318.000,00</t>
  </si>
  <si>
    <t>https://lpse.kalbarprov.go.id/eproc4/lelang/5347097/pengumumanlelang</t>
  </si>
  <si>
    <t>https://lpse.kalbarprov.go.id/eproc4/lelang/5347097/peserta</t>
  </si>
  <si>
    <t>https://lpse.kalbarprov.go.id/eproc4/lelang/5347097/hasil</t>
  </si>
  <si>
    <t>https://lpse.kalbarprov.go.id/eproc4/lelang/5347097/pemenang</t>
  </si>
  <si>
    <t>https://lpse.kalbarprov.go.id/eproc4/lelang/5347097/pemenangberkontrak</t>
  </si>
  <si>
    <t>Rp. 189.000.000,00</t>
  </si>
  <si>
    <t>43 peserta</t>
  </si>
  <si>
    <t>https://lpse.kalbarprov.go.id/eproc4/lelang/5346097/pengumumanlelang</t>
  </si>
  <si>
    <t>https://lpse.kalbarprov.go.id/eproc4/lelang/5346097/peserta</t>
  </si>
  <si>
    <t>https://lpse.kalbarprov.go.id/eproc4/lelang/5346097/hasil</t>
  </si>
  <si>
    <t>https://lpse.kalbarprov.go.id/eproc4/lelang/5346097/pemenang</t>
  </si>
  <si>
    <t>https://lpse.kalbarprov.go.id/eproc4/lelang/5346097/pemenangberkontrak</t>
  </si>
  <si>
    <t>Rp. 7.833.060.000,00</t>
  </si>
  <si>
    <t>118 peserta</t>
  </si>
  <si>
    <t>https://lpse.kalbarprov.go.id/eproc4/lelang/5343097/pengumumanlelang</t>
  </si>
  <si>
    <t>https://lpse.kalbarprov.go.id/eproc4/lelang/5343097/peserta</t>
  </si>
  <si>
    <t>https://lpse.kalbarprov.go.id/eproc4/lelang/5343097/hasil</t>
  </si>
  <si>
    <t>https://lpse.kalbarprov.go.id/eproc4/lelang/5343097/pemenang</t>
  </si>
  <si>
    <t>https://lpse.kalbarprov.go.id/eproc4/lelang/5343097/pemenangberkontrak</t>
  </si>
  <si>
    <t>83 peserta</t>
  </si>
  <si>
    <t>https://lpse.kalbarprov.go.id/eproc4/lelang/5341097/pengumumanlelang</t>
  </si>
  <si>
    <t>https://lpse.kalbarprov.go.id/eproc4/lelang/5341097/peserta</t>
  </si>
  <si>
    <t>https://lpse.kalbarprov.go.id/eproc4/lelang/5341097/hasil</t>
  </si>
  <si>
    <t>https://lpse.kalbarprov.go.id/eproc4/lelang/5341097/pemenang</t>
  </si>
  <si>
    <t>https://lpse.kalbarprov.go.id/eproc4/lelang/5341097/pemenangberkontrak</t>
  </si>
  <si>
    <t>Rp. 1.800.000.000,00</t>
  </si>
  <si>
    <t>https://lpse.kalbarprov.go.id/eproc4/lelang/5339097/pengumumanlelang</t>
  </si>
  <si>
    <t>https://lpse.kalbarprov.go.id/eproc4/lelang/5339097/peserta</t>
  </si>
  <si>
    <t>https://lpse.kalbarprov.go.id/eproc4/lelang/5339097/hasil</t>
  </si>
  <si>
    <t>https://lpse.kalbarprov.go.id/eproc4/lelang/5339097/pemenang</t>
  </si>
  <si>
    <t>https://lpse.kalbarprov.go.id/eproc4/lelang/5339097/pemenangberkontrak</t>
  </si>
  <si>
    <t>Rp. 428.265.000,00</t>
  </si>
  <si>
    <t>https://lpse.kalbarprov.go.id/eproc4/lelang/5336097/pengumumanlelang</t>
  </si>
  <si>
    <t>https://lpse.kalbarprov.go.id/eproc4/lelang/5336097/peserta</t>
  </si>
  <si>
    <t>https://lpse.kalbarprov.go.id/eproc4/lelang/5336097/hasil</t>
  </si>
  <si>
    <t>https://lpse.kalbarprov.go.id/eproc4/lelang/5336097/pemenang</t>
  </si>
  <si>
    <t>https://lpse.kalbarprov.go.id/eproc4/lelang/5336097/pemenangberkontrak</t>
  </si>
  <si>
    <t>61 peserta</t>
  </si>
  <si>
    <t>https://lpse.kalbarprov.go.id/eproc4/lelang/5335097/pengumumanlelang</t>
  </si>
  <si>
    <t>https://lpse.kalbarprov.go.id/eproc4/lelang/5335097/peserta</t>
  </si>
  <si>
    <t>https://lpse.kalbarprov.go.id/eproc4/lelang/5335097/hasil</t>
  </si>
  <si>
    <t>https://lpse.kalbarprov.go.id/eproc4/lelang/5335097/pemenang</t>
  </si>
  <si>
    <t>https://lpse.kalbarprov.go.id/eproc4/lelang/5335097/pemenangberkontrak</t>
  </si>
  <si>
    <t>Rp. 45.000.000.000,00</t>
  </si>
  <si>
    <t>46 peserta</t>
  </si>
  <si>
    <t>https://lpse.kalbarprov.go.id/eproc4/lelang/5334097/pengumumanlelang</t>
  </si>
  <si>
    <t>https://lpse.kalbarprov.go.id/eproc4/lelang/5334097/peserta</t>
  </si>
  <si>
    <t>https://lpse.kalbarprov.go.id/eproc4/lelang/5334097/hasil</t>
  </si>
  <si>
    <t>https://lpse.kalbarprov.go.id/eproc4/lelang/5334097/pemenang</t>
  </si>
  <si>
    <t>https://lpse.kalbarprov.go.id/eproc4/lelang/5334097/pemenangberkontrak</t>
  </si>
  <si>
    <t>Rp. 9.950.000.000,00</t>
  </si>
  <si>
    <t>https://lpse.kalbarprov.go.id/eproc4/lelang/5333097/pengumumanlelang</t>
  </si>
  <si>
    <t>https://lpse.kalbarprov.go.id/eproc4/lelang/5333097/peserta</t>
  </si>
  <si>
    <t>https://lpse.kalbarprov.go.id/eproc4/lelang/5333097/hasil</t>
  </si>
  <si>
    <t>https://lpse.kalbarprov.go.id/eproc4/lelang/5333097/pemenang</t>
  </si>
  <si>
    <t>https://lpse.kalbarprov.go.id/eproc4/lelang/5333097/pemenangberkontrak</t>
  </si>
  <si>
    <t>Rp. 7.500.000.000,00</t>
  </si>
  <si>
    <t>72 peserta</t>
  </si>
  <si>
    <t>https://lpse.kalbarprov.go.id/eproc4/lelang/5332097/pengumumanlelang</t>
  </si>
  <si>
    <t>https://lpse.kalbarprov.go.id/eproc4/lelang/5332097/peserta</t>
  </si>
  <si>
    <t>https://lpse.kalbarprov.go.id/eproc4/lelang/5332097/hasil</t>
  </si>
  <si>
    <t>https://lpse.kalbarprov.go.id/eproc4/lelang/5332097/pemenang</t>
  </si>
  <si>
    <t>https://lpse.kalbarprov.go.id/eproc4/lelang/5332097/pemenangberkontrak</t>
  </si>
  <si>
    <t>3 peserta</t>
  </si>
  <si>
    <t>https://lpse.kalbarprov.go.id/eproc4/lelang/5331097/pengumumanlelang</t>
  </si>
  <si>
    <t>https://lpse.kalbarprov.go.id/eproc4/lelang/5331097/peserta</t>
  </si>
  <si>
    <t>https://lpse.kalbarprov.go.id/eproc4/lelang/5331097/hasil</t>
  </si>
  <si>
    <t>https://lpse.kalbarprov.go.id/eproc4/lelang/5331097/pemenang</t>
  </si>
  <si>
    <t>https://lpse.kalbarprov.go.id/eproc4/lelang/5331097/pemenangberkontrak</t>
  </si>
  <si>
    <t>66 peserta</t>
  </si>
  <si>
    <t>https://lpse.kalbarprov.go.id/eproc4/lelang/5329097/pengumumanlelang</t>
  </si>
  <si>
    <t>https://lpse.kalbarprov.go.id/eproc4/lelang/5329097/peserta</t>
  </si>
  <si>
    <t>https://lpse.kalbarprov.go.id/eproc4/lelang/5329097/hasil</t>
  </si>
  <si>
    <t>https://lpse.kalbarprov.go.id/eproc4/lelang/5329097/pemenang</t>
  </si>
  <si>
    <t>https://lpse.kalbarprov.go.id/eproc4/lelang/5329097/pemenangberkontrak</t>
  </si>
  <si>
    <t>https://lpse.kalbarprov.go.id/eproc4/lelang/5327097/pengumumanlelang</t>
  </si>
  <si>
    <t>https://lpse.kalbarprov.go.id/eproc4/lelang/5327097/peserta</t>
  </si>
  <si>
    <t>https://lpse.kalbarprov.go.id/eproc4/lelang/5327097/hasil</t>
  </si>
  <si>
    <t>https://lpse.kalbarprov.go.id/eproc4/lelang/5327097/pemenang</t>
  </si>
  <si>
    <t>https://lpse.kalbarprov.go.id/eproc4/lelang/5327097/pemenangberkontrak</t>
  </si>
  <si>
    <t>1 peserta</t>
  </si>
  <si>
    <t>https://lpse.kalbarprov.go.id/eproc4/lelang/5326097/pengumumanlelang</t>
  </si>
  <si>
    <t>https://lpse.kalbarprov.go.id/eproc4/lelang/5326097/peserta</t>
  </si>
  <si>
    <t>https://lpse.kalbarprov.go.id/eproc4/lelang/5326097/hasil</t>
  </si>
  <si>
    <t>https://lpse.kalbarprov.go.id/eproc4/lelang/5326097/pemenang</t>
  </si>
  <si>
    <t>https://lpse.kalbarprov.go.id/eproc4/lelang/5326097/pemenangberkontrak</t>
  </si>
  <si>
    <t>Rp. 349.200.000,00</t>
  </si>
  <si>
    <t>https://lpse.kalbarprov.go.id/eproc4/lelang/5325097/pengumumanlelang</t>
  </si>
  <si>
    <t>https://lpse.kalbarprov.go.id/eproc4/lelang/5325097/peserta</t>
  </si>
  <si>
    <t>https://lpse.kalbarprov.go.id/eproc4/lelang/5325097/hasil</t>
  </si>
  <si>
    <t>https://lpse.kalbarprov.go.id/eproc4/lelang/5325097/pemenang</t>
  </si>
  <si>
    <t>https://lpse.kalbarprov.go.id/eproc4/lelang/5325097/pemenangberkontrak</t>
  </si>
  <si>
    <t>https://lpse.kalbarprov.go.id/eproc4/lelang/5324097/pengumumanlelang</t>
  </si>
  <si>
    <t>https://lpse.kalbarprov.go.id/eproc4/lelang/5324097/peserta</t>
  </si>
  <si>
    <t>https://lpse.kalbarprov.go.id/eproc4/lelang/5324097/hasil</t>
  </si>
  <si>
    <t>https://lpse.kalbarprov.go.id/eproc4/lelang/5324097/pemenang</t>
  </si>
  <si>
    <t>https://lpse.kalbarprov.go.id/eproc4/lelang/5324097/pemenangberkontrak</t>
  </si>
  <si>
    <t>https://lpse.kalbarprov.go.id/eproc4/lelang/5320097/pengumumanlelang</t>
  </si>
  <si>
    <t>https://lpse.kalbarprov.go.id/eproc4/lelang/5320097/peserta</t>
  </si>
  <si>
    <t>https://lpse.kalbarprov.go.id/eproc4/lelang/5320097/hasil</t>
  </si>
  <si>
    <t>https://lpse.kalbarprov.go.id/eproc4/lelang/5320097/pemenang</t>
  </si>
  <si>
    <t>https://lpse.kalbarprov.go.id/eproc4/lelang/5320097/pemenangberkontrak</t>
  </si>
  <si>
    <t>https://lpse.kalbarprov.go.id/eproc4/lelang/5319097/pengumumanlelang</t>
  </si>
  <si>
    <t>https://lpse.kalbarprov.go.id/eproc4/lelang/5319097/peserta</t>
  </si>
  <si>
    <t>https://lpse.kalbarprov.go.id/eproc4/lelang/5319097/hasil</t>
  </si>
  <si>
    <t>https://lpse.kalbarprov.go.id/eproc4/lelang/5319097/pemenang</t>
  </si>
  <si>
    <t>https://lpse.kalbarprov.go.id/eproc4/lelang/5319097/pemenangberkontrak</t>
  </si>
  <si>
    <t>Rp. 1.290.000.000,00</t>
  </si>
  <si>
    <t>https://lpse.kalbarprov.go.id/eproc4/lelang/5318097/pengumumanlelang</t>
  </si>
  <si>
    <t>https://lpse.kalbarprov.go.id/eproc4/lelang/5318097/peserta</t>
  </si>
  <si>
    <t>https://lpse.kalbarprov.go.id/eproc4/lelang/5318097/hasil</t>
  </si>
  <si>
    <t>https://lpse.kalbarprov.go.id/eproc4/lelang/5318097/pemenang</t>
  </si>
  <si>
    <t>https://lpse.kalbarprov.go.id/eproc4/lelang/5318097/pemenangberkontrak</t>
  </si>
  <si>
    <t>Rp. 840.000.000,00</t>
  </si>
  <si>
    <t>https://lpse.kalbarprov.go.id/eproc4/lelang/5316097/pengumumanlelang</t>
  </si>
  <si>
    <t>https://lpse.kalbarprov.go.id/eproc4/lelang/5316097/peserta</t>
  </si>
  <si>
    <t>https://lpse.kalbarprov.go.id/eproc4/lelang/5316097/hasil</t>
  </si>
  <si>
    <t>https://lpse.kalbarprov.go.id/eproc4/lelang/5316097/pemenang</t>
  </si>
  <si>
    <t>https://lpse.kalbarprov.go.id/eproc4/lelang/5316097/pemenangberkontrak</t>
  </si>
  <si>
    <t>Rp. 546.700.000,00</t>
  </si>
  <si>
    <t>https://lpse.kalbarprov.go.id/eproc4/lelang/5314097/pengumumanlelang</t>
  </si>
  <si>
    <t>https://lpse.kalbarprov.go.id/eproc4/lelang/5314097/peserta</t>
  </si>
  <si>
    <t>https://lpse.kalbarprov.go.id/eproc4/lelang/5314097/hasil</t>
  </si>
  <si>
    <t>https://lpse.kalbarprov.go.id/eproc4/lelang/5314097/pemenang</t>
  </si>
  <si>
    <t>https://lpse.kalbarprov.go.id/eproc4/lelang/5314097/pemenangberkontrak</t>
  </si>
  <si>
    <t>Rp. 933.300.000,00</t>
  </si>
  <si>
    <t>https://lpse.kalbarprov.go.id/eproc4/lelang/5292097/pengumumanlelang</t>
  </si>
  <si>
    <t>https://lpse.kalbarprov.go.id/eproc4/lelang/5292097/peserta</t>
  </si>
  <si>
    <t>https://lpse.kalbarprov.go.id/eproc4/lelang/5292097/hasil</t>
  </si>
  <si>
    <t>https://lpse.kalbarprov.go.id/eproc4/lelang/5292097/pemenang</t>
  </si>
  <si>
    <t>https://lpse.kalbarprov.go.id/eproc4/lelang/5292097/pemenangberkontrak</t>
  </si>
  <si>
    <t>Rp. 425.000.000,00</t>
  </si>
  <si>
    <t>https://lpse.kalbarprov.go.id/eproc4/lelang/5291097/pengumumanlelang</t>
  </si>
  <si>
    <t>https://lpse.kalbarprov.go.id/eproc4/lelang/5291097/peserta</t>
  </si>
  <si>
    <t>https://lpse.kalbarprov.go.id/eproc4/lelang/5291097/hasil</t>
  </si>
  <si>
    <t>https://lpse.kalbarprov.go.id/eproc4/lelang/5291097/pemenang</t>
  </si>
  <si>
    <t>https://lpse.kalbarprov.go.id/eproc4/lelang/5291097/pemenangberkontrak</t>
  </si>
  <si>
    <t>https://lpse.kalbarprov.go.id/eproc4/lelang/5289097/pengumumanlelang</t>
  </si>
  <si>
    <t>https://lpse.kalbarprov.go.id/eproc4/lelang/5289097/peserta</t>
  </si>
  <si>
    <t>https://lpse.kalbarprov.go.id/eproc4/lelang/5289097/hasil</t>
  </si>
  <si>
    <t>https://lpse.kalbarprov.go.id/eproc4/lelang/5289097/pemenang</t>
  </si>
  <si>
    <t>https://lpse.kalbarprov.go.id/eproc4/lelang/5289097/pemenangberkontrak</t>
  </si>
  <si>
    <t>https://lpse.kalbarprov.go.id/eproc4/lelang/5288097/pengumumanlelang</t>
  </si>
  <si>
    <t>https://lpse.kalbarprov.go.id/eproc4/lelang/5288097/peserta</t>
  </si>
  <si>
    <t>https://lpse.kalbarprov.go.id/eproc4/lelang/5288097/hasil</t>
  </si>
  <si>
    <t>https://lpse.kalbarprov.go.id/eproc4/lelang/5288097/pemenang</t>
  </si>
  <si>
    <t>https://lpse.kalbarprov.go.id/eproc4/lelang/5288097/pemenangberkontrak</t>
  </si>
  <si>
    <t>https://lpse.kalbarprov.go.id/eproc4/lelang/5285097/pengumumanlelang</t>
  </si>
  <si>
    <t>https://lpse.kalbarprov.go.id/eproc4/lelang/5285097/peserta</t>
  </si>
  <si>
    <t>https://lpse.kalbarprov.go.id/eproc4/lelang/5285097/hasil</t>
  </si>
  <si>
    <t>https://lpse.kalbarprov.go.id/eproc4/lelang/5285097/pemenang</t>
  </si>
  <si>
    <t>https://lpse.kalbarprov.go.id/eproc4/lelang/5285097/pemenangberkontrak</t>
  </si>
  <si>
    <t>Rp. 397.512.000,00</t>
  </si>
  <si>
    <t>https://lpse.kalbarprov.go.id/eproc4/lelang/5281097/pengumumanlelang</t>
  </si>
  <si>
    <t>https://lpse.kalbarprov.go.id/eproc4/lelang/5281097/peserta</t>
  </si>
  <si>
    <t>https://lpse.kalbarprov.go.id/eproc4/lelang/5281097/hasil</t>
  </si>
  <si>
    <t>https://lpse.kalbarprov.go.id/eproc4/lelang/5281097/pemenang</t>
  </si>
  <si>
    <t>https://lpse.kalbarprov.go.id/eproc4/lelang/5281097/pemenangberkontrak</t>
  </si>
  <si>
    <t>https://lpse.kalbarprov.go.id/eproc4/lelang/5279097/pengumumanlelang</t>
  </si>
  <si>
    <t>https://lpse.kalbarprov.go.id/eproc4/lelang/5279097/peserta</t>
  </si>
  <si>
    <t>https://lpse.kalbarprov.go.id/eproc4/lelang/5279097/hasil</t>
  </si>
  <si>
    <t>https://lpse.kalbarprov.go.id/eproc4/lelang/5279097/pemenang</t>
  </si>
  <si>
    <t>https://lpse.kalbarprov.go.id/eproc4/lelang/5279097/pemenangberkontrak</t>
  </si>
  <si>
    <t>Rp. 260.570.500,00</t>
  </si>
  <si>
    <t>https://lpse.kalbarprov.go.id/eproc4/lelang/5275097/pengumumanlelang</t>
  </si>
  <si>
    <t>https://lpse.kalbarprov.go.id/eproc4/lelang/5275097/peserta</t>
  </si>
  <si>
    <t>https://lpse.kalbarprov.go.id/eproc4/lelang/5275097/hasil</t>
  </si>
  <si>
    <t>https://lpse.kalbarprov.go.id/eproc4/lelang/5275097/pemenang</t>
  </si>
  <si>
    <t>https://lpse.kalbarprov.go.id/eproc4/lelang/5275097/pemenangberkontrak</t>
  </si>
  <si>
    <t>Rp. 2.279.000.000,00</t>
  </si>
  <si>
    <t>51 peserta</t>
  </si>
  <si>
    <t>https://lpse.kalbarprov.go.id/eproc4/lelang/5269097/pengumumanlelang</t>
  </si>
  <si>
    <t>https://lpse.kalbarprov.go.id/eproc4/lelang/5269097/peserta</t>
  </si>
  <si>
    <t>https://lpse.kalbarprov.go.id/eproc4/lelang/5269097/hasil</t>
  </si>
  <si>
    <t>https://lpse.kalbarprov.go.id/eproc4/lelang/5269097/pemenang</t>
  </si>
  <si>
    <t>https://lpse.kalbarprov.go.id/eproc4/lelang/5269097/pemenangberkontrak</t>
  </si>
  <si>
    <t>https://lpse.kalbarprov.go.id/eproc4/lelang/5268097/pengumumanlelang</t>
  </si>
  <si>
    <t>https://lpse.kalbarprov.go.id/eproc4/lelang/5268097/peserta</t>
  </si>
  <si>
    <t>https://lpse.kalbarprov.go.id/eproc4/lelang/5268097/hasil</t>
  </si>
  <si>
    <t>https://lpse.kalbarprov.go.id/eproc4/lelang/5268097/pemenang</t>
  </si>
  <si>
    <t>https://lpse.kalbarprov.go.id/eproc4/lelang/5268097/pemenangberkontrak</t>
  </si>
  <si>
    <t>Rp. 475.000.000,00</t>
  </si>
  <si>
    <t>https://lpse.kalbarprov.go.id/eproc4/lelang/5267097/pengumumanlelang</t>
  </si>
  <si>
    <t>https://lpse.kalbarprov.go.id/eproc4/lelang/5267097/peserta</t>
  </si>
  <si>
    <t>https://lpse.kalbarprov.go.id/eproc4/lelang/5267097/hasil</t>
  </si>
  <si>
    <t>https://lpse.kalbarprov.go.id/eproc4/lelang/5267097/pemenang</t>
  </si>
  <si>
    <t>https://lpse.kalbarprov.go.id/eproc4/lelang/5267097/pemenangberkontrak</t>
  </si>
  <si>
    <t>Rp. 483.558.000,00</t>
  </si>
  <si>
    <t>https://lpse.kalbarprov.go.id/eproc4/lelang/5263097/pengumumanlelang</t>
  </si>
  <si>
    <t>https://lpse.kalbarprov.go.id/eproc4/lelang/5263097/peserta</t>
  </si>
  <si>
    <t>https://lpse.kalbarprov.go.id/eproc4/lelang/5263097/hasil</t>
  </si>
  <si>
    <t>https://lpse.kalbarprov.go.id/eproc4/lelang/5263097/pemenang</t>
  </si>
  <si>
    <t>https://lpse.kalbarprov.go.id/eproc4/lelang/5263097/pemenangberkontrak</t>
  </si>
  <si>
    <t>https://lpse.kalbarprov.go.id/eproc4/lelang/5259097/pengumumanlelang</t>
  </si>
  <si>
    <t>https://lpse.kalbarprov.go.id/eproc4/lelang/5259097/peserta</t>
  </si>
  <si>
    <t>https://lpse.kalbarprov.go.id/eproc4/lelang/5259097/hasil</t>
  </si>
  <si>
    <t>https://lpse.kalbarprov.go.id/eproc4/lelang/5259097/pemenang</t>
  </si>
  <si>
    <t>https://lpse.kalbarprov.go.id/eproc4/lelang/5259097/pemenangberkontrak</t>
  </si>
  <si>
    <t>https://lpse.kalbarprov.go.id/eproc4/lelang/5257097/pengumumanlelang</t>
  </si>
  <si>
    <t>https://lpse.kalbarprov.go.id/eproc4/lelang/5257097/peserta</t>
  </si>
  <si>
    <t>https://lpse.kalbarprov.go.id/eproc4/lelang/5257097/hasil</t>
  </si>
  <si>
    <t>https://lpse.kalbarprov.go.id/eproc4/lelang/5257097/pemenang</t>
  </si>
  <si>
    <t>https://lpse.kalbarprov.go.id/eproc4/lelang/5257097/pemenangberkontrak</t>
  </si>
  <si>
    <t>https://lpse.kalbarprov.go.id/eproc4/lelang/5254097/pengumumanlelang</t>
  </si>
  <si>
    <t>https://lpse.kalbarprov.go.id/eproc4/lelang/5254097/peserta</t>
  </si>
  <si>
    <t>https://lpse.kalbarprov.go.id/eproc4/lelang/5254097/hasil</t>
  </si>
  <si>
    <t>https://lpse.kalbarprov.go.id/eproc4/lelang/5254097/pemenang</t>
  </si>
  <si>
    <t>https://lpse.kalbarprov.go.id/eproc4/lelang/5254097/pemenangberkontrak</t>
  </si>
  <si>
    <t>https://lpse.kalbarprov.go.id/eproc4/lelang/5253097/pengumumanlelang</t>
  </si>
  <si>
    <t>https://lpse.kalbarprov.go.id/eproc4/lelang/5253097/peserta</t>
  </si>
  <si>
    <t>https://lpse.kalbarprov.go.id/eproc4/lelang/5253097/hasil</t>
  </si>
  <si>
    <t>https://lpse.kalbarprov.go.id/eproc4/lelang/5253097/pemenang</t>
  </si>
  <si>
    <t>https://lpse.kalbarprov.go.id/eproc4/lelang/5253097/pemenangberkontrak</t>
  </si>
  <si>
    <t>Rp. 9.411.000.000,00</t>
  </si>
  <si>
    <t>74 peserta</t>
  </si>
  <si>
    <t>https://lpse.kalbarprov.go.id/eproc4/lelang/5251097/pengumumanlelang</t>
  </si>
  <si>
    <t>https://lpse.kalbarprov.go.id/eproc4/lelang/5251097/peserta</t>
  </si>
  <si>
    <t>https://lpse.kalbarprov.go.id/eproc4/lelang/5251097/hasil</t>
  </si>
  <si>
    <t>https://lpse.kalbarprov.go.id/eproc4/lelang/5251097/pemenang</t>
  </si>
  <si>
    <t>https://lpse.kalbarprov.go.id/eproc4/lelang/5251097/pemenangberkontrak</t>
  </si>
  <si>
    <t>https://lpse.kalbarprov.go.id/eproc4/lelang/5250097/pengumumanlelang</t>
  </si>
  <si>
    <t>https://lpse.kalbarprov.go.id/eproc4/lelang/5250097/peserta</t>
  </si>
  <si>
    <t>https://lpse.kalbarprov.go.id/eproc4/lelang/5250097/hasil</t>
  </si>
  <si>
    <t>https://lpse.kalbarprov.go.id/eproc4/lelang/5250097/pemenang</t>
  </si>
  <si>
    <t>https://lpse.kalbarprov.go.id/eproc4/lelang/5250097/pemenangberkontrak</t>
  </si>
  <si>
    <t>Rp. 2.296.600.000,00</t>
  </si>
  <si>
    <t>https://lpse.kalbarprov.go.id/eproc4/lelang/5249097/pengumumanlelang</t>
  </si>
  <si>
    <t>https://lpse.kalbarprov.go.id/eproc4/lelang/5249097/peserta</t>
  </si>
  <si>
    <t>https://lpse.kalbarprov.go.id/eproc4/lelang/5249097/hasil</t>
  </si>
  <si>
    <t>https://lpse.kalbarprov.go.id/eproc4/lelang/5249097/pemenang</t>
  </si>
  <si>
    <t>https://lpse.kalbarprov.go.id/eproc4/lelang/5249097/pemenangberkontrak</t>
  </si>
  <si>
    <t>Rp. 367.566.040,00</t>
  </si>
  <si>
    <t>https://lpse.kalbarprov.go.id/eproc4/lelang/5244097/pengumumanlelang</t>
  </si>
  <si>
    <t>https://lpse.kalbarprov.go.id/eproc4/lelang/5244097/peserta</t>
  </si>
  <si>
    <t>https://lpse.kalbarprov.go.id/eproc4/lelang/5244097/hasil</t>
  </si>
  <si>
    <t>https://lpse.kalbarprov.go.id/eproc4/lelang/5244097/pemenang</t>
  </si>
  <si>
    <t>https://lpse.kalbarprov.go.id/eproc4/lelang/5244097/pemenangberkontrak</t>
  </si>
  <si>
    <t>https://lpse.kalbarprov.go.id/eproc4/lelang/5241097/pengumumanlelang</t>
  </si>
  <si>
    <t>https://lpse.kalbarprov.go.id/eproc4/lelang/5241097/peserta</t>
  </si>
  <si>
    <t>https://lpse.kalbarprov.go.id/eproc4/lelang/5241097/hasil</t>
  </si>
  <si>
    <t>https://lpse.kalbarprov.go.id/eproc4/lelang/5241097/pemenang</t>
  </si>
  <si>
    <t>https://lpse.kalbarprov.go.id/eproc4/lelang/5241097/pemenangberkontrak</t>
  </si>
  <si>
    <t>Rp. 833.005.000,00</t>
  </si>
  <si>
    <t>https://lpse.kalbarprov.go.id/eproc4/lelang/5238097/pengumumanlelang</t>
  </si>
  <si>
    <t>https://lpse.kalbarprov.go.id/eproc4/lelang/5238097/peserta</t>
  </si>
  <si>
    <t>https://lpse.kalbarprov.go.id/eproc4/lelang/5238097/hasil</t>
  </si>
  <si>
    <t>https://lpse.kalbarprov.go.id/eproc4/lelang/5238097/pemenang</t>
  </si>
  <si>
    <t>https://lpse.kalbarprov.go.id/eproc4/lelang/5238097/pemenangberkontrak</t>
  </si>
  <si>
    <t>https://lpse.kalbarprov.go.id/eproc4/lelang/5236097/pengumumanlelang</t>
  </si>
  <si>
    <t>https://lpse.kalbarprov.go.id/eproc4/lelang/5236097/peserta</t>
  </si>
  <si>
    <t>https://lpse.kalbarprov.go.id/eproc4/lelang/5236097/hasil</t>
  </si>
  <si>
    <t>https://lpse.kalbarprov.go.id/eproc4/lelang/5236097/pemenang</t>
  </si>
  <si>
    <t>https://lpse.kalbarprov.go.id/eproc4/lelang/5236097/pemenangberkontrak</t>
  </si>
  <si>
    <t>Rp. 4.750.000.000,00</t>
  </si>
  <si>
    <t>47 peserta</t>
  </si>
  <si>
    <t>https://lpse.kalbarprov.go.id/eproc4/lelang/5235097/pengumumanlelang</t>
  </si>
  <si>
    <t>https://lpse.kalbarprov.go.id/eproc4/lelang/5235097/peserta</t>
  </si>
  <si>
    <t>https://lpse.kalbarprov.go.id/eproc4/lelang/5235097/hasil</t>
  </si>
  <si>
    <t>https://lpse.kalbarprov.go.id/eproc4/lelang/5235097/pemenang</t>
  </si>
  <si>
    <t>https://lpse.kalbarprov.go.id/eproc4/lelang/5235097/pemenangberkontrak</t>
  </si>
  <si>
    <t>Rp. 712.500.000,00</t>
  </si>
  <si>
    <t>https://lpse.kalbarprov.go.id/eproc4/lelang/5234097/pengumumanlelang</t>
  </si>
  <si>
    <t>https://lpse.kalbarprov.go.id/eproc4/lelang/5234097/peserta</t>
  </si>
  <si>
    <t>https://lpse.kalbarprov.go.id/eproc4/lelang/5234097/hasil</t>
  </si>
  <si>
    <t>https://lpse.kalbarprov.go.id/eproc4/lelang/5234097/pemenang</t>
  </si>
  <si>
    <t>https://lpse.kalbarprov.go.id/eproc4/lelang/5234097/pemenangberkontrak</t>
  </si>
  <si>
    <t>Rp. 1.425.000.000,00</t>
  </si>
  <si>
    <t>https://lpse.kalbarprov.go.id/eproc4/lelang/5233097/pengumumanlelang</t>
  </si>
  <si>
    <t>https://lpse.kalbarprov.go.id/eproc4/lelang/5233097/peserta</t>
  </si>
  <si>
    <t>https://lpse.kalbarprov.go.id/eproc4/lelang/5233097/hasil</t>
  </si>
  <si>
    <t>https://lpse.kalbarprov.go.id/eproc4/lelang/5233097/pemenang</t>
  </si>
  <si>
    <t>https://lpse.kalbarprov.go.id/eproc4/lelang/5233097/pemenangberkontrak</t>
  </si>
  <si>
    <t>https://lpse.kalbarprov.go.id/eproc4/lelang/5232097/pengumumanlelang</t>
  </si>
  <si>
    <t>https://lpse.kalbarprov.go.id/eproc4/lelang/5232097/peserta</t>
  </si>
  <si>
    <t>https://lpse.kalbarprov.go.id/eproc4/lelang/5232097/hasil</t>
  </si>
  <si>
    <t>https://lpse.kalbarprov.go.id/eproc4/lelang/5232097/pemenang</t>
  </si>
  <si>
    <t>https://lpse.kalbarprov.go.id/eproc4/lelang/5232097/pemenangberkontrak</t>
  </si>
  <si>
    <t>Rp. 2.260.000.000,00</t>
  </si>
  <si>
    <t>https://lpse.kalbarprov.go.id/eproc4/lelang/5226097/pengumumanlelang</t>
  </si>
  <si>
    <t>https://lpse.kalbarprov.go.id/eproc4/lelang/5226097/peserta</t>
  </si>
  <si>
    <t>https://lpse.kalbarprov.go.id/eproc4/lelang/5226097/hasil</t>
  </si>
  <si>
    <t>https://lpse.kalbarprov.go.id/eproc4/lelang/5226097/pemenang</t>
  </si>
  <si>
    <t>https://lpse.kalbarprov.go.id/eproc4/lelang/5226097/pemenangberkontrak</t>
  </si>
  <si>
    <t>Rp. 3.111.300.000,00</t>
  </si>
  <si>
    <t>https://lpse.kalbarprov.go.id/eproc4/lelang/5223097/pengumumanlelang</t>
  </si>
  <si>
    <t>https://lpse.kalbarprov.go.id/eproc4/lelang/5223097/peserta</t>
  </si>
  <si>
    <t>https://lpse.kalbarprov.go.id/eproc4/lelang/5223097/hasil</t>
  </si>
  <si>
    <t>https://lpse.kalbarprov.go.id/eproc4/lelang/5223097/pemenang</t>
  </si>
  <si>
    <t>https://lpse.kalbarprov.go.id/eproc4/lelang/5223097/pemenangberkontrak</t>
  </si>
  <si>
    <t>https://lpse.kalbarprov.go.id/eproc4/lelang/5221097/pengumumanlelang</t>
  </si>
  <si>
    <t>https://lpse.kalbarprov.go.id/eproc4/lelang/5221097/peserta</t>
  </si>
  <si>
    <t>https://lpse.kalbarprov.go.id/eproc4/lelang/5221097/hasil</t>
  </si>
  <si>
    <t>https://lpse.kalbarprov.go.id/eproc4/lelang/5221097/pemenang</t>
  </si>
  <si>
    <t>https://lpse.kalbarprov.go.id/eproc4/lelang/5221097/pemenangberkontrak</t>
  </si>
  <si>
    <t>Rp. 223.000.000,00</t>
  </si>
  <si>
    <t>https://lpse.kalbarprov.go.id/eproc4/lelang/5218097/pengumumanlelang</t>
  </si>
  <si>
    <t>https://lpse.kalbarprov.go.id/eproc4/lelang/5218097/peserta</t>
  </si>
  <si>
    <t>https://lpse.kalbarprov.go.id/eproc4/lelang/5218097/hasil</t>
  </si>
  <si>
    <t>https://lpse.kalbarprov.go.id/eproc4/lelang/5218097/pemenang</t>
  </si>
  <si>
    <t>https://lpse.kalbarprov.go.id/eproc4/lelang/5218097/pemenangberkontrak</t>
  </si>
  <si>
    <t>Rp. 322.928.000,00</t>
  </si>
  <si>
    <t>https://lpse.kalbarprov.go.id/eproc4/lelang/5217097/pengumumanlelang</t>
  </si>
  <si>
    <t>https://lpse.kalbarprov.go.id/eproc4/lelang/5217097/peserta</t>
  </si>
  <si>
    <t>https://lpse.kalbarprov.go.id/eproc4/lelang/5217097/hasil</t>
  </si>
  <si>
    <t>https://lpse.kalbarprov.go.id/eproc4/lelang/5217097/pemenang</t>
  </si>
  <si>
    <t>https://lpse.kalbarprov.go.id/eproc4/lelang/5217097/pemenangberkontrak</t>
  </si>
  <si>
    <t>https://lpse.kalbarprov.go.id/eproc4/lelang/5216097/pengumumanlelang</t>
  </si>
  <si>
    <t>https://lpse.kalbarprov.go.id/eproc4/lelang/5216097/peserta</t>
  </si>
  <si>
    <t>https://lpse.kalbarprov.go.id/eproc4/lelang/5216097/hasil</t>
  </si>
  <si>
    <t>https://lpse.kalbarprov.go.id/eproc4/lelang/5216097/pemenang</t>
  </si>
  <si>
    <t>https://lpse.kalbarprov.go.id/eproc4/lelang/5216097/pemenangberkontrak</t>
  </si>
  <si>
    <t>Rp. 600.000.000,00</t>
  </si>
  <si>
    <t>https://lpse.kalbarprov.go.id/eproc4/lelang/5215097/pengumumanlelang</t>
  </si>
  <si>
    <t>https://lpse.kalbarprov.go.id/eproc4/lelang/5215097/peserta</t>
  </si>
  <si>
    <t>https://lpse.kalbarprov.go.id/eproc4/lelang/5215097/hasil</t>
  </si>
  <si>
    <t>https://lpse.kalbarprov.go.id/eproc4/lelang/5215097/pemenang</t>
  </si>
  <si>
    <t>https://lpse.kalbarprov.go.id/eproc4/lelang/5215097/pemenangberkontrak</t>
  </si>
  <si>
    <t>Rp. 860.000.000,00</t>
  </si>
  <si>
    <t>https://lpse.kalbarprov.go.id/eproc4/lelang/5214097/pengumumanlelang</t>
  </si>
  <si>
    <t>https://lpse.kalbarprov.go.id/eproc4/lelang/5214097/peserta</t>
  </si>
  <si>
    <t>https://lpse.kalbarprov.go.id/eproc4/lelang/5214097/hasil</t>
  </si>
  <si>
    <t>https://lpse.kalbarprov.go.id/eproc4/lelang/5214097/pemenang</t>
  </si>
  <si>
    <t>https://lpse.kalbarprov.go.id/eproc4/lelang/5214097/pemenangberkontrak</t>
  </si>
  <si>
    <t>Rp. 223.928.000,00</t>
  </si>
  <si>
    <t>https://lpse.kalbarprov.go.id/eproc4/lelang/5213097/pengumumanlelang</t>
  </si>
  <si>
    <t>https://lpse.kalbarprov.go.id/eproc4/lelang/5213097/peserta</t>
  </si>
  <si>
    <t>https://lpse.kalbarprov.go.id/eproc4/lelang/5213097/hasil</t>
  </si>
  <si>
    <t>https://lpse.kalbarprov.go.id/eproc4/lelang/5213097/pemenang</t>
  </si>
  <si>
    <t>https://lpse.kalbarprov.go.id/eproc4/lelang/5213097/pemenangberkontrak</t>
  </si>
  <si>
    <t>https://lpse.kalbarprov.go.id/eproc4/lelang/5212097/pengumumanlelang</t>
  </si>
  <si>
    <t>https://lpse.kalbarprov.go.id/eproc4/lelang/5212097/peserta</t>
  </si>
  <si>
    <t>https://lpse.kalbarprov.go.id/eproc4/lelang/5212097/hasil</t>
  </si>
  <si>
    <t>https://lpse.kalbarprov.go.id/eproc4/lelang/5212097/pemenang</t>
  </si>
  <si>
    <t>https://lpse.kalbarprov.go.id/eproc4/lelang/5212097/pemenangberkontrak</t>
  </si>
  <si>
    <t>Rp. 223.528.000,00</t>
  </si>
  <si>
    <t>https://lpse.kalbarprov.go.id/eproc4/lelang/5211097/pengumumanlelang</t>
  </si>
  <si>
    <t>https://lpse.kalbarprov.go.id/eproc4/lelang/5211097/peserta</t>
  </si>
  <si>
    <t>https://lpse.kalbarprov.go.id/eproc4/lelang/5211097/hasil</t>
  </si>
  <si>
    <t>https://lpse.kalbarprov.go.id/eproc4/lelang/5211097/pemenang</t>
  </si>
  <si>
    <t>https://lpse.kalbarprov.go.id/eproc4/lelang/5211097/pemenangberkontrak</t>
  </si>
  <si>
    <t>Rp. 224.128.000,00</t>
  </si>
  <si>
    <t>https://lpse.kalbarprov.go.id/eproc4/lelang/5210097/pengumumanlelang</t>
  </si>
  <si>
    <t>https://lpse.kalbarprov.go.id/eproc4/lelang/5210097/peserta</t>
  </si>
  <si>
    <t>https://lpse.kalbarprov.go.id/eproc4/lelang/5210097/hasil</t>
  </si>
  <si>
    <t>https://lpse.kalbarprov.go.id/eproc4/lelang/5210097/pemenang</t>
  </si>
  <si>
    <t>https://lpse.kalbarprov.go.id/eproc4/lelang/5210097/pemenangberkontrak</t>
  </si>
  <si>
    <t>Rp. 224.328.000,00</t>
  </si>
  <si>
    <t>https://lpse.kalbarprov.go.id/eproc4/lelang/5209097/pengumumanlelang</t>
  </si>
  <si>
    <t>https://lpse.kalbarprov.go.id/eproc4/lelang/5209097/peserta</t>
  </si>
  <si>
    <t>https://lpse.kalbarprov.go.id/eproc4/lelang/5209097/hasil</t>
  </si>
  <si>
    <t>https://lpse.kalbarprov.go.id/eproc4/lelang/5209097/pemenang</t>
  </si>
  <si>
    <t>https://lpse.kalbarprov.go.id/eproc4/lelang/5209097/pemenangberkontrak</t>
  </si>
  <si>
    <t>Rp. 1.067.678.000,00</t>
  </si>
  <si>
    <t>67 peserta</t>
  </si>
  <si>
    <t>https://lpse.kalbarprov.go.id/eproc4/lelang/5208097/pengumumanlelang</t>
  </si>
  <si>
    <t>https://lpse.kalbarprov.go.id/eproc4/lelang/5208097/peserta</t>
  </si>
  <si>
    <t>https://lpse.kalbarprov.go.id/eproc4/lelang/5208097/hasil</t>
  </si>
  <si>
    <t>https://lpse.kalbarprov.go.id/eproc4/lelang/5208097/pemenang</t>
  </si>
  <si>
    <t>https://lpse.kalbarprov.go.id/eproc4/lelang/5208097/pemenangberkontrak</t>
  </si>
  <si>
    <t>https://lpse.kalbarprov.go.id/eproc4/lelang/5206097/pengumumanlelang</t>
  </si>
  <si>
    <t>https://lpse.kalbarprov.go.id/eproc4/lelang/5206097/peserta</t>
  </si>
  <si>
    <t>https://lpse.kalbarprov.go.id/eproc4/lelang/5206097/hasil</t>
  </si>
  <si>
    <t>https://lpse.kalbarprov.go.id/eproc4/lelang/5206097/pemenang</t>
  </si>
  <si>
    <t>https://lpse.kalbarprov.go.id/eproc4/lelang/5206097/pemenangberkontrak</t>
  </si>
  <si>
    <t>Rp. 7.288.950.000,00</t>
  </si>
  <si>
    <t>https://lpse.kalbarprov.go.id/eproc4/lelang/5200097/pengumumanlelang</t>
  </si>
  <si>
    <t>https://lpse.kalbarprov.go.id/eproc4/lelang/5200097/peserta</t>
  </si>
  <si>
    <t>https://lpse.kalbarprov.go.id/eproc4/lelang/5200097/hasil</t>
  </si>
  <si>
    <t>https://lpse.kalbarprov.go.id/eproc4/lelang/5200097/pemenang</t>
  </si>
  <si>
    <t>https://lpse.kalbarprov.go.id/eproc4/lelang/5200097/pemenangberkontrak</t>
  </si>
  <si>
    <t>Rp. 364.921.400,00</t>
  </si>
  <si>
    <t>https://lpse.kalbarprov.go.id/eproc4/lelang/5199097/pengumumanlelang</t>
  </si>
  <si>
    <t>https://lpse.kalbarprov.go.id/eproc4/lelang/5199097/peserta</t>
  </si>
  <si>
    <t>https://lpse.kalbarprov.go.id/eproc4/lelang/5199097/hasil</t>
  </si>
  <si>
    <t>https://lpse.kalbarprov.go.id/eproc4/lelang/5199097/pemenang</t>
  </si>
  <si>
    <t>https://lpse.kalbarprov.go.id/eproc4/lelang/5199097/pemenangberkontrak</t>
  </si>
  <si>
    <t>Rp. 9.185.300.000,00</t>
  </si>
  <si>
    <t>https://lpse.kalbarprov.go.id/eproc4/lelang/5198097/pengumumanlelang</t>
  </si>
  <si>
    <t>https://lpse.kalbarprov.go.id/eproc4/lelang/5198097/peserta</t>
  </si>
  <si>
    <t>https://lpse.kalbarprov.go.id/eproc4/lelang/5198097/hasil</t>
  </si>
  <si>
    <t>https://lpse.kalbarprov.go.id/eproc4/lelang/5198097/pemenang</t>
  </si>
  <si>
    <t>https://lpse.kalbarprov.go.id/eproc4/lelang/5198097/pemenangberkontrak</t>
  </si>
  <si>
    <t>https://lpse.kalbarprov.go.id/eproc4/lelang/5194097/pengumumanlelang</t>
  </si>
  <si>
    <t>https://lpse.kalbarprov.go.id/eproc4/lelang/5194097/peserta</t>
  </si>
  <si>
    <t>https://lpse.kalbarprov.go.id/eproc4/lelang/5194097/hasil</t>
  </si>
  <si>
    <t>https://lpse.kalbarprov.go.id/eproc4/lelang/5194097/pemenang</t>
  </si>
  <si>
    <t>https://lpse.kalbarprov.go.id/eproc4/lelang/5194097/pemenangberkontrak</t>
  </si>
  <si>
    <t>Rp. 728.710.000,00</t>
  </si>
  <si>
    <t>https://lpse.kalbarprov.go.id/eproc4/lelang/5193097/pengumumanlelang</t>
  </si>
  <si>
    <t>https://lpse.kalbarprov.go.id/eproc4/lelang/5193097/peserta</t>
  </si>
  <si>
    <t>https://lpse.kalbarprov.go.id/eproc4/lelang/5193097/hasil</t>
  </si>
  <si>
    <t>https://lpse.kalbarprov.go.id/eproc4/lelang/5193097/pemenang</t>
  </si>
  <si>
    <t>https://lpse.kalbarprov.go.id/eproc4/lelang/5193097/pemenangberkontrak</t>
  </si>
  <si>
    <t>Rp. 2.150.000.000,00</t>
  </si>
  <si>
    <t>https://lpse.kalbarprov.go.id/eproc4/lelang/5192097/pengumumanlelang</t>
  </si>
  <si>
    <t>https://lpse.kalbarprov.go.id/eproc4/lelang/5192097/peserta</t>
  </si>
  <si>
    <t>https://lpse.kalbarprov.go.id/eproc4/lelang/5192097/hasil</t>
  </si>
  <si>
    <t>https://lpse.kalbarprov.go.id/eproc4/lelang/5192097/pemenang</t>
  </si>
  <si>
    <t>https://lpse.kalbarprov.go.id/eproc4/lelang/5192097/pemenangberkontrak</t>
  </si>
  <si>
    <t>Rp. 2.742.422.350,00</t>
  </si>
  <si>
    <t>https://lpse.kalbarprov.go.id/eproc4/lelang/5191097/pengumumanlelang</t>
  </si>
  <si>
    <t>https://lpse.kalbarprov.go.id/eproc4/lelang/5191097/peserta</t>
  </si>
  <si>
    <t>https://lpse.kalbarprov.go.id/eproc4/lelang/5191097/hasil</t>
  </si>
  <si>
    <t>https://lpse.kalbarprov.go.id/eproc4/lelang/5191097/pemenang</t>
  </si>
  <si>
    <t>https://lpse.kalbarprov.go.id/eproc4/lelang/5191097/pemenangberkontrak</t>
  </si>
  <si>
    <t>Rp. 563.975.000,00</t>
  </si>
  <si>
    <t>https://lpse.kalbarprov.go.id/eproc4/lelang/5181097/pengumumanlelang</t>
  </si>
  <si>
    <t>https://lpse.kalbarprov.go.id/eproc4/lelang/5181097/peserta</t>
  </si>
  <si>
    <t>https://lpse.kalbarprov.go.id/eproc4/lelang/5181097/hasil</t>
  </si>
  <si>
    <t>https://lpse.kalbarprov.go.id/eproc4/lelang/5181097/pemenang</t>
  </si>
  <si>
    <t>https://lpse.kalbarprov.go.id/eproc4/lelang/5181097/pemenangberkontrak</t>
  </si>
  <si>
    <t>https://lpse.kalbarprov.go.id/eproc4/lelang/5176097/pengumumanlelang</t>
  </si>
  <si>
    <t>https://lpse.kalbarprov.go.id/eproc4/lelang/5176097/peserta</t>
  </si>
  <si>
    <t>https://lpse.kalbarprov.go.id/eproc4/lelang/5176097/hasil</t>
  </si>
  <si>
    <t>https://lpse.kalbarprov.go.id/eproc4/lelang/5176097/pemenang</t>
  </si>
  <si>
    <t>https://lpse.kalbarprov.go.id/eproc4/lelang/5176097/pemenangberkontrak</t>
  </si>
  <si>
    <t>Rp. 640.000.000,00</t>
  </si>
  <si>
    <t xml:space="preserve">APBN 2019    APBN 2019   </t>
  </si>
  <si>
    <t>https://lpse.kalbarprov.go.id/eproc4/lelang/5175097/pengumumanlelang</t>
  </si>
  <si>
    <t>https://lpse.kalbarprov.go.id/eproc4/lelang/5175097/peserta</t>
  </si>
  <si>
    <t>https://lpse.kalbarprov.go.id/eproc4/lelang/5175097/hasil</t>
  </si>
  <si>
    <t>https://lpse.kalbarprov.go.id/eproc4/lelang/5175097/pemenang</t>
  </si>
  <si>
    <t>https://lpse.kalbarprov.go.id/eproc4/lelang/5175097/pemenangberkontrak</t>
  </si>
  <si>
    <t>Rp. 664.400.000,00</t>
  </si>
  <si>
    <t xml:space="preserve">APBN 2019    APBN 2019    APBN 2019    APBN 2019   </t>
  </si>
  <si>
    <t>https://lpse.kalbarprov.go.id/eproc4/lelang/5172097/pengumumanlelang</t>
  </si>
  <si>
    <t>https://lpse.kalbarprov.go.id/eproc4/lelang/5172097/peserta</t>
  </si>
  <si>
    <t>https://lpse.kalbarprov.go.id/eproc4/lelang/5172097/hasil</t>
  </si>
  <si>
    <t>https://lpse.kalbarprov.go.id/eproc4/lelang/5172097/pemenang</t>
  </si>
  <si>
    <t>https://lpse.kalbarprov.go.id/eproc4/lelang/5172097/pemenangberkontrak</t>
  </si>
  <si>
    <t>https://lpse.kalbarprov.go.id/eproc4/lelang/5170097/pengumumanlelang</t>
  </si>
  <si>
    <t>https://lpse.kalbarprov.go.id/eproc4/lelang/5170097/peserta</t>
  </si>
  <si>
    <t>https://lpse.kalbarprov.go.id/eproc4/lelang/5170097/hasil</t>
  </si>
  <si>
    <t>https://lpse.kalbarprov.go.id/eproc4/lelang/5170097/pemenang</t>
  </si>
  <si>
    <t>https://lpse.kalbarprov.go.id/eproc4/lelang/5170097/pemenangberkontrak</t>
  </si>
  <si>
    <t>https://lpse.kalbarprov.go.id/eproc4/lelang/5169097/pengumumanlelang</t>
  </si>
  <si>
    <t>https://lpse.kalbarprov.go.id/eproc4/lelang/5169097/peserta</t>
  </si>
  <si>
    <t>https://lpse.kalbarprov.go.id/eproc4/lelang/5169097/hasil</t>
  </si>
  <si>
    <t>https://lpse.kalbarprov.go.id/eproc4/lelang/5169097/pemenang</t>
  </si>
  <si>
    <t>https://lpse.kalbarprov.go.id/eproc4/lelang/5169097/pemenangberkontrak</t>
  </si>
  <si>
    <t>https://lpse.kalbarprov.go.id/eproc4/lelang/5162097/pengumumanlelang</t>
  </si>
  <si>
    <t>https://lpse.kalbarprov.go.id/eproc4/lelang/5162097/peserta</t>
  </si>
  <si>
    <t>https://lpse.kalbarprov.go.id/eproc4/lelang/5162097/hasil</t>
  </si>
  <si>
    <t>https://lpse.kalbarprov.go.id/eproc4/lelang/5162097/pemenang</t>
  </si>
  <si>
    <t>https://lpse.kalbarprov.go.id/eproc4/lelang/5162097/pemenangberkontrak</t>
  </si>
  <si>
    <t>Rp. 400.000.000,00</t>
  </si>
  <si>
    <t>https://lpse.kalbarprov.go.id/eproc4/lelang/5160097/pengumumanlelang</t>
  </si>
  <si>
    <t>https://lpse.kalbarprov.go.id/eproc4/lelang/5160097/peserta</t>
  </si>
  <si>
    <t>https://lpse.kalbarprov.go.id/eproc4/lelang/5160097/hasil</t>
  </si>
  <si>
    <t>https://lpse.kalbarprov.go.id/eproc4/lelang/5160097/pemenang</t>
  </si>
  <si>
    <t>https://lpse.kalbarprov.go.id/eproc4/lelang/5160097/pemenangberkontrak</t>
  </si>
  <si>
    <t>Rp. 473.600.000,00</t>
  </si>
  <si>
    <t>https://lpse.kalbarprov.go.id/eproc4/lelang/5159097/pengumumanlelang</t>
  </si>
  <si>
    <t>https://lpse.kalbarprov.go.id/eproc4/lelang/5159097/peserta</t>
  </si>
  <si>
    <t>https://lpse.kalbarprov.go.id/eproc4/lelang/5159097/hasil</t>
  </si>
  <si>
    <t>https://lpse.kalbarprov.go.id/eproc4/lelang/5159097/pemenang</t>
  </si>
  <si>
    <t>https://lpse.kalbarprov.go.id/eproc4/lelang/5159097/pemenangberkontrak</t>
  </si>
  <si>
    <t>https://lpse.kalbarprov.go.id/eproc4/lelang/5158097/pengumumanlelang</t>
  </si>
  <si>
    <t>https://lpse.kalbarprov.go.id/eproc4/lelang/5158097/peserta</t>
  </si>
  <si>
    <t>https://lpse.kalbarprov.go.id/eproc4/lelang/5158097/hasil</t>
  </si>
  <si>
    <t>https://lpse.kalbarprov.go.id/eproc4/lelang/5158097/pemenang</t>
  </si>
  <si>
    <t>https://lpse.kalbarprov.go.id/eproc4/lelang/5158097/pemenangberkontrak</t>
  </si>
  <si>
    <t>Rp. 897.450.000,00</t>
  </si>
  <si>
    <t>5 peserta</t>
  </si>
  <si>
    <t>https://lpse.kalbarprov.go.id/eproc4/lelang/5152097/pengumumanlelang</t>
  </si>
  <si>
    <t>https://lpse.kalbarprov.go.id/eproc4/lelang/5152097/peserta</t>
  </si>
  <si>
    <t>https://lpse.kalbarprov.go.id/eproc4/lelang/5152097/hasil</t>
  </si>
  <si>
    <t>https://lpse.kalbarprov.go.id/eproc4/lelang/5152097/pemenang</t>
  </si>
  <si>
    <t>https://lpse.kalbarprov.go.id/eproc4/lelang/5152097/pemenangberkontrak</t>
  </si>
  <si>
    <t>https://lpse.kalbarprov.go.id/eproc4/lelang/5151097/pengumumanlelang</t>
  </si>
  <si>
    <t>https://lpse.kalbarprov.go.id/eproc4/lelang/5151097/peserta</t>
  </si>
  <si>
    <t>https://lpse.kalbarprov.go.id/eproc4/lelang/5151097/hasil</t>
  </si>
  <si>
    <t>https://lpse.kalbarprov.go.id/eproc4/lelang/5151097/pemenang</t>
  </si>
  <si>
    <t>https://lpse.kalbarprov.go.id/eproc4/lelang/5151097/pemenangberkontrak</t>
  </si>
  <si>
    <t>Rp. 1.063.700.000,00</t>
  </si>
  <si>
    <t>https://lpse.kalbarprov.go.id/eproc4/lelang/5150097/pengumumanlelang</t>
  </si>
  <si>
    <t>https://lpse.kalbarprov.go.id/eproc4/lelang/5150097/peserta</t>
  </si>
  <si>
    <t>https://lpse.kalbarprov.go.id/eproc4/lelang/5150097/hasil</t>
  </si>
  <si>
    <t>https://lpse.kalbarprov.go.id/eproc4/lelang/5150097/pemenang</t>
  </si>
  <si>
    <t>https://lpse.kalbarprov.go.id/eproc4/lelang/5150097/pemenangberkontrak</t>
  </si>
  <si>
    <t>Rp. 1.980.000.000,00</t>
  </si>
  <si>
    <t>https://lpse.kalbarprov.go.id/eproc4/lelang/5146097/pengumumanlelang</t>
  </si>
  <si>
    <t>https://lpse.kalbarprov.go.id/eproc4/lelang/5146097/peserta</t>
  </si>
  <si>
    <t>https://lpse.kalbarprov.go.id/eproc4/lelang/5146097/hasil</t>
  </si>
  <si>
    <t>https://lpse.kalbarprov.go.id/eproc4/lelang/5146097/pemenang</t>
  </si>
  <si>
    <t>https://lpse.kalbarprov.go.id/eproc4/lelang/5146097/pemenangberkontrak</t>
  </si>
  <si>
    <t>https://lpse.kalbarprov.go.id/eproc4/lelang/5141097/pengumumanlelang</t>
  </si>
  <si>
    <t>https://lpse.kalbarprov.go.id/eproc4/lelang/5141097/peserta</t>
  </si>
  <si>
    <t>https://lpse.kalbarprov.go.id/eproc4/lelang/5141097/hasil</t>
  </si>
  <si>
    <t>https://lpse.kalbarprov.go.id/eproc4/lelang/5141097/pemenang</t>
  </si>
  <si>
    <t>https://lpse.kalbarprov.go.id/eproc4/lelang/5141097/pemenangberkontrak</t>
  </si>
  <si>
    <t>Rp. 505.675.000,00</t>
  </si>
  <si>
    <t>https://lpse.kalbarprov.go.id/eproc4/lelang/5140097/pengumumanlelang</t>
  </si>
  <si>
    <t>https://lpse.kalbarprov.go.id/eproc4/lelang/5140097/peserta</t>
  </si>
  <si>
    <t>https://lpse.kalbarprov.go.id/eproc4/lelang/5140097/hasil</t>
  </si>
  <si>
    <t>https://lpse.kalbarprov.go.id/eproc4/lelang/5140097/pemenang</t>
  </si>
  <si>
    <t>https://lpse.kalbarprov.go.id/eproc4/lelang/5140097/pemenangberkontrak</t>
  </si>
  <si>
    <t>https://lpse.kalbarprov.go.id/eproc4/lelang/5139097/pengumumanlelang</t>
  </si>
  <si>
    <t>https://lpse.kalbarprov.go.id/eproc4/lelang/5139097/peserta</t>
  </si>
  <si>
    <t>https://lpse.kalbarprov.go.id/eproc4/lelang/5139097/hasil</t>
  </si>
  <si>
    <t>https://lpse.kalbarprov.go.id/eproc4/lelang/5139097/pemenang</t>
  </si>
  <si>
    <t>https://lpse.kalbarprov.go.id/eproc4/lelang/5139097/pemenangberkontrak</t>
  </si>
  <si>
    <t>https://lpse.kalbarprov.go.id/eproc4/lelang/5138097/pengumumanlelang</t>
  </si>
  <si>
    <t>https://lpse.kalbarprov.go.id/eproc4/lelang/5138097/peserta</t>
  </si>
  <si>
    <t>https://lpse.kalbarprov.go.id/eproc4/lelang/5138097/hasil</t>
  </si>
  <si>
    <t>https://lpse.kalbarprov.go.id/eproc4/lelang/5138097/pemenang</t>
  </si>
  <si>
    <t>https://lpse.kalbarprov.go.id/eproc4/lelang/5138097/pemenangberkontrak</t>
  </si>
  <si>
    <t>https://lpse.kalbarprov.go.id/eproc4/lelang/5137097/pengumumanlelang</t>
  </si>
  <si>
    <t>https://lpse.kalbarprov.go.id/eproc4/lelang/5137097/peserta</t>
  </si>
  <si>
    <t>https://lpse.kalbarprov.go.id/eproc4/lelang/5137097/hasil</t>
  </si>
  <si>
    <t>https://lpse.kalbarprov.go.id/eproc4/lelang/5137097/pemenang</t>
  </si>
  <si>
    <t>https://lpse.kalbarprov.go.id/eproc4/lelang/5137097/pemenangberkontrak</t>
  </si>
  <si>
    <t>Rp. 505.090.000,00</t>
  </si>
  <si>
    <t>https://lpse.kalbarprov.go.id/eproc4/lelang/5135097/pengumumanlelang</t>
  </si>
  <si>
    <t>https://lpse.kalbarprov.go.id/eproc4/lelang/5135097/peserta</t>
  </si>
  <si>
    <t>https://lpse.kalbarprov.go.id/eproc4/lelang/5135097/hasil</t>
  </si>
  <si>
    <t>https://lpse.kalbarprov.go.id/eproc4/lelang/5135097/pemenang</t>
  </si>
  <si>
    <t>https://lpse.kalbarprov.go.id/eproc4/lelang/5135097/pemenangberkontrak</t>
  </si>
  <si>
    <t>https://lpse.kalbarprov.go.id/eproc4/lelang/5134097/pengumumanlelang</t>
  </si>
  <si>
    <t>https://lpse.kalbarprov.go.id/eproc4/lelang/5134097/peserta</t>
  </si>
  <si>
    <t>https://lpse.kalbarprov.go.id/eproc4/lelang/5134097/hasil</t>
  </si>
  <si>
    <t>https://lpse.kalbarprov.go.id/eproc4/lelang/5134097/pemenang</t>
  </si>
  <si>
    <t>https://lpse.kalbarprov.go.id/eproc4/lelang/5134097/pemenangberkontrak</t>
  </si>
  <si>
    <t>Rp. 1.308.689.595,00</t>
  </si>
  <si>
    <t>58 peserta</t>
  </si>
  <si>
    <t>https://lpse.kalbarprov.go.id/eproc4/lelang/5133097/pengumumanlelang</t>
  </si>
  <si>
    <t>https://lpse.kalbarprov.go.id/eproc4/lelang/5133097/peserta</t>
  </si>
  <si>
    <t>https://lpse.kalbarprov.go.id/eproc4/lelang/5133097/hasil</t>
  </si>
  <si>
    <t>https://lpse.kalbarprov.go.id/eproc4/lelang/5133097/pemenang</t>
  </si>
  <si>
    <t>https://lpse.kalbarprov.go.id/eproc4/lelang/5133097/pemenangberkontrak</t>
  </si>
  <si>
    <t>Rp. 1.217.842.000,00</t>
  </si>
  <si>
    <t>https://lpse.kalbarprov.go.id/eproc4/lelang/5132097/pengumumanlelang</t>
  </si>
  <si>
    <t>https://lpse.kalbarprov.go.id/eproc4/lelang/5132097/peserta</t>
  </si>
  <si>
    <t>https://lpse.kalbarprov.go.id/eproc4/lelang/5132097/hasil</t>
  </si>
  <si>
    <t>https://lpse.kalbarprov.go.id/eproc4/lelang/5132097/pemenang</t>
  </si>
  <si>
    <t>https://lpse.kalbarprov.go.id/eproc4/lelang/5132097/pemenangberkontrak</t>
  </si>
  <si>
    <t>Rp. 1.621.000.000,00</t>
  </si>
  <si>
    <t>69 peserta</t>
  </si>
  <si>
    <t>https://lpse.kalbarprov.go.id/eproc4/lelang/5130097/pengumumanlelang</t>
  </si>
  <si>
    <t>https://lpse.kalbarprov.go.id/eproc4/lelang/5130097/peserta</t>
  </si>
  <si>
    <t>https://lpse.kalbarprov.go.id/eproc4/lelang/5130097/hasil</t>
  </si>
  <si>
    <t>https://lpse.kalbarprov.go.id/eproc4/lelang/5130097/pemenang</t>
  </si>
  <si>
    <t>https://lpse.kalbarprov.go.id/eproc4/lelang/5130097/pemenangberkontrak</t>
  </si>
  <si>
    <t>Rp. 3.030.000.000,00</t>
  </si>
  <si>
    <t>https://lpse.kalbarprov.go.id/eproc4/lelang/5127097/pengumumanlelang</t>
  </si>
  <si>
    <t>https://lpse.kalbarprov.go.id/eproc4/lelang/5127097/peserta</t>
  </si>
  <si>
    <t>https://lpse.kalbarprov.go.id/eproc4/lelang/5127097/hasil</t>
  </si>
  <si>
    <t>https://lpse.kalbarprov.go.id/eproc4/lelang/5127097/pemenang</t>
  </si>
  <si>
    <t>https://lpse.kalbarprov.go.id/eproc4/lelang/5127097/pemenangberkontrak</t>
  </si>
  <si>
    <t>https://lpse.kalbarprov.go.id/eproc4/lelang/5124097/pengumumanlelang</t>
  </si>
  <si>
    <t>https://lpse.kalbarprov.go.id/eproc4/lelang/5124097/peserta</t>
  </si>
  <si>
    <t>https://lpse.kalbarprov.go.id/eproc4/lelang/5124097/hasil</t>
  </si>
  <si>
    <t>https://lpse.kalbarprov.go.id/eproc4/lelang/5124097/pemenang</t>
  </si>
  <si>
    <t>https://lpse.kalbarprov.go.id/eproc4/lelang/5124097/pemenangberkontrak</t>
  </si>
  <si>
    <t>https://lpse.kalbarprov.go.id/eproc4/lelang/5123097/pengumumanlelang</t>
  </si>
  <si>
    <t>https://lpse.kalbarprov.go.id/eproc4/lelang/5123097/peserta</t>
  </si>
  <si>
    <t>https://lpse.kalbarprov.go.id/eproc4/lelang/5123097/hasil</t>
  </si>
  <si>
    <t>https://lpse.kalbarprov.go.id/eproc4/lelang/5123097/pemenang</t>
  </si>
  <si>
    <t>https://lpse.kalbarprov.go.id/eproc4/lelang/5123097/pemenangberkontrak</t>
  </si>
  <si>
    <t>https://lpse.kalbarprov.go.id/eproc4/lelang/5122097/pengumumanlelang</t>
  </si>
  <si>
    <t>https://lpse.kalbarprov.go.id/eproc4/lelang/5122097/peserta</t>
  </si>
  <si>
    <t>https://lpse.kalbarprov.go.id/eproc4/lelang/5122097/hasil</t>
  </si>
  <si>
    <t>https://lpse.kalbarprov.go.id/eproc4/lelang/5122097/pemenang</t>
  </si>
  <si>
    <t>https://lpse.kalbarprov.go.id/eproc4/lelang/5122097/pemenangberkontrak</t>
  </si>
  <si>
    <t>https://lpse.kalbarprov.go.id/eproc4/lelang/5119097/pengumumanlelang</t>
  </si>
  <si>
    <t>https://lpse.kalbarprov.go.id/eproc4/lelang/5119097/peserta</t>
  </si>
  <si>
    <t>https://lpse.kalbarprov.go.id/eproc4/lelang/5119097/hasil</t>
  </si>
  <si>
    <t>https://lpse.kalbarprov.go.id/eproc4/lelang/5119097/pemenang</t>
  </si>
  <si>
    <t>https://lpse.kalbarprov.go.id/eproc4/lelang/5119097/pemenangberkontrak</t>
  </si>
  <si>
    <t>Rp. 1.950.000.000,00</t>
  </si>
  <si>
    <t>https://lpse.kalbarprov.go.id/eproc4/lelang/5116097/pengumumanlelang</t>
  </si>
  <si>
    <t>https://lpse.kalbarprov.go.id/eproc4/lelang/5116097/peserta</t>
  </si>
  <si>
    <t>https://lpse.kalbarprov.go.id/eproc4/lelang/5116097/hasil</t>
  </si>
  <si>
    <t>https://lpse.kalbarprov.go.id/eproc4/lelang/5116097/pemenang</t>
  </si>
  <si>
    <t>https://lpse.kalbarprov.go.id/eproc4/lelang/5116097/pemenangberkontrak</t>
  </si>
  <si>
    <t>Rp. 353.425.000,00</t>
  </si>
  <si>
    <t>https://lpse.kalbarprov.go.id/eproc4/lelang/5115097/pengumumanlelang</t>
  </si>
  <si>
    <t>https://lpse.kalbarprov.go.id/eproc4/lelang/5115097/peserta</t>
  </si>
  <si>
    <t>https://lpse.kalbarprov.go.id/eproc4/lelang/5115097/hasil</t>
  </si>
  <si>
    <t>https://lpse.kalbarprov.go.id/eproc4/lelang/5115097/pemenang</t>
  </si>
  <si>
    <t>https://lpse.kalbarprov.go.id/eproc4/lelang/5115097/pemenangberkontrak</t>
  </si>
  <si>
    <t>https://lpse.kalbarprov.go.id/eproc4/lelang/5113097/pengumumanlelang</t>
  </si>
  <si>
    <t>https://lpse.kalbarprov.go.id/eproc4/lelang/5113097/peserta</t>
  </si>
  <si>
    <t>https://lpse.kalbarprov.go.id/eproc4/lelang/5113097/hasil</t>
  </si>
  <si>
    <t>https://lpse.kalbarprov.go.id/eproc4/lelang/5113097/pemenang</t>
  </si>
  <si>
    <t>https://lpse.kalbarprov.go.id/eproc4/lelang/5113097/pemenangberkontrak</t>
  </si>
  <si>
    <t>68 peserta</t>
  </si>
  <si>
    <t>https://lpse.kalbarprov.go.id/eproc4/lelang/5109097/pengumumanlelang</t>
  </si>
  <si>
    <t>https://lpse.kalbarprov.go.id/eproc4/lelang/5109097/peserta</t>
  </si>
  <si>
    <t>https://lpse.kalbarprov.go.id/eproc4/lelang/5109097/hasil</t>
  </si>
  <si>
    <t>https://lpse.kalbarprov.go.id/eproc4/lelang/5109097/pemenang</t>
  </si>
  <si>
    <t>https://lpse.kalbarprov.go.id/eproc4/lelang/5109097/pemenangberkontrak</t>
  </si>
  <si>
    <t>Rp. 675.674.300,00</t>
  </si>
  <si>
    <t>https://lpse.kalbarprov.go.id/eproc4/lelang/5108097/pengumumanlelang</t>
  </si>
  <si>
    <t>https://lpse.kalbarprov.go.id/eproc4/lelang/5108097/peserta</t>
  </si>
  <si>
    <t>https://lpse.kalbarprov.go.id/eproc4/lelang/5108097/hasil</t>
  </si>
  <si>
    <t>https://lpse.kalbarprov.go.id/eproc4/lelang/5108097/pemenang</t>
  </si>
  <si>
    <t>https://lpse.kalbarprov.go.id/eproc4/lelang/5108097/pemenangberkontrak</t>
  </si>
  <si>
    <t>https://lpse.kalbarprov.go.id/eproc4/lelang/5107097/pengumumanlelang</t>
  </si>
  <si>
    <t>https://lpse.kalbarprov.go.id/eproc4/lelang/5107097/peserta</t>
  </si>
  <si>
    <t>https://lpse.kalbarprov.go.id/eproc4/lelang/5107097/hasil</t>
  </si>
  <si>
    <t>https://lpse.kalbarprov.go.id/eproc4/lelang/5107097/pemenang</t>
  </si>
  <si>
    <t>https://lpse.kalbarprov.go.id/eproc4/lelang/5107097/pemenangberkontrak</t>
  </si>
  <si>
    <t>Rp. 332.500.000,00</t>
  </si>
  <si>
    <t>https://lpse.kalbarprov.go.id/eproc4/lelang/5106097/pengumumanlelang</t>
  </si>
  <si>
    <t>https://lpse.kalbarprov.go.id/eproc4/lelang/5106097/peserta</t>
  </si>
  <si>
    <t>https://lpse.kalbarprov.go.id/eproc4/lelang/5106097/hasil</t>
  </si>
  <si>
    <t>https://lpse.kalbarprov.go.id/eproc4/lelang/5106097/pemenang</t>
  </si>
  <si>
    <t>https://lpse.kalbarprov.go.id/eproc4/lelang/5106097/pemenangberkontrak</t>
  </si>
  <si>
    <t>https://lpse.kalbarprov.go.id/eproc4/lelang/5105097/pengumumanlelang</t>
  </si>
  <si>
    <t>https://lpse.kalbarprov.go.id/eproc4/lelang/5105097/peserta</t>
  </si>
  <si>
    <t>https://lpse.kalbarprov.go.id/eproc4/lelang/5105097/hasil</t>
  </si>
  <si>
    <t>https://lpse.kalbarprov.go.id/eproc4/lelang/5105097/pemenang</t>
  </si>
  <si>
    <t>https://lpse.kalbarprov.go.id/eproc4/lelang/5105097/pemenangberkontrak</t>
  </si>
  <si>
    <t>https://lpse.kalbarprov.go.id/eproc4/lelang/5104097/pengumumanlelang</t>
  </si>
  <si>
    <t>https://lpse.kalbarprov.go.id/eproc4/lelang/5104097/peserta</t>
  </si>
  <si>
    <t>https://lpse.kalbarprov.go.id/eproc4/lelang/5104097/hasil</t>
  </si>
  <si>
    <t>https://lpse.kalbarprov.go.id/eproc4/lelang/5104097/pemenang</t>
  </si>
  <si>
    <t>https://lpse.kalbarprov.go.id/eproc4/lelang/5104097/pemenangberkontrak</t>
  </si>
  <si>
    <t>Rp. 322.288.000,00</t>
  </si>
  <si>
    <t>https://lpse.kalbarprov.go.id/eproc4/lelang/5103097/pengumumanlelang</t>
  </si>
  <si>
    <t>https://lpse.kalbarprov.go.id/eproc4/lelang/5103097/peserta</t>
  </si>
  <si>
    <t>https://lpse.kalbarprov.go.id/eproc4/lelang/5103097/hasil</t>
  </si>
  <si>
    <t>https://lpse.kalbarprov.go.id/eproc4/lelang/5103097/pemenang</t>
  </si>
  <si>
    <t>https://lpse.kalbarprov.go.id/eproc4/lelang/5103097/pemenangberkontrak</t>
  </si>
  <si>
    <t>Rp. 371.688.000,00</t>
  </si>
  <si>
    <t>https://lpse.kalbarprov.go.id/eproc4/lelang/5102097/pengumumanlelang</t>
  </si>
  <si>
    <t>https://lpse.kalbarprov.go.id/eproc4/lelang/5102097/peserta</t>
  </si>
  <si>
    <t>https://lpse.kalbarprov.go.id/eproc4/lelang/5102097/hasil</t>
  </si>
  <si>
    <t>https://lpse.kalbarprov.go.id/eproc4/lelang/5102097/pemenang</t>
  </si>
  <si>
    <t>https://lpse.kalbarprov.go.id/eproc4/lelang/5102097/pemenangberkontrak</t>
  </si>
  <si>
    <t>Rp. 372.288.000,00</t>
  </si>
  <si>
    <t>https://lpse.kalbarprov.go.id/eproc4/lelang/5101097/pengumumanlelang</t>
  </si>
  <si>
    <t>https://lpse.kalbarprov.go.id/eproc4/lelang/5101097/peserta</t>
  </si>
  <si>
    <t>https://lpse.kalbarprov.go.id/eproc4/lelang/5101097/hasil</t>
  </si>
  <si>
    <t>https://lpse.kalbarprov.go.id/eproc4/lelang/5101097/pemenang</t>
  </si>
  <si>
    <t>https://lpse.kalbarprov.go.id/eproc4/lelang/5101097/pemenangberkontrak</t>
  </si>
  <si>
    <t>Rp. 374.328.000,00</t>
  </si>
  <si>
    <t>https://lpse.kalbarprov.go.id/eproc4/lelang/5100097/pengumumanlelang</t>
  </si>
  <si>
    <t>https://lpse.kalbarprov.go.id/eproc4/lelang/5100097/peserta</t>
  </si>
  <si>
    <t>https://lpse.kalbarprov.go.id/eproc4/lelang/5100097/hasil</t>
  </si>
  <si>
    <t>https://lpse.kalbarprov.go.id/eproc4/lelang/5100097/pemenang</t>
  </si>
  <si>
    <t>https://lpse.kalbarprov.go.id/eproc4/lelang/5100097/pemenangberkontrak</t>
  </si>
  <si>
    <t>https://lpse.kalbarprov.go.id/eproc4/lelang/5099097/pengumumanlelang</t>
  </si>
  <si>
    <t>https://lpse.kalbarprov.go.id/eproc4/lelang/5099097/peserta</t>
  </si>
  <si>
    <t>https://lpse.kalbarprov.go.id/eproc4/lelang/5099097/hasil</t>
  </si>
  <si>
    <t>https://lpse.kalbarprov.go.id/eproc4/lelang/5099097/pemenang</t>
  </si>
  <si>
    <t>https://lpse.kalbarprov.go.id/eproc4/lelang/5099097/pemenangberkontrak</t>
  </si>
  <si>
    <t>https://lpse.kalbarprov.go.id/eproc4/lelang/5098097/pengumumanlelang</t>
  </si>
  <si>
    <t>https://lpse.kalbarprov.go.id/eproc4/lelang/5098097/peserta</t>
  </si>
  <si>
    <t>https://lpse.kalbarprov.go.id/eproc4/lelang/5098097/hasil</t>
  </si>
  <si>
    <t>https://lpse.kalbarprov.go.id/eproc4/lelang/5098097/pemenang</t>
  </si>
  <si>
    <t>https://lpse.kalbarprov.go.id/eproc4/lelang/5098097/pemenangberkontrak</t>
  </si>
  <si>
    <t>Rp. 1.250.000.000,00</t>
  </si>
  <si>
    <t xml:space="preserve">APBD 2019    APBD 2019    APBD 2019    APBD 2019    APBD 2019    APBD 2019    APBD 2019   </t>
  </si>
  <si>
    <t>https://lpse.kalbarprov.go.id/eproc4/lelang/5096097/pengumumanlelang</t>
  </si>
  <si>
    <t>https://lpse.kalbarprov.go.id/eproc4/lelang/5096097/peserta</t>
  </si>
  <si>
    <t>https://lpse.kalbarprov.go.id/eproc4/lelang/5096097/hasil</t>
  </si>
  <si>
    <t>https://lpse.kalbarprov.go.id/eproc4/lelang/5096097/pemenang</t>
  </si>
  <si>
    <t>https://lpse.kalbarprov.go.id/eproc4/lelang/5096097/pemenangberkontrak</t>
  </si>
  <si>
    <t>Rp. 1.573.400.000,00</t>
  </si>
  <si>
    <t>https://lpse.kalbarprov.go.id/eproc4/lelang/5086097/pengumumanlelang</t>
  </si>
  <si>
    <t>https://lpse.kalbarprov.go.id/eproc4/lelang/5086097/peserta</t>
  </si>
  <si>
    <t>https://lpse.kalbarprov.go.id/eproc4/lelang/5086097/hasil</t>
  </si>
  <si>
    <t>https://lpse.kalbarprov.go.id/eproc4/lelang/5086097/pemenang</t>
  </si>
  <si>
    <t>https://lpse.kalbarprov.go.id/eproc4/lelang/5086097/pemenangberkontrak</t>
  </si>
  <si>
    <t>https://lpse.kalbarprov.go.id/eproc4/lelang/5085097/pengumumanlelang</t>
  </si>
  <si>
    <t>https://lpse.kalbarprov.go.id/eproc4/lelang/5085097/peserta</t>
  </si>
  <si>
    <t>https://lpse.kalbarprov.go.id/eproc4/lelang/5085097/hasil</t>
  </si>
  <si>
    <t>https://lpse.kalbarprov.go.id/eproc4/lelang/5085097/pemenang</t>
  </si>
  <si>
    <t>https://lpse.kalbarprov.go.id/eproc4/lelang/5085097/pemenangberkontrak</t>
  </si>
  <si>
    <t>https://lpse.kalbarprov.go.id/eproc4/lelang/5084097/pengumumanlelang</t>
  </si>
  <si>
    <t>https://lpse.kalbarprov.go.id/eproc4/lelang/5084097/peserta</t>
  </si>
  <si>
    <t>https://lpse.kalbarprov.go.id/eproc4/lelang/5084097/hasil</t>
  </si>
  <si>
    <t>https://lpse.kalbarprov.go.id/eproc4/lelang/5084097/pemenang</t>
  </si>
  <si>
    <t>https://lpse.kalbarprov.go.id/eproc4/lelang/5084097/pemenangberkontrak</t>
  </si>
  <si>
    <t>https://lpse.kalbarprov.go.id/eproc4/lelang/5083097/pengumumanlelang</t>
  </si>
  <si>
    <t>https://lpse.kalbarprov.go.id/eproc4/lelang/5083097/peserta</t>
  </si>
  <si>
    <t>https://lpse.kalbarprov.go.id/eproc4/lelang/5083097/hasil</t>
  </si>
  <si>
    <t>https://lpse.kalbarprov.go.id/eproc4/lelang/5083097/pemenang</t>
  </si>
  <si>
    <t>https://lpse.kalbarprov.go.id/eproc4/lelang/5083097/pemenangberkontrak</t>
  </si>
  <si>
    <t>https://lpse.kalbarprov.go.id/eproc4/lelang/5082097/pengumumanlelang</t>
  </si>
  <si>
    <t>https://lpse.kalbarprov.go.id/eproc4/lelang/5082097/peserta</t>
  </si>
  <si>
    <t>https://lpse.kalbarprov.go.id/eproc4/lelang/5082097/hasil</t>
  </si>
  <si>
    <t>https://lpse.kalbarprov.go.id/eproc4/lelang/5082097/pemenang</t>
  </si>
  <si>
    <t>https://lpse.kalbarprov.go.id/eproc4/lelang/5082097/pemenangberkontrak</t>
  </si>
  <si>
    <t>https://lpse.kalbarprov.go.id/eproc4/lelang/5081097/pengumumanlelang</t>
  </si>
  <si>
    <t>https://lpse.kalbarprov.go.id/eproc4/lelang/5081097/peserta</t>
  </si>
  <si>
    <t>https://lpse.kalbarprov.go.id/eproc4/lelang/5081097/hasil</t>
  </si>
  <si>
    <t>https://lpse.kalbarprov.go.id/eproc4/lelang/5081097/pemenang</t>
  </si>
  <si>
    <t>https://lpse.kalbarprov.go.id/eproc4/lelang/5081097/pemenangberkontrak</t>
  </si>
  <si>
    <t>https://lpse.kalbarprov.go.id/eproc4/lelang/5080097/pengumumanlelang</t>
  </si>
  <si>
    <t>https://lpse.kalbarprov.go.id/eproc4/lelang/5080097/peserta</t>
  </si>
  <si>
    <t>https://lpse.kalbarprov.go.id/eproc4/lelang/5080097/hasil</t>
  </si>
  <si>
    <t>https://lpse.kalbarprov.go.id/eproc4/lelang/5080097/pemenang</t>
  </si>
  <si>
    <t>https://lpse.kalbarprov.go.id/eproc4/lelang/5080097/pemenangberkontrak</t>
  </si>
  <si>
    <t>https://lpse.kalbarprov.go.id/eproc4/lelang/5077097/pengumumanlelang</t>
  </si>
  <si>
    <t>https://lpse.kalbarprov.go.id/eproc4/lelang/5077097/peserta</t>
  </si>
  <si>
    <t>https://lpse.kalbarprov.go.id/eproc4/lelang/5077097/hasil</t>
  </si>
  <si>
    <t>https://lpse.kalbarprov.go.id/eproc4/lelang/5077097/pemenang</t>
  </si>
  <si>
    <t>https://lpse.kalbarprov.go.id/eproc4/lelang/5077097/pemenangberkontrak</t>
  </si>
  <si>
    <t>Rp. 4.357.920.000,00</t>
  </si>
  <si>
    <t>52 peserta</t>
  </si>
  <si>
    <t>https://lpse.kalbarprov.go.id/eproc4/lelang/5070097/pengumumanlelang</t>
  </si>
  <si>
    <t>https://lpse.kalbarprov.go.id/eproc4/lelang/5070097/peserta</t>
  </si>
  <si>
    <t>https://lpse.kalbarprov.go.id/eproc4/lelang/5070097/hasil</t>
  </si>
  <si>
    <t>https://lpse.kalbarprov.go.id/eproc4/lelang/5070097/pemenang</t>
  </si>
  <si>
    <t>https://lpse.kalbarprov.go.id/eproc4/lelang/5070097/pemenangberkontrak</t>
  </si>
  <si>
    <t>https://lpse.kalbarprov.go.id/eproc4/lelang/5069097/pengumumanlelang</t>
  </si>
  <si>
    <t>https://lpse.kalbarprov.go.id/eproc4/lelang/5069097/peserta</t>
  </si>
  <si>
    <t>https://lpse.kalbarprov.go.id/eproc4/lelang/5069097/hasil</t>
  </si>
  <si>
    <t>https://lpse.kalbarprov.go.id/eproc4/lelang/5069097/pemenang</t>
  </si>
  <si>
    <t>https://lpse.kalbarprov.go.id/eproc4/lelang/5069097/pemenangberkontrak</t>
  </si>
  <si>
    <t>https://lpse.kalbarprov.go.id/eproc4/lelang/5068097/pengumumanlelang</t>
  </si>
  <si>
    <t>https://lpse.kalbarprov.go.id/eproc4/lelang/5068097/peserta</t>
  </si>
  <si>
    <t>https://lpse.kalbarprov.go.id/eproc4/lelang/5068097/hasil</t>
  </si>
  <si>
    <t>https://lpse.kalbarprov.go.id/eproc4/lelang/5068097/pemenang</t>
  </si>
  <si>
    <t>https://lpse.kalbarprov.go.id/eproc4/lelang/5068097/pemenangberkontrak</t>
  </si>
  <si>
    <t>https://lpse.kalbarprov.go.id/eproc4/lelang/5065097/pengumumanlelang</t>
  </si>
  <si>
    <t>https://lpse.kalbarprov.go.id/eproc4/lelang/5065097/peserta</t>
  </si>
  <si>
    <t>https://lpse.kalbarprov.go.id/eproc4/lelang/5065097/hasil</t>
  </si>
  <si>
    <t>https://lpse.kalbarprov.go.id/eproc4/lelang/5065097/pemenang</t>
  </si>
  <si>
    <t>https://lpse.kalbarprov.go.id/eproc4/lelang/5065097/pemenangberkontrak</t>
  </si>
  <si>
    <t>https://lpse.kalbarprov.go.id/eproc4/lelang/5064097/pengumumanlelang</t>
  </si>
  <si>
    <t>https://lpse.kalbarprov.go.id/eproc4/lelang/5064097/peserta</t>
  </si>
  <si>
    <t>https://lpse.kalbarprov.go.id/eproc4/lelang/5064097/hasil</t>
  </si>
  <si>
    <t>https://lpse.kalbarprov.go.id/eproc4/lelang/5064097/pemenang</t>
  </si>
  <si>
    <t>https://lpse.kalbarprov.go.id/eproc4/lelang/5064097/pemenangberkontrak</t>
  </si>
  <si>
    <t>Rp. 23.365.010.000,00</t>
  </si>
  <si>
    <t>https://lpse.kalbarprov.go.id/eproc4/lelang/5063097/pengumumanlelang</t>
  </si>
  <si>
    <t>https://lpse.kalbarprov.go.id/eproc4/lelang/5063097/peserta</t>
  </si>
  <si>
    <t>https://lpse.kalbarprov.go.id/eproc4/lelang/5063097/hasil</t>
  </si>
  <si>
    <t>https://lpse.kalbarprov.go.id/eproc4/lelang/5063097/pemenang</t>
  </si>
  <si>
    <t>https://lpse.kalbarprov.go.id/eproc4/lelang/5063097/pemenangberkontrak</t>
  </si>
  <si>
    <t>https://lpse.kalbarprov.go.id/eproc4/lelang/5062097/pengumumanlelang</t>
  </si>
  <si>
    <t>https://lpse.kalbarprov.go.id/eproc4/lelang/5062097/peserta</t>
  </si>
  <si>
    <t>https://lpse.kalbarprov.go.id/eproc4/lelang/5062097/hasil</t>
  </si>
  <si>
    <t>https://lpse.kalbarprov.go.id/eproc4/lelang/5062097/pemenang</t>
  </si>
  <si>
    <t>https://lpse.kalbarprov.go.id/eproc4/lelang/5062097/pemenangberkontrak</t>
  </si>
  <si>
    <t>https://lpse.kalbarprov.go.id/eproc4/lelang/5060097/pengumumanlelang</t>
  </si>
  <si>
    <t>https://lpse.kalbarprov.go.id/eproc4/lelang/5060097/peserta</t>
  </si>
  <si>
    <t>https://lpse.kalbarprov.go.id/eproc4/lelang/5060097/hasil</t>
  </si>
  <si>
    <t>https://lpse.kalbarprov.go.id/eproc4/lelang/5060097/pemenang</t>
  </si>
  <si>
    <t>https://lpse.kalbarprov.go.id/eproc4/lelang/5060097/pemenangberkontrak</t>
  </si>
  <si>
    <t>Rp. 410.273.116,00</t>
  </si>
  <si>
    <t>https://lpse.kalbarprov.go.id/eproc4/lelang/5059097/pengumumanlelang</t>
  </si>
  <si>
    <t>https://lpse.kalbarprov.go.id/eproc4/lelang/5059097/peserta</t>
  </si>
  <si>
    <t>https://lpse.kalbarprov.go.id/eproc4/lelang/5059097/hasil</t>
  </si>
  <si>
    <t>https://lpse.kalbarprov.go.id/eproc4/lelang/5059097/pemenang</t>
  </si>
  <si>
    <t>https://lpse.kalbarprov.go.id/eproc4/lelang/5059097/pemenangberkontrak</t>
  </si>
  <si>
    <t>https://lpse.kalbarprov.go.id/eproc4/lelang/5058097/pengumumanlelang</t>
  </si>
  <si>
    <t>https://lpse.kalbarprov.go.id/eproc4/lelang/5058097/peserta</t>
  </si>
  <si>
    <t>https://lpse.kalbarprov.go.id/eproc4/lelang/5058097/hasil</t>
  </si>
  <si>
    <t>https://lpse.kalbarprov.go.id/eproc4/lelang/5058097/pemenang</t>
  </si>
  <si>
    <t>https://lpse.kalbarprov.go.id/eproc4/lelang/5058097/pemenangberkontrak</t>
  </si>
  <si>
    <t>Rp. 457.620.000,00</t>
  </si>
  <si>
    <t>https://lpse.kalbarprov.go.id/eproc4/lelang/5057097/pengumumanlelang</t>
  </si>
  <si>
    <t>https://lpse.kalbarprov.go.id/eproc4/lelang/5057097/peserta</t>
  </si>
  <si>
    <t>https://lpse.kalbarprov.go.id/eproc4/lelang/5057097/hasil</t>
  </si>
  <si>
    <t>https://lpse.kalbarprov.go.id/eproc4/lelang/5057097/pemenang</t>
  </si>
  <si>
    <t>https://lpse.kalbarprov.go.id/eproc4/lelang/5057097/pemenangberkontrak</t>
  </si>
  <si>
    <t>https://lpse.kalbarprov.go.id/eproc4/lelang/5056097/pengumumanlelang</t>
  </si>
  <si>
    <t>https://lpse.kalbarprov.go.id/eproc4/lelang/5056097/peserta</t>
  </si>
  <si>
    <t>https://lpse.kalbarprov.go.id/eproc4/lelang/5056097/hasil</t>
  </si>
  <si>
    <t>https://lpse.kalbarprov.go.id/eproc4/lelang/5056097/pemenang</t>
  </si>
  <si>
    <t>https://lpse.kalbarprov.go.id/eproc4/lelang/5056097/pemenangberkontrak</t>
  </si>
  <si>
    <t>https://lpse.kalbarprov.go.id/eproc4/lelang/5055097/pengumumanlelang</t>
  </si>
  <si>
    <t>https://lpse.kalbarprov.go.id/eproc4/lelang/5055097/peserta</t>
  </si>
  <si>
    <t>https://lpse.kalbarprov.go.id/eproc4/lelang/5055097/hasil</t>
  </si>
  <si>
    <t>https://lpse.kalbarprov.go.id/eproc4/lelang/5055097/pemenang</t>
  </si>
  <si>
    <t>https://lpse.kalbarprov.go.id/eproc4/lelang/5055097/pemenangberkontrak</t>
  </si>
  <si>
    <t>https://lpse.kalbarprov.go.id/eproc4/lelang/5049097/pengumumanlelang</t>
  </si>
  <si>
    <t>https://lpse.kalbarprov.go.id/eproc4/lelang/5049097/peserta</t>
  </si>
  <si>
    <t>https://lpse.kalbarprov.go.id/eproc4/lelang/5049097/hasil</t>
  </si>
  <si>
    <t>https://lpse.kalbarprov.go.id/eproc4/lelang/5049097/pemenang</t>
  </si>
  <si>
    <t>https://lpse.kalbarprov.go.id/eproc4/lelang/5049097/pemenangberkontrak</t>
  </si>
  <si>
    <t>Rp. 593.640.000,00</t>
  </si>
  <si>
    <t>https://lpse.kalbarprov.go.id/eproc4/lelang/5043097/pengumumanlelang</t>
  </si>
  <si>
    <t>https://lpse.kalbarprov.go.id/eproc4/lelang/5043097/peserta</t>
  </si>
  <si>
    <t>https://lpse.kalbarprov.go.id/eproc4/lelang/5043097/hasil</t>
  </si>
  <si>
    <t>https://lpse.kalbarprov.go.id/eproc4/lelang/5043097/pemenang</t>
  </si>
  <si>
    <t>https://lpse.kalbarprov.go.id/eproc4/lelang/5043097/pemenangberkontrak</t>
  </si>
  <si>
    <t>Rp. 477.400.000,00</t>
  </si>
  <si>
    <t>https://lpse.kalbarprov.go.id/eproc4/lelang/5042097/pengumumanlelang</t>
  </si>
  <si>
    <t>https://lpse.kalbarprov.go.id/eproc4/lelang/5042097/peserta</t>
  </si>
  <si>
    <t>https://lpse.kalbarprov.go.id/eproc4/lelang/5042097/hasil</t>
  </si>
  <si>
    <t>https://lpse.kalbarprov.go.id/eproc4/lelang/5042097/pemenang</t>
  </si>
  <si>
    <t>https://lpse.kalbarprov.go.id/eproc4/lelang/5042097/pemenangberkontrak</t>
  </si>
  <si>
    <t>Rp. 520.600.000,00</t>
  </si>
  <si>
    <t>https://lpse.kalbarprov.go.id/eproc4/lelang/5041097/pengumumanlelang</t>
  </si>
  <si>
    <t>https://lpse.kalbarprov.go.id/eproc4/lelang/5041097/peserta</t>
  </si>
  <si>
    <t>https://lpse.kalbarprov.go.id/eproc4/lelang/5041097/hasil</t>
  </si>
  <si>
    <t>https://lpse.kalbarprov.go.id/eproc4/lelang/5041097/pemenang</t>
  </si>
  <si>
    <t>https://lpse.kalbarprov.go.id/eproc4/lelang/5041097/pemenangberkontrak</t>
  </si>
  <si>
    <t>Rp. 508.400.000,00</t>
  </si>
  <si>
    <t>https://lpse.kalbarprov.go.id/eproc4/lelang/5040097/pengumumanlelang</t>
  </si>
  <si>
    <t>https://lpse.kalbarprov.go.id/eproc4/lelang/5040097/peserta</t>
  </si>
  <si>
    <t>https://lpse.kalbarprov.go.id/eproc4/lelang/5040097/hasil</t>
  </si>
  <si>
    <t>https://lpse.kalbarprov.go.id/eproc4/lelang/5040097/pemenang</t>
  </si>
  <si>
    <t>https://lpse.kalbarprov.go.id/eproc4/lelang/5040097/pemenangberkontrak</t>
  </si>
  <si>
    <t>https://lpse.kalbarprov.go.id/eproc4/lelang/5039097/pengumumanlelang</t>
  </si>
  <si>
    <t>https://lpse.kalbarprov.go.id/eproc4/lelang/5039097/peserta</t>
  </si>
  <si>
    <t>https://lpse.kalbarprov.go.id/eproc4/lelang/5039097/hasil</t>
  </si>
  <si>
    <t>https://lpse.kalbarprov.go.id/eproc4/lelang/5039097/pemenang</t>
  </si>
  <si>
    <t>https://lpse.kalbarprov.go.id/eproc4/lelang/5039097/pemenangberkontrak</t>
  </si>
  <si>
    <t>https://lpse.kalbarprov.go.id/eproc4/lelang/5038097/pengumumanlelang</t>
  </si>
  <si>
    <t>https://lpse.kalbarprov.go.id/eproc4/lelang/5038097/peserta</t>
  </si>
  <si>
    <t>https://lpse.kalbarprov.go.id/eproc4/lelang/5038097/hasil</t>
  </si>
  <si>
    <t>https://lpse.kalbarprov.go.id/eproc4/lelang/5038097/pemenang</t>
  </si>
  <si>
    <t>https://lpse.kalbarprov.go.id/eproc4/lelang/5038097/pemenangberkontrak</t>
  </si>
  <si>
    <t>https://lpse.kalbarprov.go.id/eproc4/lelang/5036097/pengumumanlelang</t>
  </si>
  <si>
    <t>https://lpse.kalbarprov.go.id/eproc4/lelang/5036097/peserta</t>
  </si>
  <si>
    <t>https://lpse.kalbarprov.go.id/eproc4/lelang/5036097/hasil</t>
  </si>
  <si>
    <t>https://lpse.kalbarprov.go.id/eproc4/lelang/5036097/pemenang</t>
  </si>
  <si>
    <t>https://lpse.kalbarprov.go.id/eproc4/lelang/5036097/pemenangberkontrak</t>
  </si>
  <si>
    <t>Rp. 3.555.000.000,00</t>
  </si>
  <si>
    <t>https://lpse.kalbarprov.go.id/eproc4/lelang/5034097/pengumumanlelang</t>
  </si>
  <si>
    <t>https://lpse.kalbarprov.go.id/eproc4/lelang/5034097/peserta</t>
  </si>
  <si>
    <t>https://lpse.kalbarprov.go.id/eproc4/lelang/5034097/hasil</t>
  </si>
  <si>
    <t>https://lpse.kalbarprov.go.id/eproc4/lelang/5034097/pemenang</t>
  </si>
  <si>
    <t>https://lpse.kalbarprov.go.id/eproc4/lelang/5034097/pemenangberkontrak</t>
  </si>
  <si>
    <t>Rp. 815.000.000,00</t>
  </si>
  <si>
    <t>https://lpse.kalbarprov.go.id/eproc4/lelang/5032097/pengumumanlelang</t>
  </si>
  <si>
    <t>https://lpse.kalbarprov.go.id/eproc4/lelang/5032097/peserta</t>
  </si>
  <si>
    <t>https://lpse.kalbarprov.go.id/eproc4/lelang/5032097/hasil</t>
  </si>
  <si>
    <t>https://lpse.kalbarprov.go.id/eproc4/lelang/5032097/pemenang</t>
  </si>
  <si>
    <t>https://lpse.kalbarprov.go.id/eproc4/lelang/5032097/pemenangberkontrak</t>
  </si>
  <si>
    <t>Rp. 11.037.040.000,00</t>
  </si>
  <si>
    <t>55 peserta</t>
  </si>
  <si>
    <t>https://lpse.kalbarprov.go.id/eproc4/lelang/5030097/pengumumanlelang</t>
  </si>
  <si>
    <t>https://lpse.kalbarprov.go.id/eproc4/lelang/5030097/peserta</t>
  </si>
  <si>
    <t>https://lpse.kalbarprov.go.id/eproc4/lelang/5030097/hasil</t>
  </si>
  <si>
    <t>https://lpse.kalbarprov.go.id/eproc4/lelang/5030097/pemenang</t>
  </si>
  <si>
    <t>https://lpse.kalbarprov.go.id/eproc4/lelang/5030097/pemenangberkontrak</t>
  </si>
  <si>
    <t>Rp. 9.191.360.000,00</t>
  </si>
  <si>
    <t>https://lpse.kalbarprov.go.id/eproc4/lelang/5029097/pengumumanlelang</t>
  </si>
  <si>
    <t>https://lpse.kalbarprov.go.id/eproc4/lelang/5029097/peserta</t>
  </si>
  <si>
    <t>https://lpse.kalbarprov.go.id/eproc4/lelang/5029097/hasil</t>
  </si>
  <si>
    <t>https://lpse.kalbarprov.go.id/eproc4/lelang/5029097/pemenang</t>
  </si>
  <si>
    <t>https://lpse.kalbarprov.go.id/eproc4/lelang/5029097/pemenangberkontrak</t>
  </si>
  <si>
    <t>Rp. 1.920.000.000,00</t>
  </si>
  <si>
    <t>https://lpse.kalbarprov.go.id/eproc4/lelang/5027097/pengumumanlelang</t>
  </si>
  <si>
    <t>https://lpse.kalbarprov.go.id/eproc4/lelang/5027097/peserta</t>
  </si>
  <si>
    <t>https://lpse.kalbarprov.go.id/eproc4/lelang/5027097/hasil</t>
  </si>
  <si>
    <t>https://lpse.kalbarprov.go.id/eproc4/lelang/5027097/pemenang</t>
  </si>
  <si>
    <t>https://lpse.kalbarprov.go.id/eproc4/lelang/5027097/pemenangberkontrak</t>
  </si>
  <si>
    <t>Rp. 1.406.500.000,00</t>
  </si>
  <si>
    <t>https://lpse.kalbarprov.go.id/eproc4/lelang/5023097/pengumumanlelang</t>
  </si>
  <si>
    <t>https://lpse.kalbarprov.go.id/eproc4/lelang/5023097/peserta</t>
  </si>
  <si>
    <t>https://lpse.kalbarprov.go.id/eproc4/lelang/5023097/hasil</t>
  </si>
  <si>
    <t>https://lpse.kalbarprov.go.id/eproc4/lelang/5023097/pemenang</t>
  </si>
  <si>
    <t>https://lpse.kalbarprov.go.id/eproc4/lelang/5023097/pemenangberkontrak</t>
  </si>
  <si>
    <t>Rp. 280.000.000,00</t>
  </si>
  <si>
    <t>https://lpse.kalbarprov.go.id/eproc4/lelang/5021097/pengumumanlelang</t>
  </si>
  <si>
    <t>https://lpse.kalbarprov.go.id/eproc4/lelang/5021097/peserta</t>
  </si>
  <si>
    <t>https://lpse.kalbarprov.go.id/eproc4/lelang/5021097/hasil</t>
  </si>
  <si>
    <t>https://lpse.kalbarprov.go.id/eproc4/lelang/5021097/pemenang</t>
  </si>
  <si>
    <t>https://lpse.kalbarprov.go.id/eproc4/lelang/5021097/pemenangberkontrak</t>
  </si>
  <si>
    <t>Rp. 12.139.506.000,00</t>
  </si>
  <si>
    <t>https://lpse.kalbarprov.go.id/eproc4/lelang/5015097/pengumumanlelang</t>
  </si>
  <si>
    <t>https://lpse.kalbarprov.go.id/eproc4/lelang/5015097/peserta</t>
  </si>
  <si>
    <t>https://lpse.kalbarprov.go.id/eproc4/lelang/5015097/hasil</t>
  </si>
  <si>
    <t>https://lpse.kalbarprov.go.id/eproc4/lelang/5015097/pemenang</t>
  </si>
  <si>
    <t>https://lpse.kalbarprov.go.id/eproc4/lelang/5015097/pemenangberkontrak</t>
  </si>
  <si>
    <t>Rp. 695.250.000,00</t>
  </si>
  <si>
    <t>https://lpse.kalbarprov.go.id/eproc4/lelang/5014097/pengumumanlelang</t>
  </si>
  <si>
    <t>https://lpse.kalbarprov.go.id/eproc4/lelang/5014097/peserta</t>
  </si>
  <si>
    <t>https://lpse.kalbarprov.go.id/eproc4/lelang/5014097/hasil</t>
  </si>
  <si>
    <t>https://lpse.kalbarprov.go.id/eproc4/lelang/5014097/pemenang</t>
  </si>
  <si>
    <t>https://lpse.kalbarprov.go.id/eproc4/lelang/5014097/pemenangberkontrak</t>
  </si>
  <si>
    <t>https://lpse.kalbarprov.go.id/eproc4/lelang/5013097/pengumumanlelang</t>
  </si>
  <si>
    <t>https://lpse.kalbarprov.go.id/eproc4/lelang/5013097/peserta</t>
  </si>
  <si>
    <t>https://lpse.kalbarprov.go.id/eproc4/lelang/5013097/hasil</t>
  </si>
  <si>
    <t>https://lpse.kalbarprov.go.id/eproc4/lelang/5013097/pemenang</t>
  </si>
  <si>
    <t>https://lpse.kalbarprov.go.id/eproc4/lelang/5013097/pemenangberkontrak</t>
  </si>
  <si>
    <t>https://lpse.kalbarprov.go.id/eproc4/lelang/5012097/pengumumanlelang</t>
  </si>
  <si>
    <t>https://lpse.kalbarprov.go.id/eproc4/lelang/5012097/peserta</t>
  </si>
  <si>
    <t>https://lpse.kalbarprov.go.id/eproc4/lelang/5012097/hasil</t>
  </si>
  <si>
    <t>https://lpse.kalbarprov.go.id/eproc4/lelang/5012097/pemenang</t>
  </si>
  <si>
    <t>https://lpse.kalbarprov.go.id/eproc4/lelang/5012097/pemenangberkontrak</t>
  </si>
  <si>
    <t>Rp. 170.000.000,00</t>
  </si>
  <si>
    <t>https://lpse.kalbarprov.go.id/eproc4/lelang/5010097/pengumumanlelang</t>
  </si>
  <si>
    <t>https://lpse.kalbarprov.go.id/eproc4/lelang/5010097/peserta</t>
  </si>
  <si>
    <t>https://lpse.kalbarprov.go.id/eproc4/lelang/5010097/hasil</t>
  </si>
  <si>
    <t>https://lpse.kalbarprov.go.id/eproc4/lelang/5010097/pemenang</t>
  </si>
  <si>
    <t>https://lpse.kalbarprov.go.id/eproc4/lelang/5010097/pemenangberkontrak</t>
  </si>
  <si>
    <t>https://lpse.kalbarprov.go.id/eproc4/lelang/5009097/pengumumanlelang</t>
  </si>
  <si>
    <t>https://lpse.kalbarprov.go.id/eproc4/lelang/5009097/peserta</t>
  </si>
  <si>
    <t>https://lpse.kalbarprov.go.id/eproc4/lelang/5009097/hasil</t>
  </si>
  <si>
    <t>https://lpse.kalbarprov.go.id/eproc4/lelang/5009097/pemenang</t>
  </si>
  <si>
    <t>https://lpse.kalbarprov.go.id/eproc4/lelang/5009097/pemenangberkontrak</t>
  </si>
  <si>
    <t>https://lpse.kalbarprov.go.id/eproc4/lelang/5008097/pengumumanlelang</t>
  </si>
  <si>
    <t>https://lpse.kalbarprov.go.id/eproc4/lelang/5008097/peserta</t>
  </si>
  <si>
    <t>https://lpse.kalbarprov.go.id/eproc4/lelang/5008097/hasil</t>
  </si>
  <si>
    <t>https://lpse.kalbarprov.go.id/eproc4/lelang/5008097/pemenang</t>
  </si>
  <si>
    <t>https://lpse.kalbarprov.go.id/eproc4/lelang/5008097/pemenangberkontrak</t>
  </si>
  <si>
    <t>https://lpse.kalbarprov.go.id/eproc4/lelang/5007097/pengumumanlelang</t>
  </si>
  <si>
    <t>https://lpse.kalbarprov.go.id/eproc4/lelang/5007097/peserta</t>
  </si>
  <si>
    <t>https://lpse.kalbarprov.go.id/eproc4/lelang/5007097/hasil</t>
  </si>
  <si>
    <t>https://lpse.kalbarprov.go.id/eproc4/lelang/5007097/pemenang</t>
  </si>
  <si>
    <t>https://lpse.kalbarprov.go.id/eproc4/lelang/5007097/pemenangberkontrak</t>
  </si>
  <si>
    <t>https://lpse.kalbarprov.go.id/eproc4/lelang/5001097/pengumumanlelang</t>
  </si>
  <si>
    <t>https://lpse.kalbarprov.go.id/eproc4/lelang/5001097/peserta</t>
  </si>
  <si>
    <t>https://lpse.kalbarprov.go.id/eproc4/lelang/5001097/hasil</t>
  </si>
  <si>
    <t>https://lpse.kalbarprov.go.id/eproc4/lelang/5001097/pemenang</t>
  </si>
  <si>
    <t>https://lpse.kalbarprov.go.id/eproc4/lelang/5001097/pemenangberkontrak</t>
  </si>
  <si>
    <t>https://lpse.kalbarprov.go.id/eproc4/lelang/5000097/pengumumanlelang</t>
  </si>
  <si>
    <t>https://lpse.kalbarprov.go.id/eproc4/lelang/5000097/peserta</t>
  </si>
  <si>
    <t>https://lpse.kalbarprov.go.id/eproc4/lelang/5000097/hasil</t>
  </si>
  <si>
    <t>https://lpse.kalbarprov.go.id/eproc4/lelang/5000097/pemenang</t>
  </si>
  <si>
    <t>https://lpse.kalbarprov.go.id/eproc4/lelang/5000097/pemenangberkontrak</t>
  </si>
  <si>
    <t>Rp. 1.312.600.000,00</t>
  </si>
  <si>
    <t>https://lpse.kalbarprov.go.id/eproc4/lelang/4999097/pengumumanlelang</t>
  </si>
  <si>
    <t>https://lpse.kalbarprov.go.id/eproc4/lelang/4999097/peserta</t>
  </si>
  <si>
    <t>https://lpse.kalbarprov.go.id/eproc4/lelang/4999097/hasil</t>
  </si>
  <si>
    <t>https://lpse.kalbarprov.go.id/eproc4/lelang/4999097/pemenang</t>
  </si>
  <si>
    <t>https://lpse.kalbarprov.go.id/eproc4/lelang/4999097/pemenangberkontrak</t>
  </si>
  <si>
    <t>40 peserta</t>
  </si>
  <si>
    <t>https://lpse.kalbarprov.go.id/eproc4/lelang/4997097/pengumumanlelang</t>
  </si>
  <si>
    <t>https://lpse.kalbarprov.go.id/eproc4/lelang/4997097/peserta</t>
  </si>
  <si>
    <t>https://lpse.kalbarprov.go.id/eproc4/lelang/4997097/hasil</t>
  </si>
  <si>
    <t>https://lpse.kalbarprov.go.id/eproc4/lelang/4997097/pemenang</t>
  </si>
  <si>
    <t>https://lpse.kalbarprov.go.id/eproc4/lelang/4997097/pemenangberkontrak</t>
  </si>
  <si>
    <t>Rp. 1.882.351.600,00</t>
  </si>
  <si>
    <t>https://lpse.kalbarprov.go.id/eproc4/lelang/4986097/pengumumanlelang</t>
  </si>
  <si>
    <t>https://lpse.kalbarprov.go.id/eproc4/lelang/4986097/peserta</t>
  </si>
  <si>
    <t>https://lpse.kalbarprov.go.id/eproc4/lelang/4986097/hasil</t>
  </si>
  <si>
    <t>https://lpse.kalbarprov.go.id/eproc4/lelang/4986097/pemenang</t>
  </si>
  <si>
    <t>https://lpse.kalbarprov.go.id/eproc4/lelang/4986097/pemenangberkontrak</t>
  </si>
  <si>
    <t>https://lpse.kalbarprov.go.id/eproc4/lelang/4984097/pengumumanlelang</t>
  </si>
  <si>
    <t>https://lpse.kalbarprov.go.id/eproc4/lelang/4984097/peserta</t>
  </si>
  <si>
    <t>https://lpse.kalbarprov.go.id/eproc4/lelang/4984097/hasil</t>
  </si>
  <si>
    <t>https://lpse.kalbarprov.go.id/eproc4/lelang/4984097/pemenang</t>
  </si>
  <si>
    <t>https://lpse.kalbarprov.go.id/eproc4/lelang/4984097/pemenangberkontrak</t>
  </si>
  <si>
    <t>https://lpse.kalbarprov.go.id/eproc4/lelang/4981097/pengumumanlelang</t>
  </si>
  <si>
    <t>https://lpse.kalbarprov.go.id/eproc4/lelang/4981097/peserta</t>
  </si>
  <si>
    <t>https://lpse.kalbarprov.go.id/eproc4/lelang/4981097/hasil</t>
  </si>
  <si>
    <t>https://lpse.kalbarprov.go.id/eproc4/lelang/4981097/pemenang</t>
  </si>
  <si>
    <t>https://lpse.kalbarprov.go.id/eproc4/lelang/4981097/pemenangberkontrak</t>
  </si>
  <si>
    <t>Rp. 342.022.500,00</t>
  </si>
  <si>
    <t>https://lpse.kalbarprov.go.id/eproc4/lelang/4980097/pengumumanlelang</t>
  </si>
  <si>
    <t>https://lpse.kalbarprov.go.id/eproc4/lelang/4980097/peserta</t>
  </si>
  <si>
    <t>https://lpse.kalbarprov.go.id/eproc4/lelang/4980097/hasil</t>
  </si>
  <si>
    <t>https://lpse.kalbarprov.go.id/eproc4/lelang/4980097/pemenang</t>
  </si>
  <si>
    <t>https://lpse.kalbarprov.go.id/eproc4/lelang/4980097/pemenangberkontrak</t>
  </si>
  <si>
    <t>https://lpse.kalbarprov.go.id/eproc4/lelang/4978097/pengumumanlelang</t>
  </si>
  <si>
    <t>https://lpse.kalbarprov.go.id/eproc4/lelang/4978097/peserta</t>
  </si>
  <si>
    <t>https://lpse.kalbarprov.go.id/eproc4/lelang/4978097/hasil</t>
  </si>
  <si>
    <t>https://lpse.kalbarprov.go.id/eproc4/lelang/4978097/pemenang</t>
  </si>
  <si>
    <t>https://lpse.kalbarprov.go.id/eproc4/lelang/4978097/pemenangberkontrak</t>
  </si>
  <si>
    <t>https://lpse.kalbarprov.go.id/eproc4/lelang/4977097/pengumumanlelang</t>
  </si>
  <si>
    <t>https://lpse.kalbarprov.go.id/eproc4/lelang/4977097/peserta</t>
  </si>
  <si>
    <t>https://lpse.kalbarprov.go.id/eproc4/lelang/4977097/hasil</t>
  </si>
  <si>
    <t>https://lpse.kalbarprov.go.id/eproc4/lelang/4977097/pemenang</t>
  </si>
  <si>
    <t>https://lpse.kalbarprov.go.id/eproc4/lelang/4977097/pemenangberkontrak</t>
  </si>
  <si>
    <t>https://lpse.kalbarprov.go.id/eproc4/lelang/4976097/pengumumanlelang</t>
  </si>
  <si>
    <t>https://lpse.kalbarprov.go.id/eproc4/lelang/4976097/peserta</t>
  </si>
  <si>
    <t>https://lpse.kalbarprov.go.id/eproc4/lelang/4976097/hasil</t>
  </si>
  <si>
    <t>https://lpse.kalbarprov.go.id/eproc4/lelang/4976097/pemenang</t>
  </si>
  <si>
    <t>https://lpse.kalbarprov.go.id/eproc4/lelang/4976097/pemenangberkontrak</t>
  </si>
  <si>
    <t>https://lpse.kalbarprov.go.id/eproc4/lelang/4975097/pengumumanlelang</t>
  </si>
  <si>
    <t>https://lpse.kalbarprov.go.id/eproc4/lelang/4975097/peserta</t>
  </si>
  <si>
    <t>https://lpse.kalbarprov.go.id/eproc4/lelang/4975097/hasil</t>
  </si>
  <si>
    <t>https://lpse.kalbarprov.go.id/eproc4/lelang/4975097/pemenang</t>
  </si>
  <si>
    <t>https://lpse.kalbarprov.go.id/eproc4/lelang/4975097/pemenangberkontrak</t>
  </si>
  <si>
    <t>Rp. 15.206.000.000,00</t>
  </si>
  <si>
    <t>82 peserta</t>
  </si>
  <si>
    <t>https://lpse.kalbarprov.go.id/eproc4/lelang/4974097/pengumumanlelang</t>
  </si>
  <si>
    <t>https://lpse.kalbarprov.go.id/eproc4/lelang/4974097/peserta</t>
  </si>
  <si>
    <t>https://lpse.kalbarprov.go.id/eproc4/lelang/4974097/hasil</t>
  </si>
  <si>
    <t>https://lpse.kalbarprov.go.id/eproc4/lelang/4974097/pemenang</t>
  </si>
  <si>
    <t>https://lpse.kalbarprov.go.id/eproc4/lelang/4974097/pemenangberkontrak</t>
  </si>
  <si>
    <t>Rp. 4.250.000.000,00</t>
  </si>
  <si>
    <t>https://lpse.kalbarprov.go.id/eproc4/lelang/4973097/pengumumanlelang</t>
  </si>
  <si>
    <t>https://lpse.kalbarprov.go.id/eproc4/lelang/4973097/peserta</t>
  </si>
  <si>
    <t>https://lpse.kalbarprov.go.id/eproc4/lelang/4973097/hasil</t>
  </si>
  <si>
    <t>https://lpse.kalbarprov.go.id/eproc4/lelang/4973097/pemenang</t>
  </si>
  <si>
    <t>https://lpse.kalbarprov.go.id/eproc4/lelang/4973097/pemenangberkontrak</t>
  </si>
  <si>
    <t>Rp. 11.614.326.000,00</t>
  </si>
  <si>
    <t>https://lpse.kalbarprov.go.id/eproc4/lelang/4963097/pengumumanlelang</t>
  </si>
  <si>
    <t>https://lpse.kalbarprov.go.id/eproc4/lelang/4963097/peserta</t>
  </si>
  <si>
    <t>https://lpse.kalbarprov.go.id/eproc4/lelang/4963097/hasil</t>
  </si>
  <si>
    <t>https://lpse.kalbarprov.go.id/eproc4/lelang/4963097/pemenang</t>
  </si>
  <si>
    <t>https://lpse.kalbarprov.go.id/eproc4/lelang/4963097/pemenangberkontrak</t>
  </si>
  <si>
    <t>https://lpse.kalbarprov.go.id/eproc4/lelang/4962097/pengumumanlelang</t>
  </si>
  <si>
    <t>https://lpse.kalbarprov.go.id/eproc4/lelang/4962097/peserta</t>
  </si>
  <si>
    <t>https://lpse.kalbarprov.go.id/eproc4/lelang/4962097/hasil</t>
  </si>
  <si>
    <t>https://lpse.kalbarprov.go.id/eproc4/lelang/4962097/pemenang</t>
  </si>
  <si>
    <t>https://lpse.kalbarprov.go.id/eproc4/lelang/4962097/pemenangberkontrak</t>
  </si>
  <si>
    <t>https://lpse.kalbarprov.go.id/eproc4/lelang/4960097/pengumumanlelang</t>
  </si>
  <si>
    <t>https://lpse.kalbarprov.go.id/eproc4/lelang/4960097/peserta</t>
  </si>
  <si>
    <t>https://lpse.kalbarprov.go.id/eproc4/lelang/4960097/hasil</t>
  </si>
  <si>
    <t>https://lpse.kalbarprov.go.id/eproc4/lelang/4960097/pemenang</t>
  </si>
  <si>
    <t>https://lpse.kalbarprov.go.id/eproc4/lelang/4960097/pemenangberkontrak</t>
  </si>
  <si>
    <t>https://lpse.kalbarprov.go.id/eproc4/lelang/4959097/pengumumanlelang</t>
  </si>
  <si>
    <t>https://lpse.kalbarprov.go.id/eproc4/lelang/4959097/peserta</t>
  </si>
  <si>
    <t>https://lpse.kalbarprov.go.id/eproc4/lelang/4959097/hasil</t>
  </si>
  <si>
    <t>https://lpse.kalbarprov.go.id/eproc4/lelang/4959097/pemenang</t>
  </si>
  <si>
    <t>https://lpse.kalbarprov.go.id/eproc4/lelang/4959097/pemenangberkontrak</t>
  </si>
  <si>
    <t>https://lpse.kalbarprov.go.id/eproc4/lelang/4958097/pengumumanlelang</t>
  </si>
  <si>
    <t>https://lpse.kalbarprov.go.id/eproc4/lelang/4958097/peserta</t>
  </si>
  <si>
    <t>https://lpse.kalbarprov.go.id/eproc4/lelang/4958097/hasil</t>
  </si>
  <si>
    <t>https://lpse.kalbarprov.go.id/eproc4/lelang/4958097/pemenang</t>
  </si>
  <si>
    <t>https://lpse.kalbarprov.go.id/eproc4/lelang/4958097/pemenangberkontrak</t>
  </si>
  <si>
    <t>Rp. 2.645.180.800,00</t>
  </si>
  <si>
    <t>https://lpse.kalbarprov.go.id/eproc4/lelang/4957097/pengumumanlelang</t>
  </si>
  <si>
    <t>https://lpse.kalbarprov.go.id/eproc4/lelang/4957097/peserta</t>
  </si>
  <si>
    <t>https://lpse.kalbarprov.go.id/eproc4/lelang/4957097/hasil</t>
  </si>
  <si>
    <t>https://lpse.kalbarprov.go.id/eproc4/lelang/4957097/pemenang</t>
  </si>
  <si>
    <t>https://lpse.kalbarprov.go.id/eproc4/lelang/4957097/pemenangberkontrak</t>
  </si>
  <si>
    <t>Rp. 375.000.000,00</t>
  </si>
  <si>
    <t>https://lpse.kalbarprov.go.id/eproc4/lelang/4956097/pengumumanlelang</t>
  </si>
  <si>
    <t>https://lpse.kalbarprov.go.id/eproc4/lelang/4956097/peserta</t>
  </si>
  <si>
    <t>https://lpse.kalbarprov.go.id/eproc4/lelang/4956097/hasil</t>
  </si>
  <si>
    <t>https://lpse.kalbarprov.go.id/eproc4/lelang/4956097/pemenang</t>
  </si>
  <si>
    <t>https://lpse.kalbarprov.go.id/eproc4/lelang/4956097/pemenangberkontrak</t>
  </si>
  <si>
    <t>Rp. 700.000.000,00</t>
  </si>
  <si>
    <t>https://lpse.kalbarprov.go.id/eproc4/lelang/4955097/pengumumanlelang</t>
  </si>
  <si>
    <t>https://lpse.kalbarprov.go.id/eproc4/lelang/4955097/peserta</t>
  </si>
  <si>
    <t>https://lpse.kalbarprov.go.id/eproc4/lelang/4955097/hasil</t>
  </si>
  <si>
    <t>https://lpse.kalbarprov.go.id/eproc4/lelang/4955097/pemenang</t>
  </si>
  <si>
    <t>https://lpse.kalbarprov.go.id/eproc4/lelang/4955097/pemenangberkontrak</t>
  </si>
  <si>
    <t>https://lpse.kalbarprov.go.id/eproc4/lelang/4954097/pengumumanlelang</t>
  </si>
  <si>
    <t>https://lpse.kalbarprov.go.id/eproc4/lelang/4954097/peserta</t>
  </si>
  <si>
    <t>https://lpse.kalbarprov.go.id/eproc4/lelang/4954097/hasil</t>
  </si>
  <si>
    <t>https://lpse.kalbarprov.go.id/eproc4/lelang/4954097/pemenang</t>
  </si>
  <si>
    <t>https://lpse.kalbarprov.go.id/eproc4/lelang/4954097/pemenangberkontrak</t>
  </si>
  <si>
    <t>https://lpse.kalbarprov.go.id/eproc4/lelang/4953097/pengumumanlelang</t>
  </si>
  <si>
    <t>https://lpse.kalbarprov.go.id/eproc4/lelang/4953097/peserta</t>
  </si>
  <si>
    <t>https://lpse.kalbarprov.go.id/eproc4/lelang/4953097/hasil</t>
  </si>
  <si>
    <t>https://lpse.kalbarprov.go.id/eproc4/lelang/4953097/pemenang</t>
  </si>
  <si>
    <t>https://lpse.kalbarprov.go.id/eproc4/lelang/4953097/pemenangberkontrak</t>
  </si>
  <si>
    <t>Rp. 4.432.000.000,00</t>
  </si>
  <si>
    <t>https://lpse.kalbarprov.go.id/eproc4/lelang/4952097/pengumumanlelang</t>
  </si>
  <si>
    <t>https://lpse.kalbarprov.go.id/eproc4/lelang/4952097/peserta</t>
  </si>
  <si>
    <t>https://lpse.kalbarprov.go.id/eproc4/lelang/4952097/hasil</t>
  </si>
  <si>
    <t>https://lpse.kalbarprov.go.id/eproc4/lelang/4952097/pemenang</t>
  </si>
  <si>
    <t>https://lpse.kalbarprov.go.id/eproc4/lelang/4952097/pemenangberkontrak</t>
  </si>
  <si>
    <t>Rp. 5.073.208.000,00</t>
  </si>
  <si>
    <t>https://lpse.kalbarprov.go.id/eproc4/lelang/4951097/pengumumanlelang</t>
  </si>
  <si>
    <t>https://lpse.kalbarprov.go.id/eproc4/lelang/4951097/peserta</t>
  </si>
  <si>
    <t>https://lpse.kalbarprov.go.id/eproc4/lelang/4951097/hasil</t>
  </si>
  <si>
    <t>https://lpse.kalbarprov.go.id/eproc4/lelang/4951097/pemenang</t>
  </si>
  <si>
    <t>https://lpse.kalbarprov.go.id/eproc4/lelang/4951097/pemenangberkontrak</t>
  </si>
  <si>
    <t>Rp. 5.810.090.000,00</t>
  </si>
  <si>
    <t>https://lpse.kalbarprov.go.id/eproc4/lelang/4949097/pengumumanlelang</t>
  </si>
  <si>
    <t>https://lpse.kalbarprov.go.id/eproc4/lelang/4949097/peserta</t>
  </si>
  <si>
    <t>https://lpse.kalbarprov.go.id/eproc4/lelang/4949097/hasil</t>
  </si>
  <si>
    <t>https://lpse.kalbarprov.go.id/eproc4/lelang/4949097/pemenang</t>
  </si>
  <si>
    <t>https://lpse.kalbarprov.go.id/eproc4/lelang/4949097/pemenangberkontrak</t>
  </si>
  <si>
    <t>https://lpse.kalbarprov.go.id/eproc4/lelang/4942097/pengumumanlelang</t>
  </si>
  <si>
    <t>https://lpse.kalbarprov.go.id/eproc4/lelang/4942097/peserta</t>
  </si>
  <si>
    <t>https://lpse.kalbarprov.go.id/eproc4/lelang/4942097/hasil</t>
  </si>
  <si>
    <t>https://lpse.kalbarprov.go.id/eproc4/lelang/4942097/pemenang</t>
  </si>
  <si>
    <t>https://lpse.kalbarprov.go.id/eproc4/lelang/4942097/pemenangberkontrak</t>
  </si>
  <si>
    <t>Rp. 9.458.000.000,00</t>
  </si>
  <si>
    <t>https://lpse.kalbarprov.go.id/eproc4/lelang/4941097/pengumumanlelang</t>
  </si>
  <si>
    <t>https://lpse.kalbarprov.go.id/eproc4/lelang/4941097/peserta</t>
  </si>
  <si>
    <t>https://lpse.kalbarprov.go.id/eproc4/lelang/4941097/hasil</t>
  </si>
  <si>
    <t>https://lpse.kalbarprov.go.id/eproc4/lelang/4941097/pemenang</t>
  </si>
  <si>
    <t>https://lpse.kalbarprov.go.id/eproc4/lelang/4941097/pemenangberkontrak</t>
  </si>
  <si>
    <t>Rp. 12.598.663.000,00</t>
  </si>
  <si>
    <t>https://lpse.kalbarprov.go.id/eproc4/lelang/4940097/pengumumanlelang</t>
  </si>
  <si>
    <t>https://lpse.kalbarprov.go.id/eproc4/lelang/4940097/peserta</t>
  </si>
  <si>
    <t>https://lpse.kalbarprov.go.id/eproc4/lelang/4940097/hasil</t>
  </si>
  <si>
    <t>https://lpse.kalbarprov.go.id/eproc4/lelang/4940097/pemenang</t>
  </si>
  <si>
    <t>https://lpse.kalbarprov.go.id/eproc4/lelang/4940097/pemenangberkontrak</t>
  </si>
  <si>
    <t>Rp. 9.105.717.000,00</t>
  </si>
  <si>
    <t>70 peserta</t>
  </si>
  <si>
    <t>https://lpse.kalbarprov.go.id/eproc4/lelang/4939097/pengumumanlelang</t>
  </si>
  <si>
    <t>https://lpse.kalbarprov.go.id/eproc4/lelang/4939097/peserta</t>
  </si>
  <si>
    <t>https://lpse.kalbarprov.go.id/eproc4/lelang/4939097/hasil</t>
  </si>
  <si>
    <t>https://lpse.kalbarprov.go.id/eproc4/lelang/4939097/pemenang</t>
  </si>
  <si>
    <t>https://lpse.kalbarprov.go.id/eproc4/lelang/4939097/pemenangberkontrak</t>
  </si>
  <si>
    <t>Rp. 6.404.000.000,00</t>
  </si>
  <si>
    <t>https://lpse.kalbarprov.go.id/eproc4/lelang/4938097/pengumumanlelang</t>
  </si>
  <si>
    <t>https://lpse.kalbarprov.go.id/eproc4/lelang/4938097/peserta</t>
  </si>
  <si>
    <t>https://lpse.kalbarprov.go.id/eproc4/lelang/4938097/hasil</t>
  </si>
  <si>
    <t>https://lpse.kalbarprov.go.id/eproc4/lelang/4938097/pemenang</t>
  </si>
  <si>
    <t>https://lpse.kalbarprov.go.id/eproc4/lelang/4938097/pemenangberkontrak</t>
  </si>
  <si>
    <t>Rp. 9.303.000.000,00</t>
  </si>
  <si>
    <t>https://lpse.kalbarprov.go.id/eproc4/lelang/4937097/pengumumanlelang</t>
  </si>
  <si>
    <t>https://lpse.kalbarprov.go.id/eproc4/lelang/4937097/peserta</t>
  </si>
  <si>
    <t>https://lpse.kalbarprov.go.id/eproc4/lelang/4937097/hasil</t>
  </si>
  <si>
    <t>https://lpse.kalbarprov.go.id/eproc4/lelang/4937097/pemenang</t>
  </si>
  <si>
    <t>https://lpse.kalbarprov.go.id/eproc4/lelang/4937097/pemenangberkontrak</t>
  </si>
  <si>
    <t>Rp. 29.612.000.000,00</t>
  </si>
  <si>
    <t>https://lpse.kalbarprov.go.id/eproc4/lelang/4936097/pengumumanlelang</t>
  </si>
  <si>
    <t>https://lpse.kalbarprov.go.id/eproc4/lelang/4936097/peserta</t>
  </si>
  <si>
    <t>https://lpse.kalbarprov.go.id/eproc4/lelang/4936097/hasil</t>
  </si>
  <si>
    <t>https://lpse.kalbarprov.go.id/eproc4/lelang/4936097/pemenang</t>
  </si>
  <si>
    <t>https://lpse.kalbarprov.go.id/eproc4/lelang/4936097/pemenangberkontrak</t>
  </si>
  <si>
    <t>Rp. 8.418.638.000,00</t>
  </si>
  <si>
    <t>https://lpse.kalbarprov.go.id/eproc4/lelang/4935097/pengumumanlelang</t>
  </si>
  <si>
    <t>https://lpse.kalbarprov.go.id/eproc4/lelang/4935097/peserta</t>
  </si>
  <si>
    <t>https://lpse.kalbarprov.go.id/eproc4/lelang/4935097/hasil</t>
  </si>
  <si>
    <t>https://lpse.kalbarprov.go.id/eproc4/lelang/4935097/pemenang</t>
  </si>
  <si>
    <t>https://lpse.kalbarprov.go.id/eproc4/lelang/4935097/pemenangberkontrak</t>
  </si>
  <si>
    <t>https://lpse.kalbarprov.go.id/eproc4/lelang/4934097/pengumumanlelang</t>
  </si>
  <si>
    <t>https://lpse.kalbarprov.go.id/eproc4/lelang/4934097/peserta</t>
  </si>
  <si>
    <t>https://lpse.kalbarprov.go.id/eproc4/lelang/4934097/hasil</t>
  </si>
  <si>
    <t>https://lpse.kalbarprov.go.id/eproc4/lelang/4934097/pemenang</t>
  </si>
  <si>
    <t>https://lpse.kalbarprov.go.id/eproc4/lelang/4934097/pemenangberkontrak</t>
  </si>
  <si>
    <t>Rp. 3.392.600.000,00</t>
  </si>
  <si>
    <t>https://lpse.kalbarprov.go.id/eproc4/lelang/4932097/pengumumanlelang</t>
  </si>
  <si>
    <t>https://lpse.kalbarprov.go.id/eproc4/lelang/4932097/peserta</t>
  </si>
  <si>
    <t>https://lpse.kalbarprov.go.id/eproc4/lelang/4932097/hasil</t>
  </si>
  <si>
    <t>https://lpse.kalbarprov.go.id/eproc4/lelang/4932097/pemenang</t>
  </si>
  <si>
    <t>https://lpse.kalbarprov.go.id/eproc4/lelang/4932097/pemenangberkontrak</t>
  </si>
  <si>
    <t>https://lpse.kalbarprov.go.id/eproc4/lelang/4930097/pengumumanlelang</t>
  </si>
  <si>
    <t>https://lpse.kalbarprov.go.id/eproc4/lelang/4930097/peserta</t>
  </si>
  <si>
    <t>https://lpse.kalbarprov.go.id/eproc4/lelang/4930097/hasil</t>
  </si>
  <si>
    <t>https://lpse.kalbarprov.go.id/eproc4/lelang/4930097/pemenang</t>
  </si>
  <si>
    <t>https://lpse.kalbarprov.go.id/eproc4/lelang/4930097/pemenangberkontrak</t>
  </si>
  <si>
    <t>Rp. 19.421.000.000,00</t>
  </si>
  <si>
    <t>https://lpse.kalbarprov.go.id/eproc4/lelang/4929097/pengumumanlelang</t>
  </si>
  <si>
    <t>https://lpse.kalbarprov.go.id/eproc4/lelang/4929097/peserta</t>
  </si>
  <si>
    <t>https://lpse.kalbarprov.go.id/eproc4/lelang/4929097/hasil</t>
  </si>
  <si>
    <t>https://lpse.kalbarprov.go.id/eproc4/lelang/4929097/pemenang</t>
  </si>
  <si>
    <t>https://lpse.kalbarprov.go.id/eproc4/lelang/4929097/pemenangberkontrak</t>
  </si>
  <si>
    <t>Rp. 12.219.000.000,00</t>
  </si>
  <si>
    <t>54 peserta</t>
  </si>
  <si>
    <t>https://lpse.kalbarprov.go.id/eproc4/lelang/4924097/pengumumanlelang</t>
  </si>
  <si>
    <t>https://lpse.kalbarprov.go.id/eproc4/lelang/4924097/peserta</t>
  </si>
  <si>
    <t>https://lpse.kalbarprov.go.id/eproc4/lelang/4924097/hasil</t>
  </si>
  <si>
    <t>https://lpse.kalbarprov.go.id/eproc4/lelang/4924097/pemenang</t>
  </si>
  <si>
    <t>https://lpse.kalbarprov.go.id/eproc4/lelang/4924097/pemenangberkontrak</t>
  </si>
  <si>
    <t>Rp. 1.177.812.930,00</t>
  </si>
  <si>
    <t xml:space="preserve">BLUD 2019   </t>
  </si>
  <si>
    <t>https://lpse.kalbarprov.go.id/eproc4/lelang/4923097/pengumumanlelang</t>
  </si>
  <si>
    <t>https://lpse.kalbarprov.go.id/eproc4/lelang/4923097/peserta</t>
  </si>
  <si>
    <t>https://lpse.kalbarprov.go.id/eproc4/lelang/4923097/hasil</t>
  </si>
  <si>
    <t>https://lpse.kalbarprov.go.id/eproc4/lelang/4923097/pemenang</t>
  </si>
  <si>
    <t>https://lpse.kalbarprov.go.id/eproc4/lelang/4923097/pemenangberkontrak</t>
  </si>
  <si>
    <t>Rp. 11.218.000.000,00</t>
  </si>
  <si>
    <t>https://lpse.kalbarprov.go.id/eproc4/lelang/4922097/pengumumanlelang</t>
  </si>
  <si>
    <t>https://lpse.kalbarprov.go.id/eproc4/lelang/4922097/peserta</t>
  </si>
  <si>
    <t>https://lpse.kalbarprov.go.id/eproc4/lelang/4922097/hasil</t>
  </si>
  <si>
    <t>https://lpse.kalbarprov.go.id/eproc4/lelang/4922097/pemenang</t>
  </si>
  <si>
    <t>https://lpse.kalbarprov.go.id/eproc4/lelang/4922097/pemenangberkontrak</t>
  </si>
  <si>
    <t>Rp. 11.707.000.000,00</t>
  </si>
  <si>
    <t>https://lpse.kalbarprov.go.id/eproc4/lelang/4921097/pengumumanlelang</t>
  </si>
  <si>
    <t>https://lpse.kalbarprov.go.id/eproc4/lelang/4921097/peserta</t>
  </si>
  <si>
    <t>https://lpse.kalbarprov.go.id/eproc4/lelang/4921097/hasil</t>
  </si>
  <si>
    <t>https://lpse.kalbarprov.go.id/eproc4/lelang/4921097/pemenang</t>
  </si>
  <si>
    <t>https://lpse.kalbarprov.go.id/eproc4/lelang/4921097/pemenangberkontrak</t>
  </si>
  <si>
    <t>Rp. 14.279.000.000,00</t>
  </si>
  <si>
    <t>https://lpse.kalbarprov.go.id/eproc4/lelang/4919097/pengumumanlelang</t>
  </si>
  <si>
    <t>https://lpse.kalbarprov.go.id/eproc4/lelang/4919097/peserta</t>
  </si>
  <si>
    <t>https://lpse.kalbarprov.go.id/eproc4/lelang/4919097/hasil</t>
  </si>
  <si>
    <t>https://lpse.kalbarprov.go.id/eproc4/lelang/4919097/pemenang</t>
  </si>
  <si>
    <t>https://lpse.kalbarprov.go.id/eproc4/lelang/4919097/pemenangberkontrak</t>
  </si>
  <si>
    <t>Rp. 1.275.000.000,00</t>
  </si>
  <si>
    <t>https://lpse.kalbarprov.go.id/eproc4/lelang/4915097/pengumumanlelang</t>
  </si>
  <si>
    <t>https://lpse.kalbarprov.go.id/eproc4/lelang/4915097/peserta</t>
  </si>
  <si>
    <t>https://lpse.kalbarprov.go.id/eproc4/lelang/4915097/hasil</t>
  </si>
  <si>
    <t>https://lpse.kalbarprov.go.id/eproc4/lelang/4915097/pemenang</t>
  </si>
  <si>
    <t>https://lpse.kalbarprov.go.id/eproc4/lelang/4915097/pemenangberkontrak</t>
  </si>
  <si>
    <t>https://lpse.kalbarprov.go.id/eproc4/lelang/4914097/pengumumanlelang</t>
  </si>
  <si>
    <t>https://lpse.kalbarprov.go.id/eproc4/lelang/4914097/peserta</t>
  </si>
  <si>
    <t>https://lpse.kalbarprov.go.id/eproc4/lelang/4914097/hasil</t>
  </si>
  <si>
    <t>https://lpse.kalbarprov.go.id/eproc4/lelang/4914097/pemenang</t>
  </si>
  <si>
    <t>https://lpse.kalbarprov.go.id/eproc4/lelang/4914097/pemenangberkontrak</t>
  </si>
  <si>
    <t>https://lpse.kalbarprov.go.id/eproc4/lelang/4913097/pengumumanlelang</t>
  </si>
  <si>
    <t>https://lpse.kalbarprov.go.id/eproc4/lelang/4913097/peserta</t>
  </si>
  <si>
    <t>https://lpse.kalbarprov.go.id/eproc4/lelang/4913097/hasil</t>
  </si>
  <si>
    <t>https://lpse.kalbarprov.go.id/eproc4/lelang/4913097/pemenang</t>
  </si>
  <si>
    <t>https://lpse.kalbarprov.go.id/eproc4/lelang/4913097/pemenangberkontrak</t>
  </si>
  <si>
    <t>https://lpse.kalbarprov.go.id/eproc4/lelang/4912097/pengumumanlelang</t>
  </si>
  <si>
    <t>https://lpse.kalbarprov.go.id/eproc4/lelang/4912097/peserta</t>
  </si>
  <si>
    <t>https://lpse.kalbarprov.go.id/eproc4/lelang/4912097/hasil</t>
  </si>
  <si>
    <t>https://lpse.kalbarprov.go.id/eproc4/lelang/4912097/pemenang</t>
  </si>
  <si>
    <t>https://lpse.kalbarprov.go.id/eproc4/lelang/4912097/pemenangberkontrak</t>
  </si>
  <si>
    <t>https://lpse.kalbarprov.go.id/eproc4/lelang/4910097/pengumumanlelang</t>
  </si>
  <si>
    <t>https://lpse.kalbarprov.go.id/eproc4/lelang/4910097/peserta</t>
  </si>
  <si>
    <t>https://lpse.kalbarprov.go.id/eproc4/lelang/4910097/hasil</t>
  </si>
  <si>
    <t>https://lpse.kalbarprov.go.id/eproc4/lelang/4910097/pemenang</t>
  </si>
  <si>
    <t>https://lpse.kalbarprov.go.id/eproc4/lelang/4910097/pemenangberkontrak</t>
  </si>
  <si>
    <t>https://lpse.kalbarprov.go.id/eproc4/lelang/4909097/pengumumanlelang</t>
  </si>
  <si>
    <t>https://lpse.kalbarprov.go.id/eproc4/lelang/4909097/peserta</t>
  </si>
  <si>
    <t>https://lpse.kalbarprov.go.id/eproc4/lelang/4909097/hasil</t>
  </si>
  <si>
    <t>https://lpse.kalbarprov.go.id/eproc4/lelang/4909097/pemenang</t>
  </si>
  <si>
    <t>https://lpse.kalbarprov.go.id/eproc4/lelang/4909097/pemenangberkontrak</t>
  </si>
  <si>
    <t>https://lpse.kalbarprov.go.id/eproc4/lelang/4903097/pengumumanlelang</t>
  </si>
  <si>
    <t>https://lpse.kalbarprov.go.id/eproc4/lelang/4903097/peserta</t>
  </si>
  <si>
    <t>https://lpse.kalbarprov.go.id/eproc4/lelang/4903097/hasil</t>
  </si>
  <si>
    <t>https://lpse.kalbarprov.go.id/eproc4/lelang/4903097/pemenang</t>
  </si>
  <si>
    <t>https://lpse.kalbarprov.go.id/eproc4/lelang/4903097/pemenangberkontrak</t>
  </si>
  <si>
    <t>https://lpse.kalbarprov.go.id/eproc4/lelang/4901097/pengumumanlelang</t>
  </si>
  <si>
    <t>https://lpse.kalbarprov.go.id/eproc4/lelang/4901097/peserta</t>
  </si>
  <si>
    <t>https://lpse.kalbarprov.go.id/eproc4/lelang/4901097/hasil</t>
  </si>
  <si>
    <t>https://lpse.kalbarprov.go.id/eproc4/lelang/4901097/pemenang</t>
  </si>
  <si>
    <t>https://lpse.kalbarprov.go.id/eproc4/lelang/4901097/pemenangberkontrak</t>
  </si>
  <si>
    <t>https://lpse.kalbarprov.go.id/eproc4/lelang/4900097/pengumumanlelang</t>
  </si>
  <si>
    <t>https://lpse.kalbarprov.go.id/eproc4/lelang/4900097/peserta</t>
  </si>
  <si>
    <t>https://lpse.kalbarprov.go.id/eproc4/lelang/4900097/hasil</t>
  </si>
  <si>
    <t>https://lpse.kalbarprov.go.id/eproc4/lelang/4900097/pemenang</t>
  </si>
  <si>
    <t>https://lpse.kalbarprov.go.id/eproc4/lelang/4900097/pemenangberkontrak</t>
  </si>
  <si>
    <t>https://lpse.kalbarprov.go.id/eproc4/lelang/4898097/pengumumanlelang</t>
  </si>
  <si>
    <t>https://lpse.kalbarprov.go.id/eproc4/lelang/4898097/peserta</t>
  </si>
  <si>
    <t>https://lpse.kalbarprov.go.id/eproc4/lelang/4898097/hasil</t>
  </si>
  <si>
    <t>https://lpse.kalbarprov.go.id/eproc4/lelang/4898097/pemenang</t>
  </si>
  <si>
    <t>https://lpse.kalbarprov.go.id/eproc4/lelang/4898097/pemenangberkontrak</t>
  </si>
  <si>
    <t>https://lpse.kalbarprov.go.id/eproc4/lelang/4897097/pengumumanlelang</t>
  </si>
  <si>
    <t>https://lpse.kalbarprov.go.id/eproc4/lelang/4897097/peserta</t>
  </si>
  <si>
    <t>https://lpse.kalbarprov.go.id/eproc4/lelang/4897097/hasil</t>
  </si>
  <si>
    <t>https://lpse.kalbarprov.go.id/eproc4/lelang/4897097/pemenang</t>
  </si>
  <si>
    <t>https://lpse.kalbarprov.go.id/eproc4/lelang/4897097/pemenangberkontrak</t>
  </si>
  <si>
    <t>Rp. 315.000.000,00</t>
  </si>
  <si>
    <t>https://lpse.kalbarprov.go.id/eproc4/lelang/4895097/pengumumanlelang</t>
  </si>
  <si>
    <t>https://lpse.kalbarprov.go.id/eproc4/lelang/4895097/peserta</t>
  </si>
  <si>
    <t>https://lpse.kalbarprov.go.id/eproc4/lelang/4895097/hasil</t>
  </si>
  <si>
    <t>https://lpse.kalbarprov.go.id/eproc4/lelang/4895097/pemenang</t>
  </si>
  <si>
    <t>https://lpse.kalbarprov.go.id/eproc4/lelang/4895097/pemenangberkontrak</t>
  </si>
  <si>
    <t>Rp. 6.150.000.000,00</t>
  </si>
  <si>
    <t>https://lpse.kalbarprov.go.id/eproc4/lelang/4892097/pengumumanlelang</t>
  </si>
  <si>
    <t>https://lpse.kalbarprov.go.id/eproc4/lelang/4892097/peserta</t>
  </si>
  <si>
    <t>https://lpse.kalbarprov.go.id/eproc4/lelang/4892097/hasil</t>
  </si>
  <si>
    <t>https://lpse.kalbarprov.go.id/eproc4/lelang/4892097/pemenang</t>
  </si>
  <si>
    <t>https://lpse.kalbarprov.go.id/eproc4/lelang/4892097/pemenangberkontrak</t>
  </si>
  <si>
    <t>https://lpse.kalbarprov.go.id/eproc4/lelang/4890097/pengumumanlelang</t>
  </si>
  <si>
    <t>https://lpse.kalbarprov.go.id/eproc4/lelang/4890097/peserta</t>
  </si>
  <si>
    <t>https://lpse.kalbarprov.go.id/eproc4/lelang/4890097/hasil</t>
  </si>
  <si>
    <t>https://lpse.kalbarprov.go.id/eproc4/lelang/4890097/pemenang</t>
  </si>
  <si>
    <t>https://lpse.kalbarprov.go.id/eproc4/lelang/4890097/pemenangberkontrak</t>
  </si>
  <si>
    <t>Rp. 175.000.000,00</t>
  </si>
  <si>
    <t>https://lpse.kalbarprov.go.id/eproc4/lelang/4889097/pengumumanlelang</t>
  </si>
  <si>
    <t>https://lpse.kalbarprov.go.id/eproc4/lelang/4889097/peserta</t>
  </si>
  <si>
    <t>https://lpse.kalbarprov.go.id/eproc4/lelang/4889097/hasil</t>
  </si>
  <si>
    <t>https://lpse.kalbarprov.go.id/eproc4/lelang/4889097/pemenang</t>
  </si>
  <si>
    <t>https://lpse.kalbarprov.go.id/eproc4/lelang/4889097/pemenangberkontrak</t>
  </si>
  <si>
    <t>https://lpse.kalbarprov.go.id/eproc4/lelang/4888097/pengumumanlelang</t>
  </si>
  <si>
    <t>https://lpse.kalbarprov.go.id/eproc4/lelang/4888097/peserta</t>
  </si>
  <si>
    <t>https://lpse.kalbarprov.go.id/eproc4/lelang/4888097/hasil</t>
  </si>
  <si>
    <t>https://lpse.kalbarprov.go.id/eproc4/lelang/4888097/pemenang</t>
  </si>
  <si>
    <t>https://lpse.kalbarprov.go.id/eproc4/lelang/4888097/pemenangberkontrak</t>
  </si>
  <si>
    <t>https://lpse.kalbarprov.go.id/eproc4/lelang/4887097/pengumumanlelang</t>
  </si>
  <si>
    <t>https://lpse.kalbarprov.go.id/eproc4/lelang/4887097/peserta</t>
  </si>
  <si>
    <t>https://lpse.kalbarprov.go.id/eproc4/lelang/4887097/hasil</t>
  </si>
  <si>
    <t>https://lpse.kalbarprov.go.id/eproc4/lelang/4887097/pemenang</t>
  </si>
  <si>
    <t>https://lpse.kalbarprov.go.id/eproc4/lelang/4887097/pemenangberkontrak</t>
  </si>
  <si>
    <t>Rp. 1.430.000.000,00</t>
  </si>
  <si>
    <t>https://lpse.kalbarprov.go.id/eproc4/lelang/4886097/pengumumanlelang</t>
  </si>
  <si>
    <t>https://lpse.kalbarprov.go.id/eproc4/lelang/4886097/peserta</t>
  </si>
  <si>
    <t>https://lpse.kalbarprov.go.id/eproc4/lelang/4886097/hasil</t>
  </si>
  <si>
    <t>https://lpse.kalbarprov.go.id/eproc4/lelang/4886097/pemenang</t>
  </si>
  <si>
    <t>https://lpse.kalbarprov.go.id/eproc4/lelang/4886097/pemenangberkontrak</t>
  </si>
  <si>
    <t>https://lpse.kalbarprov.go.id/eproc4/lelang/4885097/pengumumanlelang</t>
  </si>
  <si>
    <t>https://lpse.kalbarprov.go.id/eproc4/lelang/4885097/peserta</t>
  </si>
  <si>
    <t>https://lpse.kalbarprov.go.id/eproc4/lelang/4885097/hasil</t>
  </si>
  <si>
    <t>https://lpse.kalbarprov.go.id/eproc4/lelang/4885097/pemenang</t>
  </si>
  <si>
    <t>https://lpse.kalbarprov.go.id/eproc4/lelang/4885097/pemenangberkontrak</t>
  </si>
  <si>
    <t>https://lpse.kalbarprov.go.id/eproc4/lelang/4884097/pengumumanlelang</t>
  </si>
  <si>
    <t>https://lpse.kalbarprov.go.id/eproc4/lelang/4884097/peserta</t>
  </si>
  <si>
    <t>https://lpse.kalbarprov.go.id/eproc4/lelang/4884097/hasil</t>
  </si>
  <si>
    <t>https://lpse.kalbarprov.go.id/eproc4/lelang/4884097/pemenang</t>
  </si>
  <si>
    <t>https://lpse.kalbarprov.go.id/eproc4/lelang/4884097/pemenangberkontrak</t>
  </si>
  <si>
    <t>https://lpse.kalbarprov.go.id/eproc4/lelang/4883097/pengumumanlelang</t>
  </si>
  <si>
    <t>https://lpse.kalbarprov.go.id/eproc4/lelang/4883097/peserta</t>
  </si>
  <si>
    <t>https://lpse.kalbarprov.go.id/eproc4/lelang/4883097/hasil</t>
  </si>
  <si>
    <t>https://lpse.kalbarprov.go.id/eproc4/lelang/4883097/pemenang</t>
  </si>
  <si>
    <t>https://lpse.kalbarprov.go.id/eproc4/lelang/4883097/pemenangberkontrak</t>
  </si>
  <si>
    <t>Rp. 511.400.000,00</t>
  </si>
  <si>
    <t>https://lpse.kalbarprov.go.id/eproc4/lelang/4882097/pengumumanlelang</t>
  </si>
  <si>
    <t>https://lpse.kalbarprov.go.id/eproc4/lelang/4882097/peserta</t>
  </si>
  <si>
    <t>https://lpse.kalbarprov.go.id/eproc4/lelang/4882097/hasil</t>
  </si>
  <si>
    <t>https://lpse.kalbarprov.go.id/eproc4/lelang/4882097/pemenang</t>
  </si>
  <si>
    <t>https://lpse.kalbarprov.go.id/eproc4/lelang/4882097/pemenangberkontrak</t>
  </si>
  <si>
    <t>https://lpse.kalbarprov.go.id/eproc4/lelang/4881097/pengumumanlelang</t>
  </si>
  <si>
    <t>https://lpse.kalbarprov.go.id/eproc4/lelang/4881097/peserta</t>
  </si>
  <si>
    <t>https://lpse.kalbarprov.go.id/eproc4/lelang/4881097/hasil</t>
  </si>
  <si>
    <t>https://lpse.kalbarprov.go.id/eproc4/lelang/4881097/pemenang</t>
  </si>
  <si>
    <t>https://lpse.kalbarprov.go.id/eproc4/lelang/4881097/pemenangberkontrak</t>
  </si>
  <si>
    <t>https://lpse.kalbarprov.go.id/eproc4/lelang/4879097/pengumumanlelang</t>
  </si>
  <si>
    <t>https://lpse.kalbarprov.go.id/eproc4/lelang/4879097/peserta</t>
  </si>
  <si>
    <t>https://lpse.kalbarprov.go.id/eproc4/lelang/4879097/hasil</t>
  </si>
  <si>
    <t>https://lpse.kalbarprov.go.id/eproc4/lelang/4879097/pemenang</t>
  </si>
  <si>
    <t>https://lpse.kalbarprov.go.id/eproc4/lelang/4879097/pemenangberkontrak</t>
  </si>
  <si>
    <t>Rp. 401.625.000,00</t>
  </si>
  <si>
    <t>https://lpse.kalbarprov.go.id/eproc4/lelang/4875097/pengumumanlelang</t>
  </si>
  <si>
    <t>https://lpse.kalbarprov.go.id/eproc4/lelang/4875097/peserta</t>
  </si>
  <si>
    <t>https://lpse.kalbarprov.go.id/eproc4/lelang/4875097/hasil</t>
  </si>
  <si>
    <t>https://lpse.kalbarprov.go.id/eproc4/lelang/4875097/pemenang</t>
  </si>
  <si>
    <t>https://lpse.kalbarprov.go.id/eproc4/lelang/4875097/pemenangberkontrak</t>
  </si>
  <si>
    <t>https://lpse.kalbarprov.go.id/eproc4/lelang/4874097/pengumumanlelang</t>
  </si>
  <si>
    <t>https://lpse.kalbarprov.go.id/eproc4/lelang/4874097/peserta</t>
  </si>
  <si>
    <t>https://lpse.kalbarprov.go.id/eproc4/lelang/4874097/hasil</t>
  </si>
  <si>
    <t>https://lpse.kalbarprov.go.id/eproc4/lelang/4874097/pemenang</t>
  </si>
  <si>
    <t>https://lpse.kalbarprov.go.id/eproc4/lelang/4874097/pemenangberkontrak</t>
  </si>
  <si>
    <t>https://lpse.kalbarprov.go.id/eproc4/lelang/4872097/pengumumanlelang</t>
  </si>
  <si>
    <t>https://lpse.kalbarprov.go.id/eproc4/lelang/4872097/peserta</t>
  </si>
  <si>
    <t>https://lpse.kalbarprov.go.id/eproc4/lelang/4872097/hasil</t>
  </si>
  <si>
    <t>https://lpse.kalbarprov.go.id/eproc4/lelang/4872097/pemenang</t>
  </si>
  <si>
    <t>https://lpse.kalbarprov.go.id/eproc4/lelang/4872097/pemenangberkontrak</t>
  </si>
  <si>
    <t>Rp. 705.300.000,00</t>
  </si>
  <si>
    <t>https://lpse.kalbarprov.go.id/eproc4/lelang/4870097/pengumumanlelang</t>
  </si>
  <si>
    <t>https://lpse.kalbarprov.go.id/eproc4/lelang/4870097/peserta</t>
  </si>
  <si>
    <t>https://lpse.kalbarprov.go.id/eproc4/lelang/4870097/hasil</t>
  </si>
  <si>
    <t>https://lpse.kalbarprov.go.id/eproc4/lelang/4870097/pemenang</t>
  </si>
  <si>
    <t>https://lpse.kalbarprov.go.id/eproc4/lelang/4870097/pemenangberkontrak</t>
  </si>
  <si>
    <t>https://lpse.kalbarprov.go.id/eproc4/lelang/4868097/pengumumanlelang</t>
  </si>
  <si>
    <t>https://lpse.kalbarprov.go.id/eproc4/lelang/4868097/peserta</t>
  </si>
  <si>
    <t>https://lpse.kalbarprov.go.id/eproc4/lelang/4868097/hasil</t>
  </si>
  <si>
    <t>https://lpse.kalbarprov.go.id/eproc4/lelang/4868097/pemenang</t>
  </si>
  <si>
    <t>https://lpse.kalbarprov.go.id/eproc4/lelang/4868097/pemenangberkontrak</t>
  </si>
  <si>
    <t>Rp. 517.500.000,00</t>
  </si>
  <si>
    <t>https://lpse.kalbarprov.go.id/eproc4/lelang/4866097/pengumumanlelang</t>
  </si>
  <si>
    <t>https://lpse.kalbarprov.go.id/eproc4/lelang/4866097/peserta</t>
  </si>
  <si>
    <t>https://lpse.kalbarprov.go.id/eproc4/lelang/4866097/hasil</t>
  </si>
  <si>
    <t>https://lpse.kalbarprov.go.id/eproc4/lelang/4866097/pemenang</t>
  </si>
  <si>
    <t>https://lpse.kalbarprov.go.id/eproc4/lelang/4866097/pemenangberkontrak</t>
  </si>
  <si>
    <t>https://lpse.kalbarprov.go.id/eproc4/lelang/4864097/pengumumanlelang</t>
  </si>
  <si>
    <t>https://lpse.kalbarprov.go.id/eproc4/lelang/4864097/peserta</t>
  </si>
  <si>
    <t>https://lpse.kalbarprov.go.id/eproc4/lelang/4864097/hasil</t>
  </si>
  <si>
    <t>https://lpse.kalbarprov.go.id/eproc4/lelang/4864097/pemenang</t>
  </si>
  <si>
    <t>https://lpse.kalbarprov.go.id/eproc4/lelang/4864097/pemenangberkontrak</t>
  </si>
  <si>
    <t>Rp. 500.500.000,00</t>
  </si>
  <si>
    <t>https://lpse.kalbarprov.go.id/eproc4/lelang/4862097/pengumumanlelang</t>
  </si>
  <si>
    <t>https://lpse.kalbarprov.go.id/eproc4/lelang/4862097/peserta</t>
  </si>
  <si>
    <t>https://lpse.kalbarprov.go.id/eproc4/lelang/4862097/hasil</t>
  </si>
  <si>
    <t>https://lpse.kalbarprov.go.id/eproc4/lelang/4862097/pemenang</t>
  </si>
  <si>
    <t>https://lpse.kalbarprov.go.id/eproc4/lelang/4862097/pemenangberkontrak</t>
  </si>
  <si>
    <t>Rp. 522.900.000,00</t>
  </si>
  <si>
    <t>https://lpse.kalbarprov.go.id/eproc4/lelang/4860097/pengumumanlelang</t>
  </si>
  <si>
    <t>https://lpse.kalbarprov.go.id/eproc4/lelang/4860097/peserta</t>
  </si>
  <si>
    <t>https://lpse.kalbarprov.go.id/eproc4/lelang/4860097/hasil</t>
  </si>
  <si>
    <t>https://lpse.kalbarprov.go.id/eproc4/lelang/4860097/pemenang</t>
  </si>
  <si>
    <t>https://lpse.kalbarprov.go.id/eproc4/lelang/4860097/pemenangberkontrak</t>
  </si>
  <si>
    <t>Rp. 514.250.000,00</t>
  </si>
  <si>
    <t>https://lpse.kalbarprov.go.id/eproc4/lelang/4858097/pengumumanlelang</t>
  </si>
  <si>
    <t>https://lpse.kalbarprov.go.id/eproc4/lelang/4858097/peserta</t>
  </si>
  <si>
    <t>https://lpse.kalbarprov.go.id/eproc4/lelang/4858097/hasil</t>
  </si>
  <si>
    <t>https://lpse.kalbarprov.go.id/eproc4/lelang/4858097/pemenang</t>
  </si>
  <si>
    <t>https://lpse.kalbarprov.go.id/eproc4/lelang/4858097/pemenangberkontrak</t>
  </si>
  <si>
    <t>Rp. 521.900.000,00</t>
  </si>
  <si>
    <t>https://lpse.kalbarprov.go.id/eproc4/lelang/4856097/pengumumanlelang</t>
  </si>
  <si>
    <t>https://lpse.kalbarprov.go.id/eproc4/lelang/4856097/peserta</t>
  </si>
  <si>
    <t>https://lpse.kalbarprov.go.id/eproc4/lelang/4856097/hasil</t>
  </si>
  <si>
    <t>https://lpse.kalbarprov.go.id/eproc4/lelang/4856097/pemenang</t>
  </si>
  <si>
    <t>https://lpse.kalbarprov.go.id/eproc4/lelang/4856097/pemenangberkontrak</t>
  </si>
  <si>
    <t>Rp. 472.400.000,00</t>
  </si>
  <si>
    <t>https://lpse.kalbarprov.go.id/eproc4/lelang/4854097/pengumumanlelang</t>
  </si>
  <si>
    <t>https://lpse.kalbarprov.go.id/eproc4/lelang/4854097/peserta</t>
  </si>
  <si>
    <t>https://lpse.kalbarprov.go.id/eproc4/lelang/4854097/hasil</t>
  </si>
  <si>
    <t>https://lpse.kalbarprov.go.id/eproc4/lelang/4854097/pemenang</t>
  </si>
  <si>
    <t>https://lpse.kalbarprov.go.id/eproc4/lelang/4854097/pemenangberkontrak</t>
  </si>
  <si>
    <t>Rp. 510.200.000,00</t>
  </si>
  <si>
    <t>https://lpse.kalbarprov.go.id/eproc4/lelang/4852097/pengumumanlelang</t>
  </si>
  <si>
    <t>https://lpse.kalbarprov.go.id/eproc4/lelang/4852097/peserta</t>
  </si>
  <si>
    <t>https://lpse.kalbarprov.go.id/eproc4/lelang/4852097/hasil</t>
  </si>
  <si>
    <t>https://lpse.kalbarprov.go.id/eproc4/lelang/4852097/pemenang</t>
  </si>
  <si>
    <t>https://lpse.kalbarprov.go.id/eproc4/lelang/4852097/pemenangberkontrak</t>
  </si>
  <si>
    <t>https://lpse.kalbarprov.go.id/eproc4/lelang/4850097/pengumumanlelang</t>
  </si>
  <si>
    <t>https://lpse.kalbarprov.go.id/eproc4/lelang/4850097/peserta</t>
  </si>
  <si>
    <t>https://lpse.kalbarprov.go.id/eproc4/lelang/4850097/hasil</t>
  </si>
  <si>
    <t>https://lpse.kalbarprov.go.id/eproc4/lelang/4850097/pemenang</t>
  </si>
  <si>
    <t>https://lpse.kalbarprov.go.id/eproc4/lelang/4850097/pemenangberkontrak</t>
  </si>
  <si>
    <t>Rp. 507.800.000,00</t>
  </si>
  <si>
    <t>https://lpse.kalbarprov.go.id/eproc4/lelang/4848097/pengumumanlelang</t>
  </si>
  <si>
    <t>https://lpse.kalbarprov.go.id/eproc4/lelang/4848097/peserta</t>
  </si>
  <si>
    <t>https://lpse.kalbarprov.go.id/eproc4/lelang/4848097/hasil</t>
  </si>
  <si>
    <t>https://lpse.kalbarprov.go.id/eproc4/lelang/4848097/pemenang</t>
  </si>
  <si>
    <t>https://lpse.kalbarprov.go.id/eproc4/lelang/4848097/pemenangberkontrak</t>
  </si>
  <si>
    <t>Rp. 506.300.000,00</t>
  </si>
  <si>
    <t>https://lpse.kalbarprov.go.id/eproc4/lelang/4846097/pengumumanlelang</t>
  </si>
  <si>
    <t>https://lpse.kalbarprov.go.id/eproc4/lelang/4846097/peserta</t>
  </si>
  <si>
    <t>https://lpse.kalbarprov.go.id/eproc4/lelang/4846097/hasil</t>
  </si>
  <si>
    <t>https://lpse.kalbarprov.go.id/eproc4/lelang/4846097/pemenang</t>
  </si>
  <si>
    <t>https://lpse.kalbarprov.go.id/eproc4/lelang/4846097/pemenangberkontrak</t>
  </si>
  <si>
    <t>Rp. 513.900.000,00</t>
  </si>
  <si>
    <t>https://lpse.kalbarprov.go.id/eproc4/lelang/4844097/pengumumanlelang</t>
  </si>
  <si>
    <t>https://lpse.kalbarprov.go.id/eproc4/lelang/4844097/peserta</t>
  </si>
  <si>
    <t>https://lpse.kalbarprov.go.id/eproc4/lelang/4844097/hasil</t>
  </si>
  <si>
    <t>https://lpse.kalbarprov.go.id/eproc4/lelang/4844097/pemenang</t>
  </si>
  <si>
    <t>https://lpse.kalbarprov.go.id/eproc4/lelang/4844097/pemenangberkontrak</t>
  </si>
  <si>
    <t>Rp. 513.800.000,00</t>
  </si>
  <si>
    <t>https://lpse.kalbarprov.go.id/eproc4/lelang/4842097/pengumumanlelang</t>
  </si>
  <si>
    <t>https://lpse.kalbarprov.go.id/eproc4/lelang/4842097/peserta</t>
  </si>
  <si>
    <t>https://lpse.kalbarprov.go.id/eproc4/lelang/4842097/hasil</t>
  </si>
  <si>
    <t>https://lpse.kalbarprov.go.id/eproc4/lelang/4842097/pemenang</t>
  </si>
  <si>
    <t>https://lpse.kalbarprov.go.id/eproc4/lelang/4842097/pemenangberkontrak</t>
  </si>
  <si>
    <t>Rp. 517.700.000,00</t>
  </si>
  <si>
    <t>https://lpse.kalbarprov.go.id/eproc4/lelang/4840097/pengumumanlelang</t>
  </si>
  <si>
    <t>https://lpse.kalbarprov.go.id/eproc4/lelang/4840097/peserta</t>
  </si>
  <si>
    <t>https://lpse.kalbarprov.go.id/eproc4/lelang/4840097/hasil</t>
  </si>
  <si>
    <t>https://lpse.kalbarprov.go.id/eproc4/lelang/4840097/pemenang</t>
  </si>
  <si>
    <t>https://lpse.kalbarprov.go.id/eproc4/lelang/4840097/pemenangberkontrak</t>
  </si>
  <si>
    <t>Rp. 507.700.000,00</t>
  </si>
  <si>
    <t>https://lpse.kalbarprov.go.id/eproc4/lelang/4838097/pengumumanlelang</t>
  </si>
  <si>
    <t>https://lpse.kalbarprov.go.id/eproc4/lelang/4838097/peserta</t>
  </si>
  <si>
    <t>https://lpse.kalbarprov.go.id/eproc4/lelang/4838097/hasil</t>
  </si>
  <si>
    <t>https://lpse.kalbarprov.go.id/eproc4/lelang/4838097/pemenang</t>
  </si>
  <si>
    <t>https://lpse.kalbarprov.go.id/eproc4/lelang/4838097/pemenangberkontrak</t>
  </si>
  <si>
    <t>Rp. 608.872.000,00</t>
  </si>
  <si>
    <t>https://lpse.kalbarprov.go.id/eproc4/lelang/4836097/pengumumanlelang</t>
  </si>
  <si>
    <t>https://lpse.kalbarprov.go.id/eproc4/lelang/4836097/peserta</t>
  </si>
  <si>
    <t>https://lpse.kalbarprov.go.id/eproc4/lelang/4836097/hasil</t>
  </si>
  <si>
    <t>https://lpse.kalbarprov.go.id/eproc4/lelang/4836097/pemenang</t>
  </si>
  <si>
    <t>https://lpse.kalbarprov.go.id/eproc4/lelang/4836097/pemenangberkontrak</t>
  </si>
  <si>
    <t>https://lpse.kalbarprov.go.id/eproc4/lelang/4835097/pengumumanlelang</t>
  </si>
  <si>
    <t>https://lpse.kalbarprov.go.id/eproc4/lelang/4835097/peserta</t>
  </si>
  <si>
    <t>https://lpse.kalbarprov.go.id/eproc4/lelang/4835097/hasil</t>
  </si>
  <si>
    <t>https://lpse.kalbarprov.go.id/eproc4/lelang/4835097/pemenang</t>
  </si>
  <si>
    <t>https://lpse.kalbarprov.go.id/eproc4/lelang/4835097/pemenangberkontrak</t>
  </si>
  <si>
    <t>Rp. 226.037.500,00</t>
  </si>
  <si>
    <t>https://lpse.kalbarprov.go.id/eproc4/lelang/4826097/pengumumanlelang</t>
  </si>
  <si>
    <t>https://lpse.kalbarprov.go.id/eproc4/lelang/4826097/peserta</t>
  </si>
  <si>
    <t>https://lpse.kalbarprov.go.id/eproc4/lelang/4826097/hasil</t>
  </si>
  <si>
    <t>https://lpse.kalbarprov.go.id/eproc4/lelang/4826097/pemenang</t>
  </si>
  <si>
    <t>https://lpse.kalbarprov.go.id/eproc4/lelang/4826097/pemenangberkontrak</t>
  </si>
  <si>
    <t>Rp. 515.570.000,00</t>
  </si>
  <si>
    <t>https://lpse.kalbarprov.go.id/eproc4/lelang/4822097/pengumumanlelang</t>
  </si>
  <si>
    <t>https://lpse.kalbarprov.go.id/eproc4/lelang/4822097/peserta</t>
  </si>
  <si>
    <t>https://lpse.kalbarprov.go.id/eproc4/lelang/4822097/hasil</t>
  </si>
  <si>
    <t>https://lpse.kalbarprov.go.id/eproc4/lelang/4822097/pemenang</t>
  </si>
  <si>
    <t>https://lpse.kalbarprov.go.id/eproc4/lelang/4822097/pemenangberkontrak</t>
  </si>
  <si>
    <t>https://lpse.kalbarprov.go.id/eproc4/lelang/4821097/pengumumanlelang</t>
  </si>
  <si>
    <t>https://lpse.kalbarprov.go.id/eproc4/lelang/4821097/peserta</t>
  </si>
  <si>
    <t>https://lpse.kalbarprov.go.id/eproc4/lelang/4821097/hasil</t>
  </si>
  <si>
    <t>https://lpse.kalbarprov.go.id/eproc4/lelang/4821097/pemenang</t>
  </si>
  <si>
    <t>https://lpse.kalbarprov.go.id/eproc4/lelang/4821097/pemenangberkontrak</t>
  </si>
  <si>
    <t>Rp. 516.000.000,00</t>
  </si>
  <si>
    <t>https://lpse.kalbarprov.go.id/eproc4/lelang/4816097/pengumumanlelang</t>
  </si>
  <si>
    <t>https://lpse.kalbarprov.go.id/eproc4/lelang/4816097/peserta</t>
  </si>
  <si>
    <t>https://lpse.kalbarprov.go.id/eproc4/lelang/4816097/hasil</t>
  </si>
  <si>
    <t>https://lpse.kalbarprov.go.id/eproc4/lelang/4816097/pemenang</t>
  </si>
  <si>
    <t>https://lpse.kalbarprov.go.id/eproc4/lelang/4816097/pemenangberkontrak</t>
  </si>
  <si>
    <t>Rp. 342.400.000,00</t>
  </si>
  <si>
    <t>https://lpse.kalbarprov.go.id/eproc4/lelang/4811097/pengumumanlelang</t>
  </si>
  <si>
    <t>https://lpse.kalbarprov.go.id/eproc4/lelang/4811097/peserta</t>
  </si>
  <si>
    <t>https://lpse.kalbarprov.go.id/eproc4/lelang/4811097/hasil</t>
  </si>
  <si>
    <t>https://lpse.kalbarprov.go.id/eproc4/lelang/4811097/pemenang</t>
  </si>
  <si>
    <t>https://lpse.kalbarprov.go.id/eproc4/lelang/4811097/pemenangberkontrak</t>
  </si>
  <si>
    <t>https://lpse.kalbarprov.go.id/eproc4/lelang/4807097/pengumumanlelang</t>
  </si>
  <si>
    <t>https://lpse.kalbarprov.go.id/eproc4/lelang/4807097/peserta</t>
  </si>
  <si>
    <t>https://lpse.kalbarprov.go.id/eproc4/lelang/4807097/hasil</t>
  </si>
  <si>
    <t>https://lpse.kalbarprov.go.id/eproc4/lelang/4807097/pemenang</t>
  </si>
  <si>
    <t>https://lpse.kalbarprov.go.id/eproc4/lelang/4807097/pemenangberkontrak</t>
  </si>
  <si>
    <t>Rp. 3.960.863.000,00</t>
  </si>
  <si>
    <t>78 peserta</t>
  </si>
  <si>
    <t>https://lpse.kalbarprov.go.id/eproc4/lelang/4806097/pengumumanlelang</t>
  </si>
  <si>
    <t>https://lpse.kalbarprov.go.id/eproc4/lelang/4806097/peserta</t>
  </si>
  <si>
    <t>https://lpse.kalbarprov.go.id/eproc4/lelang/4806097/hasil</t>
  </si>
  <si>
    <t>https://lpse.kalbarprov.go.id/eproc4/lelang/4806097/pemenang</t>
  </si>
  <si>
    <t>https://lpse.kalbarprov.go.id/eproc4/lelang/4806097/pemenangberkontrak</t>
  </si>
  <si>
    <t>Rp. 5.683.167.000,00</t>
  </si>
  <si>
    <t>64 peserta</t>
  </si>
  <si>
    <t xml:space="preserve">APBD 2019    APBD 2019    APBD 2019   </t>
  </si>
  <si>
    <t>https://lpse.kalbarprov.go.id/eproc4/lelang/4803097/pengumumanlelang</t>
  </si>
  <si>
    <t>https://lpse.kalbarprov.go.id/eproc4/lelang/4803097/peserta</t>
  </si>
  <si>
    <t>https://lpse.kalbarprov.go.id/eproc4/lelang/4803097/hasil</t>
  </si>
  <si>
    <t>https://lpse.kalbarprov.go.id/eproc4/lelang/4803097/pemenang</t>
  </si>
  <si>
    <t>https://lpse.kalbarprov.go.id/eproc4/lelang/4803097/pemenangberkontrak</t>
  </si>
  <si>
    <t>https://lpse.kalbarprov.go.id/eproc4/lelang/4801097/pengumumanlelang</t>
  </si>
  <si>
    <t>https://lpse.kalbarprov.go.id/eproc4/lelang/4801097/peserta</t>
  </si>
  <si>
    <t>https://lpse.kalbarprov.go.id/eproc4/lelang/4801097/hasil</t>
  </si>
  <si>
    <t>https://lpse.kalbarprov.go.id/eproc4/lelang/4801097/pemenang</t>
  </si>
  <si>
    <t>https://lpse.kalbarprov.go.id/eproc4/lelang/4801097/pemenangberkontrak</t>
  </si>
  <si>
    <t>https://lpse.kalbarprov.go.id/eproc4/lelang/4799097/pengumumanlelang</t>
  </si>
  <si>
    <t>https://lpse.kalbarprov.go.id/eproc4/lelang/4799097/peserta</t>
  </si>
  <si>
    <t>https://lpse.kalbarprov.go.id/eproc4/lelang/4799097/hasil</t>
  </si>
  <si>
    <t>https://lpse.kalbarprov.go.id/eproc4/lelang/4799097/pemenang</t>
  </si>
  <si>
    <t>https://lpse.kalbarprov.go.id/eproc4/lelang/4799097/pemenangberkontrak</t>
  </si>
  <si>
    <t>https://lpse.kalbarprov.go.id/eproc4/lelang/4797097/pengumumanlelang</t>
  </si>
  <si>
    <t>https://lpse.kalbarprov.go.id/eproc4/lelang/4797097/peserta</t>
  </si>
  <si>
    <t>https://lpse.kalbarprov.go.id/eproc4/lelang/4797097/hasil</t>
  </si>
  <si>
    <t>https://lpse.kalbarprov.go.id/eproc4/lelang/4797097/pemenang</t>
  </si>
  <si>
    <t>https://lpse.kalbarprov.go.id/eproc4/lelang/4797097/pemenangberkontrak</t>
  </si>
  <si>
    <t>https://lpse.kalbarprov.go.id/eproc4/lelang/4795097/pengumumanlelang</t>
  </si>
  <si>
    <t>https://lpse.kalbarprov.go.id/eproc4/lelang/4795097/peserta</t>
  </si>
  <si>
    <t>https://lpse.kalbarprov.go.id/eproc4/lelang/4795097/hasil</t>
  </si>
  <si>
    <t>https://lpse.kalbarprov.go.id/eproc4/lelang/4795097/pemenang</t>
  </si>
  <si>
    <t>https://lpse.kalbarprov.go.id/eproc4/lelang/4795097/pemenangberkontrak</t>
  </si>
  <si>
    <t>https://lpse.kalbarprov.go.id/eproc4/lelang/4794097/pengumumanlelang</t>
  </si>
  <si>
    <t>https://lpse.kalbarprov.go.id/eproc4/lelang/4794097/peserta</t>
  </si>
  <si>
    <t>https://lpse.kalbarprov.go.id/eproc4/lelang/4794097/hasil</t>
  </si>
  <si>
    <t>https://lpse.kalbarprov.go.id/eproc4/lelang/4794097/pemenang</t>
  </si>
  <si>
    <t>https://lpse.kalbarprov.go.id/eproc4/lelang/4794097/pemenangberkontrak</t>
  </si>
  <si>
    <t>Rp. 125.000.000,00</t>
  </si>
  <si>
    <t>https://lpse.kalbarprov.go.id/eproc4/lelang/4792097/pengumumanlelang</t>
  </si>
  <si>
    <t>https://lpse.kalbarprov.go.id/eproc4/lelang/4792097/peserta</t>
  </si>
  <si>
    <t>https://lpse.kalbarprov.go.id/eproc4/lelang/4792097/hasil</t>
  </si>
  <si>
    <t>https://lpse.kalbarprov.go.id/eproc4/lelang/4792097/pemenang</t>
  </si>
  <si>
    <t>https://lpse.kalbarprov.go.id/eproc4/lelang/4792097/pemenangberkontrak</t>
  </si>
  <si>
    <t>124 peserta</t>
  </si>
  <si>
    <t>https://lpse.kalbarprov.go.id/eproc4/lelang/4789097/pengumumanlelang</t>
  </si>
  <si>
    <t>https://lpse.kalbarprov.go.id/eproc4/lelang/4789097/peserta</t>
  </si>
  <si>
    <t>https://lpse.kalbarprov.go.id/eproc4/lelang/4789097/hasil</t>
  </si>
  <si>
    <t>https://lpse.kalbarprov.go.id/eproc4/lelang/4789097/pemenang</t>
  </si>
  <si>
    <t>https://lpse.kalbarprov.go.id/eproc4/lelang/4789097/pemenangberkontrak</t>
  </si>
  <si>
    <t>Rp. 835.000.000,00</t>
  </si>
  <si>
    <t>https://lpse.kalbarprov.go.id/eproc4/lelang/4787097/pengumumanlelang</t>
  </si>
  <si>
    <t>https://lpse.kalbarprov.go.id/eproc4/lelang/4787097/peserta</t>
  </si>
  <si>
    <t>https://lpse.kalbarprov.go.id/eproc4/lelang/4787097/hasil</t>
  </si>
  <si>
    <t>https://lpse.kalbarprov.go.id/eproc4/lelang/4787097/pemenang</t>
  </si>
  <si>
    <t>https://lpse.kalbarprov.go.id/eproc4/lelang/4787097/pemenangberkontrak</t>
  </si>
  <si>
    <t>https://lpse.kalbarprov.go.id/eproc4/lelang/4785097/pengumumanlelang</t>
  </si>
  <si>
    <t>https://lpse.kalbarprov.go.id/eproc4/lelang/4785097/peserta</t>
  </si>
  <si>
    <t>https://lpse.kalbarprov.go.id/eproc4/lelang/4785097/hasil</t>
  </si>
  <si>
    <t>https://lpse.kalbarprov.go.id/eproc4/lelang/4785097/pemenang</t>
  </si>
  <si>
    <t>https://lpse.kalbarprov.go.id/eproc4/lelang/4785097/pemenangberkontrak</t>
  </si>
  <si>
    <t>https://lpse.kalbarprov.go.id/eproc4/lelang/4784097/pengumumanlelang</t>
  </si>
  <si>
    <t>https://lpse.kalbarprov.go.id/eproc4/lelang/4784097/peserta</t>
  </si>
  <si>
    <t>https://lpse.kalbarprov.go.id/eproc4/lelang/4784097/hasil</t>
  </si>
  <si>
    <t>https://lpse.kalbarprov.go.id/eproc4/lelang/4784097/pemenang</t>
  </si>
  <si>
    <t>https://lpse.kalbarprov.go.id/eproc4/lelang/4784097/pemenangberkontrak</t>
  </si>
  <si>
    <t>Rp. 1.313.470.000,00</t>
  </si>
  <si>
    <t>https://lpse.kalbarprov.go.id/eproc4/lelang/4783097/pengumumanlelang</t>
  </si>
  <si>
    <t>https://lpse.kalbarprov.go.id/eproc4/lelang/4783097/peserta</t>
  </si>
  <si>
    <t>https://lpse.kalbarprov.go.id/eproc4/lelang/4783097/hasil</t>
  </si>
  <si>
    <t>https://lpse.kalbarprov.go.id/eproc4/lelang/4783097/pemenang</t>
  </si>
  <si>
    <t>https://lpse.kalbarprov.go.id/eproc4/lelang/4783097/pemenangberkontrak</t>
  </si>
  <si>
    <t>https://lpse.kalbarprov.go.id/eproc4/lelang/4782097/pengumumanlelang</t>
  </si>
  <si>
    <t>https://lpse.kalbarprov.go.id/eproc4/lelang/4782097/peserta</t>
  </si>
  <si>
    <t>https://lpse.kalbarprov.go.id/eproc4/lelang/4782097/hasil</t>
  </si>
  <si>
    <t>https://lpse.kalbarprov.go.id/eproc4/lelang/4782097/pemenang</t>
  </si>
  <si>
    <t>https://lpse.kalbarprov.go.id/eproc4/lelang/4782097/pemenangberkontrak</t>
  </si>
  <si>
    <t>https://lpse.kalbarprov.go.id/eproc4/lelang/4781097/pengumumanlelang</t>
  </si>
  <si>
    <t>https://lpse.kalbarprov.go.id/eproc4/lelang/4781097/peserta</t>
  </si>
  <si>
    <t>https://lpse.kalbarprov.go.id/eproc4/lelang/4781097/hasil</t>
  </si>
  <si>
    <t>https://lpse.kalbarprov.go.id/eproc4/lelang/4781097/pemenang</t>
  </si>
  <si>
    <t>https://lpse.kalbarprov.go.id/eproc4/lelang/4781097/pemenangberkontrak</t>
  </si>
  <si>
    <t>https://lpse.kalbarprov.go.id/eproc4/lelang/4780097/pengumumanlelang</t>
  </si>
  <si>
    <t>https://lpse.kalbarprov.go.id/eproc4/lelang/4780097/peserta</t>
  </si>
  <si>
    <t>https://lpse.kalbarprov.go.id/eproc4/lelang/4780097/hasil</t>
  </si>
  <si>
    <t>https://lpse.kalbarprov.go.id/eproc4/lelang/4780097/pemenang</t>
  </si>
  <si>
    <t>https://lpse.kalbarprov.go.id/eproc4/lelang/4780097/pemenangberkontrak</t>
  </si>
  <si>
    <t>https://lpse.kalbarprov.go.id/eproc4/lelang/4779097/pengumumanlelang</t>
  </si>
  <si>
    <t>https://lpse.kalbarprov.go.id/eproc4/lelang/4779097/peserta</t>
  </si>
  <si>
    <t>https://lpse.kalbarprov.go.id/eproc4/lelang/4779097/hasil</t>
  </si>
  <si>
    <t>https://lpse.kalbarprov.go.id/eproc4/lelang/4779097/pemenang</t>
  </si>
  <si>
    <t>https://lpse.kalbarprov.go.id/eproc4/lelang/4779097/pemenangberkontrak</t>
  </si>
  <si>
    <t>https://lpse.kalbarprov.go.id/eproc4/lelang/4778097/pengumumanlelang</t>
  </si>
  <si>
    <t>https://lpse.kalbarprov.go.id/eproc4/lelang/4778097/peserta</t>
  </si>
  <si>
    <t>https://lpse.kalbarprov.go.id/eproc4/lelang/4778097/hasil</t>
  </si>
  <si>
    <t>https://lpse.kalbarprov.go.id/eproc4/lelang/4778097/pemenang</t>
  </si>
  <si>
    <t>https://lpse.kalbarprov.go.id/eproc4/lelang/4778097/pemenangberkontrak</t>
  </si>
  <si>
    <t>https://lpse.kalbarprov.go.id/eproc4/lelang/4777097/pengumumanlelang</t>
  </si>
  <si>
    <t>https://lpse.kalbarprov.go.id/eproc4/lelang/4777097/peserta</t>
  </si>
  <si>
    <t>https://lpse.kalbarprov.go.id/eproc4/lelang/4777097/hasil</t>
  </si>
  <si>
    <t>https://lpse.kalbarprov.go.id/eproc4/lelang/4777097/pemenang</t>
  </si>
  <si>
    <t>https://lpse.kalbarprov.go.id/eproc4/lelang/4777097/pemenangberkontrak</t>
  </si>
  <si>
    <t>https://lpse.kalbarprov.go.id/eproc4/lelang/4776097/pengumumanlelang</t>
  </si>
  <si>
    <t>https://lpse.kalbarprov.go.id/eproc4/lelang/4776097/peserta</t>
  </si>
  <si>
    <t>https://lpse.kalbarprov.go.id/eproc4/lelang/4776097/hasil</t>
  </si>
  <si>
    <t>https://lpse.kalbarprov.go.id/eproc4/lelang/4776097/pemenang</t>
  </si>
  <si>
    <t>https://lpse.kalbarprov.go.id/eproc4/lelang/4776097/pemenangberkontrak</t>
  </si>
  <si>
    <t>Rp. 499.341.000,00</t>
  </si>
  <si>
    <t>https://lpse.kalbarprov.go.id/eproc4/lelang/4775097/pengumumanlelang</t>
  </si>
  <si>
    <t>https://lpse.kalbarprov.go.id/eproc4/lelang/4775097/peserta</t>
  </si>
  <si>
    <t>https://lpse.kalbarprov.go.id/eproc4/lelang/4775097/hasil</t>
  </si>
  <si>
    <t>https://lpse.kalbarprov.go.id/eproc4/lelang/4775097/pemenang</t>
  </si>
  <si>
    <t>https://lpse.kalbarprov.go.id/eproc4/lelang/4775097/pemenangberkontrak</t>
  </si>
  <si>
    <t>Rp. 448.425.000,00</t>
  </si>
  <si>
    <t>https://lpse.kalbarprov.go.id/eproc4/lelang/4774097/pengumumanlelang</t>
  </si>
  <si>
    <t>https://lpse.kalbarprov.go.id/eproc4/lelang/4774097/peserta</t>
  </si>
  <si>
    <t>https://lpse.kalbarprov.go.id/eproc4/lelang/4774097/hasil</t>
  </si>
  <si>
    <t>https://lpse.kalbarprov.go.id/eproc4/lelang/4774097/pemenang</t>
  </si>
  <si>
    <t>https://lpse.kalbarprov.go.id/eproc4/lelang/4774097/pemenangberkontrak</t>
  </si>
  <si>
    <t>Rp. 288.076.900,00</t>
  </si>
  <si>
    <t>https://lpse.kalbarprov.go.id/eproc4/lelang/4773097/pengumumanlelang</t>
  </si>
  <si>
    <t>https://lpse.kalbarprov.go.id/eproc4/lelang/4773097/peserta</t>
  </si>
  <si>
    <t>https://lpse.kalbarprov.go.id/eproc4/lelang/4773097/hasil</t>
  </si>
  <si>
    <t>https://lpse.kalbarprov.go.id/eproc4/lelang/4773097/pemenang</t>
  </si>
  <si>
    <t>https://lpse.kalbarprov.go.id/eproc4/lelang/4773097/pemenangberkontrak</t>
  </si>
  <si>
    <t>Rp. 3.355.260.000,00</t>
  </si>
  <si>
    <t>https://lpse.kalbarprov.go.id/eproc4/lelang/4769097/pengumumanlelang</t>
  </si>
  <si>
    <t>https://lpse.kalbarprov.go.id/eproc4/lelang/4769097/peserta</t>
  </si>
  <si>
    <t>https://lpse.kalbarprov.go.id/eproc4/lelang/4769097/hasil</t>
  </si>
  <si>
    <t>https://lpse.kalbarprov.go.id/eproc4/lelang/4769097/pemenang</t>
  </si>
  <si>
    <t>https://lpse.kalbarprov.go.id/eproc4/lelang/4769097/pemenangberkontrak</t>
  </si>
  <si>
    <t>Rp. 288.000.000,00</t>
  </si>
  <si>
    <t>https://lpse.kalbarprov.go.id/eproc4/lelang/4768097/pengumumanlelang</t>
  </si>
  <si>
    <t>https://lpse.kalbarprov.go.id/eproc4/lelang/4768097/peserta</t>
  </si>
  <si>
    <t>https://lpse.kalbarprov.go.id/eproc4/lelang/4768097/hasil</t>
  </si>
  <si>
    <t>https://lpse.kalbarprov.go.id/eproc4/lelang/4768097/pemenang</t>
  </si>
  <si>
    <t>https://lpse.kalbarprov.go.id/eproc4/lelang/4768097/pemenangberkontrak</t>
  </si>
  <si>
    <t>Rp. 674.701.600,00</t>
  </si>
  <si>
    <t>https://lpse.kalbarprov.go.id/eproc4/lelang/4766097/pengumumanlelang</t>
  </si>
  <si>
    <t>https://lpse.kalbarprov.go.id/eproc4/lelang/4766097/peserta</t>
  </si>
  <si>
    <t>https://lpse.kalbarprov.go.id/eproc4/lelang/4766097/hasil</t>
  </si>
  <si>
    <t>https://lpse.kalbarprov.go.id/eproc4/lelang/4766097/pemenang</t>
  </si>
  <si>
    <t>https://lpse.kalbarprov.go.id/eproc4/lelang/4766097/pemenangberkontrak</t>
  </si>
  <si>
    <t>Rp. 551.412.680,00</t>
  </si>
  <si>
    <t>https://lpse.kalbarprov.go.id/eproc4/lelang/4760097/pengumumanlelang</t>
  </si>
  <si>
    <t>https://lpse.kalbarprov.go.id/eproc4/lelang/4760097/peserta</t>
  </si>
  <si>
    <t>https://lpse.kalbarprov.go.id/eproc4/lelang/4760097/hasil</t>
  </si>
  <si>
    <t>https://lpse.kalbarprov.go.id/eproc4/lelang/4760097/pemenang</t>
  </si>
  <si>
    <t>https://lpse.kalbarprov.go.id/eproc4/lelang/4760097/pemenangberkontrak</t>
  </si>
  <si>
    <t>https://lpse.kalbarprov.go.id/eproc4/lelang/4759097/pengumumanlelang</t>
  </si>
  <si>
    <t>https://lpse.kalbarprov.go.id/eproc4/lelang/4759097/peserta</t>
  </si>
  <si>
    <t>https://lpse.kalbarprov.go.id/eproc4/lelang/4759097/hasil</t>
  </si>
  <si>
    <t>https://lpse.kalbarprov.go.id/eproc4/lelang/4759097/pemenang</t>
  </si>
  <si>
    <t>https://lpse.kalbarprov.go.id/eproc4/lelang/4759097/pemenangberkontrak</t>
  </si>
  <si>
    <t>https://lpse.kalbarprov.go.id/eproc4/lelang/4758097/pengumumanlelang</t>
  </si>
  <si>
    <t>https://lpse.kalbarprov.go.id/eproc4/lelang/4758097/peserta</t>
  </si>
  <si>
    <t>https://lpse.kalbarprov.go.id/eproc4/lelang/4758097/hasil</t>
  </si>
  <si>
    <t>https://lpse.kalbarprov.go.id/eproc4/lelang/4758097/pemenang</t>
  </si>
  <si>
    <t>https://lpse.kalbarprov.go.id/eproc4/lelang/4758097/pemenangberkontrak</t>
  </si>
  <si>
    <t>https://lpse.kalbarprov.go.id/eproc4/lelang/4757097/pengumumanlelang</t>
  </si>
  <si>
    <t>https://lpse.kalbarprov.go.id/eproc4/lelang/4757097/peserta</t>
  </si>
  <si>
    <t>https://lpse.kalbarprov.go.id/eproc4/lelang/4757097/hasil</t>
  </si>
  <si>
    <t>https://lpse.kalbarprov.go.id/eproc4/lelang/4757097/pemenang</t>
  </si>
  <si>
    <t>https://lpse.kalbarprov.go.id/eproc4/lelang/4757097/pemenangberkontrak</t>
  </si>
  <si>
    <t>https://lpse.kalbarprov.go.id/eproc4/lelang/4756097/pengumumanlelang</t>
  </si>
  <si>
    <t>https://lpse.kalbarprov.go.id/eproc4/lelang/4756097/peserta</t>
  </si>
  <si>
    <t>https://lpse.kalbarprov.go.id/eproc4/lelang/4756097/hasil</t>
  </si>
  <si>
    <t>https://lpse.kalbarprov.go.id/eproc4/lelang/4756097/pemenang</t>
  </si>
  <si>
    <t>https://lpse.kalbarprov.go.id/eproc4/lelang/4756097/pemenangberkontrak</t>
  </si>
  <si>
    <t>Rp. 845.413.000,00</t>
  </si>
  <si>
    <t>https://lpse.kalbarprov.go.id/eproc4/lelang/4755097/pengumumanlelang</t>
  </si>
  <si>
    <t>https://lpse.kalbarprov.go.id/eproc4/lelang/4755097/peserta</t>
  </si>
  <si>
    <t>https://lpse.kalbarprov.go.id/eproc4/lelang/4755097/hasil</t>
  </si>
  <si>
    <t>https://lpse.kalbarprov.go.id/eproc4/lelang/4755097/pemenang</t>
  </si>
  <si>
    <t>https://lpse.kalbarprov.go.id/eproc4/lelang/4755097/pemenangberkontrak</t>
  </si>
  <si>
    <t>Rp. 855.000.000,00</t>
  </si>
  <si>
    <t>https://lpse.kalbarprov.go.id/eproc4/lelang/4749097/pengumumanlelang</t>
  </si>
  <si>
    <t>https://lpse.kalbarprov.go.id/eproc4/lelang/4749097/peserta</t>
  </si>
  <si>
    <t>https://lpse.kalbarprov.go.id/eproc4/lelang/4749097/hasil</t>
  </si>
  <si>
    <t>https://lpse.kalbarprov.go.id/eproc4/lelang/4749097/pemenang</t>
  </si>
  <si>
    <t>https://lpse.kalbarprov.go.id/eproc4/lelang/4749097/pemenangberkontrak</t>
  </si>
  <si>
    <t>https://lpse.kalbarprov.go.id/eproc4/lelang/4745097/pengumumanlelang</t>
  </si>
  <si>
    <t>https://lpse.kalbarprov.go.id/eproc4/lelang/4745097/peserta</t>
  </si>
  <si>
    <t>https://lpse.kalbarprov.go.id/eproc4/lelang/4745097/hasil</t>
  </si>
  <si>
    <t>https://lpse.kalbarprov.go.id/eproc4/lelang/4745097/pemenang</t>
  </si>
  <si>
    <t>https://lpse.kalbarprov.go.id/eproc4/lelang/4745097/pemenangberkontrak</t>
  </si>
  <si>
    <t>Rp. 3.125.000.000,00</t>
  </si>
  <si>
    <t>https://lpse.kalbarprov.go.id/eproc4/lelang/4744097/pengumumanlelang</t>
  </si>
  <si>
    <t>https://lpse.kalbarprov.go.id/eproc4/lelang/4744097/peserta</t>
  </si>
  <si>
    <t>https://lpse.kalbarprov.go.id/eproc4/lelang/4744097/hasil</t>
  </si>
  <si>
    <t>https://lpse.kalbarprov.go.id/eproc4/lelang/4744097/pemenang</t>
  </si>
  <si>
    <t>https://lpse.kalbarprov.go.id/eproc4/lelang/4744097/pemenangberkontrak</t>
  </si>
  <si>
    <t>120 peserta</t>
  </si>
  <si>
    <t>https://lpse.kalbarprov.go.id/eproc4/lelang/4742097/pengumumanlelang</t>
  </si>
  <si>
    <t>https://lpse.kalbarprov.go.id/eproc4/lelang/4742097/peserta</t>
  </si>
  <si>
    <t>https://lpse.kalbarprov.go.id/eproc4/lelang/4742097/hasil</t>
  </si>
  <si>
    <t>https://lpse.kalbarprov.go.id/eproc4/lelang/4742097/pemenang</t>
  </si>
  <si>
    <t>https://lpse.kalbarprov.go.id/eproc4/lelang/4742097/pemenangberkontrak</t>
  </si>
  <si>
    <t>Rp. 4.700.000.000,00</t>
  </si>
  <si>
    <t>https://lpse.kalbarprov.go.id/eproc4/lelang/4741097/pengumumanlelang</t>
  </si>
  <si>
    <t>https://lpse.kalbarprov.go.id/eproc4/lelang/4741097/peserta</t>
  </si>
  <si>
    <t>https://lpse.kalbarprov.go.id/eproc4/lelang/4741097/hasil</t>
  </si>
  <si>
    <t>https://lpse.kalbarprov.go.id/eproc4/lelang/4741097/pemenang</t>
  </si>
  <si>
    <t>https://lpse.kalbarprov.go.id/eproc4/lelang/4741097/pemenangberkontrak</t>
  </si>
  <si>
    <t>https://lpse.kalbarprov.go.id/eproc4/lelang/4739097/pengumumanlelang</t>
  </si>
  <si>
    <t>https://lpse.kalbarprov.go.id/eproc4/lelang/4739097/peserta</t>
  </si>
  <si>
    <t>https://lpse.kalbarprov.go.id/eproc4/lelang/4739097/hasil</t>
  </si>
  <si>
    <t>https://lpse.kalbarprov.go.id/eproc4/lelang/4739097/pemenang</t>
  </si>
  <si>
    <t>https://lpse.kalbarprov.go.id/eproc4/lelang/4739097/pemenangberkontrak</t>
  </si>
  <si>
    <t>125 peserta</t>
  </si>
  <si>
    <t>https://lpse.kalbarprov.go.id/eproc4/lelang/4738097/pengumumanlelang</t>
  </si>
  <si>
    <t>https://lpse.kalbarprov.go.id/eproc4/lelang/4738097/peserta</t>
  </si>
  <si>
    <t>https://lpse.kalbarprov.go.id/eproc4/lelang/4738097/hasil</t>
  </si>
  <si>
    <t>https://lpse.kalbarprov.go.id/eproc4/lelang/4738097/pemenang</t>
  </si>
  <si>
    <t>https://lpse.kalbarprov.go.id/eproc4/lelang/4738097/pemenangberkontrak</t>
  </si>
  <si>
    <t>Rp. 693.500.000,00</t>
  </si>
  <si>
    <t>https://lpse.kalbarprov.go.id/eproc4/lelang/4730097/pengumumanlelang</t>
  </si>
  <si>
    <t>https://lpse.kalbarprov.go.id/eproc4/lelang/4730097/peserta</t>
  </si>
  <si>
    <t>https://lpse.kalbarprov.go.id/eproc4/lelang/4730097/hasil</t>
  </si>
  <si>
    <t>https://lpse.kalbarprov.go.id/eproc4/lelang/4730097/pemenang</t>
  </si>
  <si>
    <t>https://lpse.kalbarprov.go.id/eproc4/lelang/4730097/pemenangberkontrak</t>
  </si>
  <si>
    <t>Rp. 525.000.000,00</t>
  </si>
  <si>
    <t>https://lpse.kalbarprov.go.id/eproc4/lelang/4728097/pengumumanlelang</t>
  </si>
  <si>
    <t>https://lpse.kalbarprov.go.id/eproc4/lelang/4728097/peserta</t>
  </si>
  <si>
    <t>https://lpse.kalbarprov.go.id/eproc4/lelang/4728097/hasil</t>
  </si>
  <si>
    <t>https://lpse.kalbarprov.go.id/eproc4/lelang/4728097/pemenang</t>
  </si>
  <si>
    <t>https://lpse.kalbarprov.go.id/eproc4/lelang/4728097/pemenangberkontrak</t>
  </si>
  <si>
    <t>https://lpse.kalbarprov.go.id/eproc4/lelang/4723097/pengumumanlelang</t>
  </si>
  <si>
    <t>https://lpse.kalbarprov.go.id/eproc4/lelang/4723097/peserta</t>
  </si>
  <si>
    <t>https://lpse.kalbarprov.go.id/eproc4/lelang/4723097/hasil</t>
  </si>
  <si>
    <t>https://lpse.kalbarprov.go.id/eproc4/lelang/4723097/pemenang</t>
  </si>
  <si>
    <t>https://lpse.kalbarprov.go.id/eproc4/lelang/4723097/pemenangberkontrak</t>
  </si>
  <si>
    <t>Rp. 289.650.000,00</t>
  </si>
  <si>
    <t>https://lpse.kalbarprov.go.id/eproc4/lelang/4722097/pengumumanlelang</t>
  </si>
  <si>
    <t>https://lpse.kalbarprov.go.id/eproc4/lelang/4722097/peserta</t>
  </si>
  <si>
    <t>https://lpse.kalbarprov.go.id/eproc4/lelang/4722097/hasil</t>
  </si>
  <si>
    <t>https://lpse.kalbarprov.go.id/eproc4/lelang/4722097/pemenang</t>
  </si>
  <si>
    <t>https://lpse.kalbarprov.go.id/eproc4/lelang/4722097/pemenangberkontrak</t>
  </si>
  <si>
    <t>Rp. 430.300.000,00</t>
  </si>
  <si>
    <t>https://lpse.kalbarprov.go.id/eproc4/lelang/4719097/pengumumanlelang</t>
  </si>
  <si>
    <t>https://lpse.kalbarprov.go.id/eproc4/lelang/4719097/peserta</t>
  </si>
  <si>
    <t>https://lpse.kalbarprov.go.id/eproc4/lelang/4719097/hasil</t>
  </si>
  <si>
    <t>https://lpse.kalbarprov.go.id/eproc4/lelang/4719097/pemenang</t>
  </si>
  <si>
    <t>https://lpse.kalbarprov.go.id/eproc4/lelang/4719097/pemenangberkontrak</t>
  </si>
  <si>
    <t>Rp. 666.950.000,00</t>
  </si>
  <si>
    <t>https://lpse.kalbarprov.go.id/eproc4/lelang/4718097/pengumumanlelang</t>
  </si>
  <si>
    <t>https://lpse.kalbarprov.go.id/eproc4/lelang/4718097/peserta</t>
  </si>
  <si>
    <t>https://lpse.kalbarprov.go.id/eproc4/lelang/4718097/hasil</t>
  </si>
  <si>
    <t>https://lpse.kalbarprov.go.id/eproc4/lelang/4718097/pemenang</t>
  </si>
  <si>
    <t>https://lpse.kalbarprov.go.id/eproc4/lelang/4718097/pemenangberkontrak</t>
  </si>
  <si>
    <t>https://lpse.kalbarprov.go.id/eproc4/lelang/4717097/pengumumanlelang</t>
  </si>
  <si>
    <t>https://lpse.kalbarprov.go.id/eproc4/lelang/4717097/peserta</t>
  </si>
  <si>
    <t>https://lpse.kalbarprov.go.id/eproc4/lelang/4717097/hasil</t>
  </si>
  <si>
    <t>https://lpse.kalbarprov.go.id/eproc4/lelang/4717097/pemenang</t>
  </si>
  <si>
    <t>https://lpse.kalbarprov.go.id/eproc4/lelang/4717097/pemenangberkontrak</t>
  </si>
  <si>
    <t>https://lpse.kalbarprov.go.id/eproc4/lelang/4716097/pengumumanlelang</t>
  </si>
  <si>
    <t>https://lpse.kalbarprov.go.id/eproc4/lelang/4716097/peserta</t>
  </si>
  <si>
    <t>https://lpse.kalbarprov.go.id/eproc4/lelang/4716097/hasil</t>
  </si>
  <si>
    <t>https://lpse.kalbarprov.go.id/eproc4/lelang/4716097/pemenang</t>
  </si>
  <si>
    <t>https://lpse.kalbarprov.go.id/eproc4/lelang/4716097/pemenangberkontrak</t>
  </si>
  <si>
    <t>Rp. 894.250.000,00</t>
  </si>
  <si>
    <t>https://lpse.kalbarprov.go.id/eproc4/lelang/4715097/pengumumanlelang</t>
  </si>
  <si>
    <t>https://lpse.kalbarprov.go.id/eproc4/lelang/4715097/peserta</t>
  </si>
  <si>
    <t>https://lpse.kalbarprov.go.id/eproc4/lelang/4715097/hasil</t>
  </si>
  <si>
    <t>https://lpse.kalbarprov.go.id/eproc4/lelang/4715097/pemenang</t>
  </si>
  <si>
    <t>https://lpse.kalbarprov.go.id/eproc4/lelang/4715097/pemenangberkontrak</t>
  </si>
  <si>
    <t>https://lpse.kalbarprov.go.id/eproc4/lelang/4713097/pengumumanlelang</t>
  </si>
  <si>
    <t>https://lpse.kalbarprov.go.id/eproc4/lelang/4713097/peserta</t>
  </si>
  <si>
    <t>https://lpse.kalbarprov.go.id/eproc4/lelang/4713097/hasil</t>
  </si>
  <si>
    <t>https://lpse.kalbarprov.go.id/eproc4/lelang/4713097/pemenang</t>
  </si>
  <si>
    <t>https://lpse.kalbarprov.go.id/eproc4/lelang/4713097/pemenangberkontrak</t>
  </si>
  <si>
    <t>https://lpse.kalbarprov.go.id/eproc4/lelang/4705097/pengumumanlelang</t>
  </si>
  <si>
    <t>https://lpse.kalbarprov.go.id/eproc4/lelang/4705097/peserta</t>
  </si>
  <si>
    <t>https://lpse.kalbarprov.go.id/eproc4/lelang/4705097/hasil</t>
  </si>
  <si>
    <t>https://lpse.kalbarprov.go.id/eproc4/lelang/4705097/pemenang</t>
  </si>
  <si>
    <t>https://lpse.kalbarprov.go.id/eproc4/lelang/4705097/pemenangberkontrak</t>
  </si>
  <si>
    <t>Rp. 421.200.000,00</t>
  </si>
  <si>
    <t>https://lpse.kalbarprov.go.id/eproc4/lelang/4704097/pengumumanlelang</t>
  </si>
  <si>
    <t>https://lpse.kalbarprov.go.id/eproc4/lelang/4704097/peserta</t>
  </si>
  <si>
    <t>https://lpse.kalbarprov.go.id/eproc4/lelang/4704097/hasil</t>
  </si>
  <si>
    <t>https://lpse.kalbarprov.go.id/eproc4/lelang/4704097/pemenang</t>
  </si>
  <si>
    <t>https://lpse.kalbarprov.go.id/eproc4/lelang/4704097/pemenangberkontrak</t>
  </si>
  <si>
    <t>https://lpse.kalbarprov.go.id/eproc4/lelang/4697097/pengumumanlelang</t>
  </si>
  <si>
    <t>https://lpse.kalbarprov.go.id/eproc4/lelang/4697097/peserta</t>
  </si>
  <si>
    <t>https://lpse.kalbarprov.go.id/eproc4/lelang/4697097/hasil</t>
  </si>
  <si>
    <t>https://lpse.kalbarprov.go.id/eproc4/lelang/4697097/pemenang</t>
  </si>
  <si>
    <t>https://lpse.kalbarprov.go.id/eproc4/lelang/4697097/pemenangberkontrak</t>
  </si>
  <si>
    <t>https://lpse.kalbarprov.go.id/eproc4/lelang/4693097/pengumumanlelang</t>
  </si>
  <si>
    <t>https://lpse.kalbarprov.go.id/eproc4/lelang/4693097/peserta</t>
  </si>
  <si>
    <t>https://lpse.kalbarprov.go.id/eproc4/lelang/4693097/hasil</t>
  </si>
  <si>
    <t>https://lpse.kalbarprov.go.id/eproc4/lelang/4693097/pemenang</t>
  </si>
  <si>
    <t>https://lpse.kalbarprov.go.id/eproc4/lelang/4693097/pemenangberkontrak</t>
  </si>
  <si>
    <t>https://lpse.kalbarprov.go.id/eproc4/lelang/4692097/pengumumanlelang</t>
  </si>
  <si>
    <t>https://lpse.kalbarprov.go.id/eproc4/lelang/4692097/peserta</t>
  </si>
  <si>
    <t>https://lpse.kalbarprov.go.id/eproc4/lelang/4692097/hasil</t>
  </si>
  <si>
    <t>https://lpse.kalbarprov.go.id/eproc4/lelang/4692097/pemenang</t>
  </si>
  <si>
    <t>https://lpse.kalbarprov.go.id/eproc4/lelang/4692097/pemenangberkontrak</t>
  </si>
  <si>
    <t>https://lpse.kalbarprov.go.id/eproc4/lelang/4690097/pengumumanlelang</t>
  </si>
  <si>
    <t>https://lpse.kalbarprov.go.id/eproc4/lelang/4690097/peserta</t>
  </si>
  <si>
    <t>https://lpse.kalbarprov.go.id/eproc4/lelang/4690097/hasil</t>
  </si>
  <si>
    <t>https://lpse.kalbarprov.go.id/eproc4/lelang/4690097/pemenang</t>
  </si>
  <si>
    <t>https://lpse.kalbarprov.go.id/eproc4/lelang/4690097/pemenangberkontrak</t>
  </si>
  <si>
    <t>https://lpse.kalbarprov.go.id/eproc4/lelang/4685097/pengumumanlelang</t>
  </si>
  <si>
    <t>https://lpse.kalbarprov.go.id/eproc4/lelang/4685097/peserta</t>
  </si>
  <si>
    <t>https://lpse.kalbarprov.go.id/eproc4/lelang/4685097/hasil</t>
  </si>
  <si>
    <t>https://lpse.kalbarprov.go.id/eproc4/lelang/4685097/pemenang</t>
  </si>
  <si>
    <t>https://lpse.kalbarprov.go.id/eproc4/lelang/4685097/pemenangberkontrak</t>
  </si>
  <si>
    <t>Rp. 1.562.500.000,00</t>
  </si>
  <si>
    <t>https://lpse.kalbarprov.go.id/eproc4/lelang/4679097/pengumumanlelang</t>
  </si>
  <si>
    <t>https://lpse.kalbarprov.go.id/eproc4/lelang/4679097/peserta</t>
  </si>
  <si>
    <t>https://lpse.kalbarprov.go.id/eproc4/lelang/4679097/hasil</t>
  </si>
  <si>
    <t>https://lpse.kalbarprov.go.id/eproc4/lelang/4679097/pemenang</t>
  </si>
  <si>
    <t>https://lpse.kalbarprov.go.id/eproc4/lelang/4679097/pemenangberkontrak</t>
  </si>
  <si>
    <t>https://lpse.kalbarprov.go.id/eproc4/lelang/4677097/pengumumanlelang</t>
  </si>
  <si>
    <t>https://lpse.kalbarprov.go.id/eproc4/lelang/4677097/peserta</t>
  </si>
  <si>
    <t>https://lpse.kalbarprov.go.id/eproc4/lelang/4677097/hasil</t>
  </si>
  <si>
    <t>https://lpse.kalbarprov.go.id/eproc4/lelang/4677097/pemenang</t>
  </si>
  <si>
    <t>https://lpse.kalbarprov.go.id/eproc4/lelang/4677097/pemenangberkontrak</t>
  </si>
  <si>
    <t>https://lpse.kalbarprov.go.id/eproc4/lelang/4676097/pengumumanlelang</t>
  </si>
  <si>
    <t>https://lpse.kalbarprov.go.id/eproc4/lelang/4676097/peserta</t>
  </si>
  <si>
    <t>https://lpse.kalbarprov.go.id/eproc4/lelang/4676097/hasil</t>
  </si>
  <si>
    <t>https://lpse.kalbarprov.go.id/eproc4/lelang/4676097/pemenang</t>
  </si>
  <si>
    <t>https://lpse.kalbarprov.go.id/eproc4/lelang/4676097/pemenangberkontrak</t>
  </si>
  <si>
    <t>Rp. 517.000.000,00</t>
  </si>
  <si>
    <t>https://lpse.kalbarprov.go.id/eproc4/lelang/4675097/pengumumanlelang</t>
  </si>
  <si>
    <t>https://lpse.kalbarprov.go.id/eproc4/lelang/4675097/peserta</t>
  </si>
  <si>
    <t>https://lpse.kalbarprov.go.id/eproc4/lelang/4675097/hasil</t>
  </si>
  <si>
    <t>https://lpse.kalbarprov.go.id/eproc4/lelang/4675097/pemenang</t>
  </si>
  <si>
    <t>https://lpse.kalbarprov.go.id/eproc4/lelang/4675097/pemenangberkontrak</t>
  </si>
  <si>
    <t>Rp. 371.262.000,00</t>
  </si>
  <si>
    <t>https://lpse.kalbarprov.go.id/eproc4/lelang/4674097/pengumumanlelang</t>
  </si>
  <si>
    <t>https://lpse.kalbarprov.go.id/eproc4/lelang/4674097/peserta</t>
  </si>
  <si>
    <t>https://lpse.kalbarprov.go.id/eproc4/lelang/4674097/hasil</t>
  </si>
  <si>
    <t>https://lpse.kalbarprov.go.id/eproc4/lelang/4674097/pemenang</t>
  </si>
  <si>
    <t>https://lpse.kalbarprov.go.id/eproc4/lelang/4674097/pemenangberkontrak</t>
  </si>
  <si>
    <t>Rp. 5.803.500.000,00</t>
  </si>
  <si>
    <t>https://lpse.kalbarprov.go.id/eproc4/lelang/4670097/pengumumanlelang</t>
  </si>
  <si>
    <t>https://lpse.kalbarprov.go.id/eproc4/lelang/4670097/peserta</t>
  </si>
  <si>
    <t>https://lpse.kalbarprov.go.id/eproc4/lelang/4670097/hasil</t>
  </si>
  <si>
    <t>https://lpse.kalbarprov.go.id/eproc4/lelang/4670097/pemenang</t>
  </si>
  <si>
    <t>https://lpse.kalbarprov.go.id/eproc4/lelang/4670097/pemenangberkontrak</t>
  </si>
  <si>
    <t>Rp. 2.189.400.000,00</t>
  </si>
  <si>
    <t/>
  </si>
  <si>
    <t>Jenis Pengadaan</t>
  </si>
  <si>
    <t>Tahun Anggaran</t>
  </si>
  <si>
    <t>hh</t>
  </si>
  <si>
    <t>Jumlah peserta</t>
  </si>
  <si>
    <t>Rp. 418.791.780,00</t>
  </si>
  <si>
    <t>Rp. 360.525.000,00</t>
  </si>
  <si>
    <t>Rp. 3.958.348.801,00</t>
  </si>
  <si>
    <t>Rp. 349.800.000,00</t>
  </si>
  <si>
    <t>Rp. 235.999.060,00</t>
  </si>
  <si>
    <t>Rp. 1.348.334.417,85</t>
  </si>
  <si>
    <t>Rp. 899.649.887,87</t>
  </si>
  <si>
    <t>Rp. 6.995.454.441,79</t>
  </si>
  <si>
    <t>Rp. 2.999.900.489,30</t>
  </si>
  <si>
    <t>Rp. 317.413.800,00</t>
  </si>
  <si>
    <t>Rp. 362.560.000,00</t>
  </si>
  <si>
    <t>Rp. 418.795.025,00</t>
  </si>
  <si>
    <t>Rp. 301.314.420,00</t>
  </si>
  <si>
    <t>Rp. 719.985.325,40</t>
  </si>
  <si>
    <t>Rp. 494.987.201,42</t>
  </si>
  <si>
    <t>Rp. 494.983.649,53</t>
  </si>
  <si>
    <t>Rp. 275.499.270,03</t>
  </si>
  <si>
    <t>Rp. 1.619.970.000,00</t>
  </si>
  <si>
    <t>Rp. 798.008.900,00</t>
  </si>
  <si>
    <t>Rp. 845.984.700,00</t>
  </si>
  <si>
    <t>Rp. 2.657.821.650,00</t>
  </si>
  <si>
    <t>Rp. 549.987.832,00</t>
  </si>
  <si>
    <t>Rp. 345.648.600,00</t>
  </si>
  <si>
    <t>Rp. 300.537.732,00</t>
  </si>
  <si>
    <t>Rp. 12.089.704.000,00</t>
  </si>
  <si>
    <t>Rp. 296.532.500,00</t>
  </si>
  <si>
    <t>Rp. 197.587.500,00</t>
  </si>
  <si>
    <t>Rp. 241.092.500,00</t>
  </si>
  <si>
    <t>Rp. 325.572.500,00</t>
  </si>
  <si>
    <t>Rp. 299.282.500,00</t>
  </si>
  <si>
    <t>Rp. 405.988.558,21</t>
  </si>
  <si>
    <t>Rp. 1.099.653.500,00</t>
  </si>
  <si>
    <t>Rp. 499.878.500,00</t>
  </si>
  <si>
    <t>Rp. 999.993.500,00</t>
  </si>
  <si>
    <t>Rp. 1.135.371.600,00</t>
  </si>
  <si>
    <t>Rp. 2.478.720.000,00</t>
  </si>
  <si>
    <t>Rp. 2.493.975.000,00</t>
  </si>
  <si>
    <t>Rp. 1.182.788.750,00</t>
  </si>
  <si>
    <t>Rp. 239.751.300,00</t>
  </si>
  <si>
    <t>Rp. 219.991.100,00</t>
  </si>
  <si>
    <t>Rp. 499.887.500,00</t>
  </si>
  <si>
    <t>Rp. 274.988.875,00</t>
  </si>
  <si>
    <t>Rp. 752.396.561,00</t>
  </si>
  <si>
    <t>Rp. 899.285.924,59</t>
  </si>
  <si>
    <t>Rp. 446.325.000,00</t>
  </si>
  <si>
    <t>Rp. 299.999.700,00</t>
  </si>
  <si>
    <t>Rp. 659.990.463,58</t>
  </si>
  <si>
    <t>Rp. 415.492.000,00</t>
  </si>
  <si>
    <t>Rp. 1.999.511.127,87</t>
  </si>
  <si>
    <t>Rp. 327.827.500,00</t>
  </si>
  <si>
    <t>Rp. 420.156.000,00</t>
  </si>
  <si>
    <t>Rp. 659.991.292,95</t>
  </si>
  <si>
    <t>Rp. 543.991.639,65</t>
  </si>
  <si>
    <t>Rp. 508.860.000,00</t>
  </si>
  <si>
    <t>Rp. 254.510.831,15</t>
  </si>
  <si>
    <t>Rp. 1.626.841.062,53</t>
  </si>
  <si>
    <t>Rp. 608.776.544,30</t>
  </si>
  <si>
    <t>Rp. 907.528.863,31</t>
  </si>
  <si>
    <t>Rp. 3.371.081.063,94</t>
  </si>
  <si>
    <t>Rp. 1.105.141.579,31</t>
  </si>
  <si>
    <t>Rp. 1.791.841.505,70</t>
  </si>
  <si>
    <t>Rp. 435.815.888,99</t>
  </si>
  <si>
    <t>Rp. 348.649.726,04</t>
  </si>
  <si>
    <t>Rp. 301.399.990,10</t>
  </si>
  <si>
    <t>Rp. 1.319.896.345,96</t>
  </si>
  <si>
    <t>Rp. 1.333.292.000,00</t>
  </si>
  <si>
    <t>Rp. 19.180.476.971,82</t>
  </si>
  <si>
    <t>Rp. 342.439.900,00</t>
  </si>
  <si>
    <t>Rp. 259.864.000,00</t>
  </si>
  <si>
    <t>Rp. 389.946.700,00</t>
  </si>
  <si>
    <t>Rp. 151.085.000,00</t>
  </si>
  <si>
    <t>Rp. 7.999.939.750,85</t>
  </si>
  <si>
    <t>Rp. 10.387.842.706,12</t>
  </si>
  <si>
    <t>Rp. 2.227.509.700,00</t>
  </si>
  <si>
    <t>Rp. 447.874.245,42</t>
  </si>
  <si>
    <t>Rp. 447.218.117,98</t>
  </si>
  <si>
    <t>Rp. 136.730.000,00</t>
  </si>
  <si>
    <t>Rp. 168.410.000,00</t>
  </si>
  <si>
    <t>Rp. 446.223.800,00</t>
  </si>
  <si>
    <t>Rp. 395.988.287,15</t>
  </si>
  <si>
    <t>Rp. 1.499.983.987,38</t>
  </si>
  <si>
    <t>Rp. 2.199.774.548,05</t>
  </si>
  <si>
    <t>Rp. 629.991.305,63</t>
  </si>
  <si>
    <t>Rp. 3.547.698.726,00</t>
  </si>
  <si>
    <t>Rp. 661.155.000,00</t>
  </si>
  <si>
    <t>Rp. 593.288.770,00</t>
  </si>
  <si>
    <t>Rp. 449.998.436,62</t>
  </si>
  <si>
    <t>Rp. 449.999.014,92</t>
  </si>
  <si>
    <t>Rp. 2.200.107.580,00</t>
  </si>
  <si>
    <t>Rp. 24.179.408.000,00</t>
  </si>
  <si>
    <t>Rp. 517.987.445,49</t>
  </si>
  <si>
    <t>Rp. 271.891.895,00</t>
  </si>
  <si>
    <t>Rp. 519.750.000,00</t>
  </si>
  <si>
    <t>Rp. 557.992.356,16</t>
  </si>
  <si>
    <t>Rp. 449.993.338,72</t>
  </si>
  <si>
    <t>Rp. 629.985.273,69</t>
  </si>
  <si>
    <t>Rp. 809.986.217,27</t>
  </si>
  <si>
    <t>Rp. 455.041.809,60</t>
  </si>
  <si>
    <t>Rp. 897.410.121,82</t>
  </si>
  <si>
    <t>Rp. 447.747.328,54</t>
  </si>
  <si>
    <t>Rp. 458.150.000,00</t>
  </si>
  <si>
    <t>Rp. 448.499.653,19</t>
  </si>
  <si>
    <t>Rp. 398.499.969,24</t>
  </si>
  <si>
    <t>Rp. 298.499.975,85</t>
  </si>
  <si>
    <t>Rp. 4.222.000.030,48</t>
  </si>
  <si>
    <t>Rp. 12.204.918.852,61</t>
  </si>
  <si>
    <t>Rp. 358.626.915,00</t>
  </si>
  <si>
    <t>Rp. 4.499.956.745,84</t>
  </si>
  <si>
    <t>Rp. 667.086.200,00</t>
  </si>
  <si>
    <t>Rp. 9.396.935.610,48</t>
  </si>
  <si>
    <t>Rp. 498.300.000,00</t>
  </si>
  <si>
    <t>Rp. 199.210.000,00</t>
  </si>
  <si>
    <t>Rp. 134.986.500,00</t>
  </si>
  <si>
    <t>Rp. 170.538.500,00</t>
  </si>
  <si>
    <t>Rp. 6.806.926.118,30</t>
  </si>
  <si>
    <t>Rp. 6.016.900.965,85</t>
  </si>
  <si>
    <t>Rp. 244.918.025,00</t>
  </si>
  <si>
    <t>Rp. 1.998.434.414,57</t>
  </si>
  <si>
    <t>Rp. 10.073.955.620,35</t>
  </si>
  <si>
    <t>Rp. 1.570.597.242,50</t>
  </si>
  <si>
    <t>Rp. 1.789.065.450,00</t>
  </si>
  <si>
    <t>Rp. 238.911.000,00</t>
  </si>
  <si>
    <t>Rp. 188.980.000,00</t>
  </si>
  <si>
    <t>Rp. 7.827.388.359,03</t>
  </si>
  <si>
    <t>Rp. 1.999.188.760,61</t>
  </si>
  <si>
    <t>Rp. 1.796.690.500,00</t>
  </si>
  <si>
    <t>Rp. 427.387.110,89</t>
  </si>
  <si>
    <t>Rp. 1.999.619.503,54</t>
  </si>
  <si>
    <t>Rp. 37.773.717.911,51</t>
  </si>
  <si>
    <t>Rp. 9.748.615.906,95</t>
  </si>
  <si>
    <t>Rp. 7.391.389.041,53</t>
  </si>
  <si>
    <t>Rp. 1.289.161.500,00</t>
  </si>
  <si>
    <t>Rp. 839.685.000,00</t>
  </si>
  <si>
    <t>Rp. 912.000.000,00</t>
  </si>
  <si>
    <t>Rp. 424.320.190,91</t>
  </si>
  <si>
    <t>Rp. 249.981.806,19</t>
  </si>
  <si>
    <t>Rp. 365.354.000,00</t>
  </si>
  <si>
    <t>Rp. 260.568.000,00</t>
  </si>
  <si>
    <t>Rp. 474.957.757,40</t>
  </si>
  <si>
    <t>Rp. 474.930.247,64</t>
  </si>
  <si>
    <t>Rp. 474.940.832,72</t>
  </si>
  <si>
    <t>Rp. 9.410.946.143,83</t>
  </si>
  <si>
    <t>Rp. 474.904.585,90</t>
  </si>
  <si>
    <t>Rp. 2.194.594.600,00</t>
  </si>
  <si>
    <t>Rp. 367.454.170,15</t>
  </si>
  <si>
    <t>Rp. 833.004.700,00</t>
  </si>
  <si>
    <t>Rp. 474.999.998,00</t>
  </si>
  <si>
    <t>Rp. 4.748.966.605,13</t>
  </si>
  <si>
    <t>Rp. 711.470.236,30</t>
  </si>
  <si>
    <t>Rp. 1.424.957.198,19</t>
  </si>
  <si>
    <t>Rp. 1.417.306.592,08</t>
  </si>
  <si>
    <t>Rp. 2.259.748.351,50</t>
  </si>
  <si>
    <t>Rp. 3.110.631.210,25</t>
  </si>
  <si>
    <t>Rp. 474.963.962,08</t>
  </si>
  <si>
    <t>Rp. 222.697.435,31</t>
  </si>
  <si>
    <t>Rp. 599.999.977,88</t>
  </si>
  <si>
    <t>Rp. 853.801.119,69</t>
  </si>
  <si>
    <t>Rp. 1.064.634.904,46</t>
  </si>
  <si>
    <t>Rp. 474.857.170,69</t>
  </si>
  <si>
    <t>Rp. 7.200.062.485,90</t>
  </si>
  <si>
    <t>Rp. 364.589.185,80</t>
  </si>
  <si>
    <t>Rp. 9.173.592.853,82</t>
  </si>
  <si>
    <t>Rp. 728.709.833,54</t>
  </si>
  <si>
    <t>Rp. 2.050.000.125,22</t>
  </si>
  <si>
    <t>Rp. 2.742.312.548,71</t>
  </si>
  <si>
    <t>Rp. 563.913.672,05</t>
  </si>
  <si>
    <t>Rp. 638.880.000,00</t>
  </si>
  <si>
    <t>Rp. 663.927.000,00</t>
  </si>
  <si>
    <t>Rp. 474.994.990,60</t>
  </si>
  <si>
    <t>Rp. 474.999.907,62</t>
  </si>
  <si>
    <t>Rp. 473.595.324,02</t>
  </si>
  <si>
    <t>Rp. 399.521.025,00</t>
  </si>
  <si>
    <t>Rp. 590.225.000,00</t>
  </si>
  <si>
    <t>Rp. 349.999.998,41</t>
  </si>
  <si>
    <t>Rp. 1.060.968.773,13</t>
  </si>
  <si>
    <t>Rp. 1.874.592.500,00</t>
  </si>
  <si>
    <t>Rp. 505.287.949,37</t>
  </si>
  <si>
    <t>Rp. 199.265.000,00</t>
  </si>
  <si>
    <t>Rp. 504.545.121,76</t>
  </si>
  <si>
    <t>Rp. 1.308.633.000,47</t>
  </si>
  <si>
    <t>Rp. 1.217.793.809,59</t>
  </si>
  <si>
    <t>Rp. 1.620.903.426,98</t>
  </si>
  <si>
    <t>Rp. 3.029.616.746,00</t>
  </si>
  <si>
    <t>Rp. 474.985.282,74</t>
  </si>
  <si>
    <t>Rp. 1.944.630.129,12</t>
  </si>
  <si>
    <t>Rp. 353.364.000,00</t>
  </si>
  <si>
    <t>Rp. 299.986.500,00</t>
  </si>
  <si>
    <t>Rp. 9.748.618.369,01</t>
  </si>
  <si>
    <t>Rp. 675.669.940,00</t>
  </si>
  <si>
    <t>Rp. 899.943.950,66</t>
  </si>
  <si>
    <t>Rp. 332.447.500,00</t>
  </si>
  <si>
    <t>Rp. 1.493.250.000,00</t>
  </si>
  <si>
    <t>Rp. 322.287.790,00</t>
  </si>
  <si>
    <t>Rp. 349.999.650,00</t>
  </si>
  <si>
    <t>Rp. 489.500.000,00</t>
  </si>
  <si>
    <t>Rp. 4.357.919.925,14</t>
  </si>
  <si>
    <t>Rp. 23.364.943.864,85</t>
  </si>
  <si>
    <t>Rp. 3.111.297.900,02</t>
  </si>
  <si>
    <t>Rp. 409.475.000,00</t>
  </si>
  <si>
    <t>Rp. 399.949.000,00</t>
  </si>
  <si>
    <t>Rp. 457.578.250,00</t>
  </si>
  <si>
    <t>Rp. 998.074.000,00</t>
  </si>
  <si>
    <t>Rp. 469.700.000,00</t>
  </si>
  <si>
    <t>Rp. 494.230.000,00</t>
  </si>
  <si>
    <t>Rp. 474.980.000,00</t>
  </si>
  <si>
    <t>Rp. 430.870.000,00</t>
  </si>
  <si>
    <t>Rp. 475.640.000,00</t>
  </si>
  <si>
    <t>Rp. 474.422.599,09</t>
  </si>
  <si>
    <t>Rp. 2.548.882.349,61</t>
  </si>
  <si>
    <t>Rp. 814.975.404,11</t>
  </si>
  <si>
    <t>Rp. 11.036.900.800,20</t>
  </si>
  <si>
    <t>Rp. 9.191.197.886,20</t>
  </si>
  <si>
    <t>Rp. 1.918.400.000,00</t>
  </si>
  <si>
    <t>Rp. 1.401.751.416,09</t>
  </si>
  <si>
    <t>Rp. 278.300.000,00</t>
  </si>
  <si>
    <t>Rp. 12.139.395.227,80</t>
  </si>
  <si>
    <t>Rp. 673.120.250,00</t>
  </si>
  <si>
    <t>Rp. 149.999.850,00</t>
  </si>
  <si>
    <t>Rp. 499.999.500,00</t>
  </si>
  <si>
    <t>Rp. 169.999.500,00</t>
  </si>
  <si>
    <t>Rp. 799.799.683,46</t>
  </si>
  <si>
    <t>Rp. 1.882.351.200,00</t>
  </si>
  <si>
    <t>Rp. 342.000.788,93</t>
  </si>
  <si>
    <t>Rp. 747.945.000,00</t>
  </si>
  <si>
    <t>Rp. 795.602.500,00</t>
  </si>
  <si>
    <t>Rp. 15.205.926.904,08</t>
  </si>
  <si>
    <t>Rp. 4.249.979.405,32</t>
  </si>
  <si>
    <t>Rp. 11.614.239.629,30</t>
  </si>
  <si>
    <t>Rp. 580.976.000,00</t>
  </si>
  <si>
    <t>Rp. 449.999.000,00</t>
  </si>
  <si>
    <t>Rp. 2.645.180.783,78</t>
  </si>
  <si>
    <t>Rp. 324.115.000,00</t>
  </si>
  <si>
    <t>Rp. 699.050.000,00</t>
  </si>
  <si>
    <t>Rp. 598.840.000,00</t>
  </si>
  <si>
    <t>Rp. 498.553.000,00</t>
  </si>
  <si>
    <t>Rp. 4.431.947.360,48</t>
  </si>
  <si>
    <t>Rp. 5.073.207.082,24</t>
  </si>
  <si>
    <t>Rp. 5.810.060.636,60</t>
  </si>
  <si>
    <t>Rp. 9.457.913.905,44</t>
  </si>
  <si>
    <t>Rp. 12.598.612.933,50</t>
  </si>
  <si>
    <t>Rp. 9.105.643.997,91</t>
  </si>
  <si>
    <t>Rp. 6.403.996.898,55</t>
  </si>
  <si>
    <t>Rp. 9.302.908.269,23</t>
  </si>
  <si>
    <t>Rp. 29.611.915.516,70</t>
  </si>
  <si>
    <t>Rp. 8.418.604.843,00</t>
  </si>
  <si>
    <t>Rp. 6.999.997.521,55</t>
  </si>
  <si>
    <t>Rp. 3.392.585.477,60</t>
  </si>
  <si>
    <t>Rp. 2.199.952.576,80</t>
  </si>
  <si>
    <t>Rp. 19.420.956.181,28</t>
  </si>
  <si>
    <t>Rp. 12.218.792.334,10</t>
  </si>
  <si>
    <t>Rp. 1.079.280.525,71</t>
  </si>
  <si>
    <t>Rp. 11.217.900.043,90</t>
  </si>
  <si>
    <t>Rp. 11.706.900.202,98</t>
  </si>
  <si>
    <t>Rp. 14.278.850.671,03</t>
  </si>
  <si>
    <t>Rp. 1.245.000.000,00</t>
  </si>
  <si>
    <t>Rp. 499.510.000,00</t>
  </si>
  <si>
    <t>Rp. 374.550.000,00</t>
  </si>
  <si>
    <t>Rp. 299.035.000,00</t>
  </si>
  <si>
    <t>Rp. 499.998.950,00</t>
  </si>
  <si>
    <t>Rp. 349.998.550,00</t>
  </si>
  <si>
    <t>Rp. 249.018.000,00</t>
  </si>
  <si>
    <t>Rp. 471.350.000,00</t>
  </si>
  <si>
    <t>Rp. 314.930.000,00</t>
  </si>
  <si>
    <t>Rp. 5.493.000.000,00</t>
  </si>
  <si>
    <t>Rp. 173.690.000,00</t>
  </si>
  <si>
    <t>Rp. 296.945.000,00</t>
  </si>
  <si>
    <t>Rp. 492.690.000,00</t>
  </si>
  <si>
    <t>Rp. 1.397.500.000,00</t>
  </si>
  <si>
    <t>Rp. 510.015.000,00</t>
  </si>
  <si>
    <t>Rp. 304.243.500,00</t>
  </si>
  <si>
    <t>Rp. 696.685.000,00</t>
  </si>
  <si>
    <t>Rp. 506.220.000,00</t>
  </si>
  <si>
    <t>Rp. 512.875.000,00</t>
  </si>
  <si>
    <t>Rp. 499.565.000,00</t>
  </si>
  <si>
    <t>Rp. 522.225.000,00</t>
  </si>
  <si>
    <t>Rp. 513.865.000,00</t>
  </si>
  <si>
    <t>Rp. 504.955.000,00</t>
  </si>
  <si>
    <t>Rp. 472.230.000,00</t>
  </si>
  <si>
    <t>Rp. 509.520.000,00</t>
  </si>
  <si>
    <t>Rp. 506.770.000,00</t>
  </si>
  <si>
    <t>Rp. 505.670.000,00</t>
  </si>
  <si>
    <t>Rp. 513.315.000,00</t>
  </si>
  <si>
    <t>Rp. 513.139.000,00</t>
  </si>
  <si>
    <t>Rp. 517.220.000,00</t>
  </si>
  <si>
    <t>Rp. 506.385.000,00</t>
  </si>
  <si>
    <t>Rp. 601.865.000,00</t>
  </si>
  <si>
    <t>Rp. 513.645.000,00</t>
  </si>
  <si>
    <t>Rp. 226.037.496,99</t>
  </si>
  <si>
    <t>Rp. 515.405.000,00</t>
  </si>
  <si>
    <t>Rp. 342.398.704,93</t>
  </si>
  <si>
    <t>Rp. 3.960.855.084,61</t>
  </si>
  <si>
    <t>Rp. 1.894.367.688,31</t>
  </si>
  <si>
    <t>Rp. 249.810.000,00</t>
  </si>
  <si>
    <t>Rp. 124.399.000,00</t>
  </si>
  <si>
    <t>Rp. 806.492.500,00</t>
  </si>
  <si>
    <t>Rp. 897.864.000,00</t>
  </si>
  <si>
    <t>Rp. 1.312.200.750,00</t>
  </si>
  <si>
    <t>Rp. 499.922.500,00</t>
  </si>
  <si>
    <t>Rp. 799.975.000,00</t>
  </si>
  <si>
    <t>Rp. 799.980.500,00</t>
  </si>
  <si>
    <t>Rp. 299.953.500,00</t>
  </si>
  <si>
    <t>Rp. 399.999.600,00</t>
  </si>
  <si>
    <t>Rp. 1.499.481.500,00</t>
  </si>
  <si>
    <t>Rp. 417.765.043,30</t>
  </si>
  <si>
    <t>Rp. 448.415.000,00</t>
  </si>
  <si>
    <t>Rp. 214.290.000,00</t>
  </si>
  <si>
    <t>Rp. 3.332.603.890,00</t>
  </si>
  <si>
    <t>Rp. 273.240.000,00</t>
  </si>
  <si>
    <t>Rp. 674.631.800,00</t>
  </si>
  <si>
    <t>Rp. 504.983.196,00</t>
  </si>
  <si>
    <t>Rp. 999.955.000,00</t>
  </si>
  <si>
    <t>Rp. 749.980.000,00</t>
  </si>
  <si>
    <t>Rp. 835.285.000,00</t>
  </si>
  <si>
    <t>Rp. 851.400.000,00</t>
  </si>
  <si>
    <t>Rp. 1.188.805.800,00</t>
  </si>
  <si>
    <t>Rp. 4.654.500.000,00</t>
  </si>
  <si>
    <t>Rp. 632.449.339,06</t>
  </si>
  <si>
    <t>Rp. 577.000.000,00</t>
  </si>
  <si>
    <t>Rp. 524.734.798,50</t>
  </si>
  <si>
    <t>Rp. 499.990.000,00</t>
  </si>
  <si>
    <t>Rp. 430.231.800,00</t>
  </si>
  <si>
    <t>Rp. 554.719.000,00</t>
  </si>
  <si>
    <t>Rp. 252.549.000,00</t>
  </si>
  <si>
    <t>Rp. 692.400.000,00</t>
  </si>
  <si>
    <t>Rp. 819.752.400,00</t>
  </si>
  <si>
    <t>Rp. 421.194.000,00</t>
  </si>
  <si>
    <t>Rp. 499.250.592,50</t>
  </si>
  <si>
    <t>Rp. 1.559.310.400,00</t>
  </si>
  <si>
    <t>Rp. 516.891.375,00</t>
  </si>
  <si>
    <t>Rp. 370.900.772,00</t>
  </si>
  <si>
    <t>Rp. 5.802.893.800,00</t>
  </si>
  <si>
    <t>Rp. 2.000.554.000,00</t>
  </si>
  <si>
    <t xml:space="preserve">CV. UNIVERSAL STUDIO </t>
  </si>
  <si>
    <t xml:space="preserve">CV.MAHARANI </t>
  </si>
  <si>
    <t xml:space="preserve">abdi jasa tama </t>
  </si>
  <si>
    <t xml:space="preserve">CV. ZULTAN DEWATA </t>
  </si>
  <si>
    <t xml:space="preserve">abyze khatulistiwa </t>
  </si>
  <si>
    <t xml:space="preserve">CV KPGR Mandiri </t>
  </si>
  <si>
    <t xml:space="preserve">CV. Mandiri Jaya </t>
  </si>
  <si>
    <t xml:space="preserve">ADHI MULYA PERKASA </t>
  </si>
  <si>
    <t xml:space="preserve">Cv Tetra Kumala </t>
  </si>
  <si>
    <t xml:space="preserve">Aerocom Jenco Indonesia </t>
  </si>
  <si>
    <t xml:space="preserve">cv. elfana buana </t>
  </si>
  <si>
    <t xml:space="preserve">AGUSTA </t>
  </si>
  <si>
    <t xml:space="preserve">PT AZARETHA HANA MEGATRADING </t>
  </si>
  <si>
    <t xml:space="preserve">PT. CAKRA KEJORA MANDIRI </t>
  </si>
  <si>
    <t xml:space="preserve">Alam Kapuas Persada, PT </t>
  </si>
  <si>
    <t xml:space="preserve">PT Hyundai Mobil Indonesia </t>
  </si>
  <si>
    <t xml:space="preserve">PT. Sinar Memossa Pratama </t>
  </si>
  <si>
    <t xml:space="preserve">ALAM PERKASA </t>
  </si>
  <si>
    <t xml:space="preserve">PT.Tamaro Jaya Indonesia </t>
  </si>
  <si>
    <t xml:space="preserve">CV. Ambulance Pintar Indonesia </t>
  </si>
  <si>
    <t xml:space="preserve">PT. RADITA AUTOPRIMA </t>
  </si>
  <si>
    <t xml:space="preserve">PT.Restu Mahkota Karya </t>
  </si>
  <si>
    <t xml:space="preserve">PT.RAJAWALI GUNUNG PERKASA </t>
  </si>
  <si>
    <t xml:space="preserve">CV. RAJAWALI SAKTI </t>
  </si>
  <si>
    <t xml:space="preserve">CV. IQBAL BERSAUDARA </t>
  </si>
  <si>
    <t xml:space="preserve">CV. DELAPAN BELAS </t>
  </si>
  <si>
    <t xml:space="preserve">ishana kokka </t>
  </si>
  <si>
    <t xml:space="preserve">CV.SUMBER ABADI </t>
  </si>
  <si>
    <t xml:space="preserve">cv Tunisanga </t>
  </si>
  <si>
    <t xml:space="preserve">PT. MULTI MAJU SEJAHTERA </t>
  </si>
  <si>
    <t xml:space="preserve">CV. DARELWAN PRATAMA </t>
  </si>
  <si>
    <t xml:space="preserve">Alam Raya Banuaka </t>
  </si>
  <si>
    <t xml:space="preserve">CV. TIARA MAKMUR </t>
  </si>
  <si>
    <t xml:space="preserve">ALFIAN DINAMIKA ENGINEER </t>
  </si>
  <si>
    <t xml:space="preserve">Kreasi Lebah Multimedia </t>
  </si>
  <si>
    <t xml:space="preserve">Triandi Nusantara </t>
  </si>
  <si>
    <t xml:space="preserve">PT. ASSAMANTA PUTRA MANDOLLO </t>
  </si>
  <si>
    <t xml:space="preserve">CV. Mitra Anugerah Prima </t>
  </si>
  <si>
    <t xml:space="preserve">NARISKI </t>
  </si>
  <si>
    <t xml:space="preserve">izzata </t>
  </si>
  <si>
    <t xml:space="preserve">Global Prima Solusi </t>
  </si>
  <si>
    <t xml:space="preserve">cv. gading mas </t>
  </si>
  <si>
    <t xml:space="preserve">CV. Elektra Anugerah </t>
  </si>
  <si>
    <t xml:space="preserve">CV. DELTA KHARISMA </t>
  </si>
  <si>
    <t xml:space="preserve">PT. Sarana Global Berdikari </t>
  </si>
  <si>
    <t xml:space="preserve">CV. Jaya Makmur Berdikari </t>
  </si>
  <si>
    <t xml:space="preserve">Vinusa Teknindo Abadi </t>
  </si>
  <si>
    <t xml:space="preserve">CV. PUTERA PRIANGAN </t>
  </si>
  <si>
    <t xml:space="preserve">cv. global media </t>
  </si>
  <si>
    <t xml:space="preserve">cv wadah kreasi utama </t>
  </si>
  <si>
    <t xml:space="preserve">CV.KENCANA AGUNG </t>
  </si>
  <si>
    <t xml:space="preserve">CV. Harpa Medusa </t>
  </si>
  <si>
    <t xml:space="preserve">CV.Bersaudara </t>
  </si>
  <si>
    <t xml:space="preserve">PT Poin Plus Digital </t>
  </si>
  <si>
    <t xml:space="preserve">PT. WAHANA SOLUSI UTAMA </t>
  </si>
  <si>
    <t xml:space="preserve">CV. JAYASHREE </t>
  </si>
  <si>
    <t xml:space="preserve">CV. Alkenza Mandiri </t>
  </si>
  <si>
    <t xml:space="preserve">CV.GUPALA </t>
  </si>
  <si>
    <t xml:space="preserve">CV. KUDA MAS </t>
  </si>
  <si>
    <t xml:space="preserve">CV. AQSA </t>
  </si>
  <si>
    <t xml:space="preserve">PT ANUGERAH SINTAS BESTARI </t>
  </si>
  <si>
    <t xml:space="preserve">ANAGATA HARUKI </t>
  </si>
  <si>
    <t xml:space="preserve">CV. ANUGRAH DUA PUTRA </t>
  </si>
  <si>
    <t xml:space="preserve">ANDI JAYA,CV </t>
  </si>
  <si>
    <t xml:space="preserve">CV. ANUTAPURA </t>
  </si>
  <si>
    <t xml:space="preserve">ANEKA SINAR KARYA </t>
  </si>
  <si>
    <t xml:space="preserve">CV. MAHESA </t>
  </si>
  <si>
    <t xml:space="preserve">Angkasa Wana </t>
  </si>
  <si>
    <t xml:space="preserve">CV. KHARISMANTARA </t>
  </si>
  <si>
    <t xml:space="preserve">Angkawijaya Ari Putra </t>
  </si>
  <si>
    <t xml:space="preserve">PRIMA JASA </t>
  </si>
  <si>
    <t xml:space="preserve">CV. KARTIKA SARI </t>
  </si>
  <si>
    <t xml:space="preserve">CV.Berkah Air Kapuas </t>
  </si>
  <si>
    <t xml:space="preserve">anugerah berkah bersama </t>
  </si>
  <si>
    <t xml:space="preserve">PT. KALIMANTAN INTERCONECSI </t>
  </si>
  <si>
    <t xml:space="preserve">ANUGERAH PRIMA MANGGALA </t>
  </si>
  <si>
    <t xml:space="preserve">CV. Bima Berjaya </t>
  </si>
  <si>
    <t xml:space="preserve">PT. TRIMEGA INDO ABYUDAYA </t>
  </si>
  <si>
    <t xml:space="preserve">ANUGRAH CAHAYA BERKAT </t>
  </si>
  <si>
    <t xml:space="preserve">CV.SARANA MULIA </t>
  </si>
  <si>
    <t xml:space="preserve">anugrah wijaya </t>
  </si>
  <si>
    <t xml:space="preserve">CV. KARYA AZKA SENTOSA </t>
  </si>
  <si>
    <t xml:space="preserve">CV ABADI JAYA LESTARI </t>
  </si>
  <si>
    <t xml:space="preserve">CV. INDO TEKNIK KARYATAMA </t>
  </si>
  <si>
    <t xml:space="preserve">CV. INDO GLOBAL PRATAMA </t>
  </si>
  <si>
    <t xml:space="preserve">CV.Ragil Bersaudara </t>
  </si>
  <si>
    <t xml:space="preserve">MITRA HANDAYANI </t>
  </si>
  <si>
    <t xml:space="preserve">Api Pancasila </t>
  </si>
  <si>
    <t xml:space="preserve">ATILLA JAYA </t>
  </si>
  <si>
    <t xml:space="preserve">APP PUTRA PERMANA </t>
  </si>
  <si>
    <t xml:space="preserve">CV. SANDES </t>
  </si>
  <si>
    <t xml:space="preserve">ardiana dwi yasa consultant.pt </t>
  </si>
  <si>
    <t xml:space="preserve">CV. ADIBA KARYA BAUNTUNG </t>
  </si>
  <si>
    <t xml:space="preserve">Ariesta Sukses Makmur </t>
  </si>
  <si>
    <t xml:space="preserve">CV. Siroja Marga Persada </t>
  </si>
  <si>
    <t xml:space="preserve">Arion Indonesia </t>
  </si>
  <si>
    <t xml:space="preserve">Swandi Karya. CV </t>
  </si>
  <si>
    <t xml:space="preserve">ARKAN DZAKY PERKASA, CV </t>
  </si>
  <si>
    <t xml:space="preserve">BORNEO BARAT SEMESTA </t>
  </si>
  <si>
    <t xml:space="preserve">CV. ARTA BANYU ALAM </t>
  </si>
  <si>
    <t xml:space="preserve">Nada Cipta Kreasi </t>
  </si>
  <si>
    <t xml:space="preserve">PT. BHISMA MITRA KONSTRUKSI </t>
  </si>
  <si>
    <t xml:space="preserve">nurul iqwah </t>
  </si>
  <si>
    <t xml:space="preserve">CV. DEVITA SEJATI </t>
  </si>
  <si>
    <t xml:space="preserve">CV. MAULANA BERKAH SEJAHTERA </t>
  </si>
  <si>
    <t xml:space="preserve">CV. MITRA ALFA OMEGA BAMAYAK </t>
  </si>
  <si>
    <t xml:space="preserve">CV Transforma Jaya Konstruksi </t>
  </si>
  <si>
    <t xml:space="preserve">Armudi Pradana Konsultan.PT </t>
  </si>
  <si>
    <t xml:space="preserve">BINTANG ARIES </t>
  </si>
  <si>
    <t xml:space="preserve">SURYANTI </t>
  </si>
  <si>
    <t xml:space="preserve">CV. KAYAR TAMA </t>
  </si>
  <si>
    <t xml:space="preserve">cv.duta alam </t>
  </si>
  <si>
    <t xml:space="preserve">CV. GALA MAKMUR SEJATI </t>
  </si>
  <si>
    <t xml:space="preserve">CV. PUTRI NANDIA PRATAMA </t>
  </si>
  <si>
    <t xml:space="preserve">CV. Mitra Pabayo </t>
  </si>
  <si>
    <t xml:space="preserve">CV. ANAK PULAU </t>
  </si>
  <si>
    <t xml:space="preserve">CV. HAFIDZ HANIEF PERKASA </t>
  </si>
  <si>
    <t xml:space="preserve">CV. MADANI </t>
  </si>
  <si>
    <t xml:space="preserve">cv catur inti sarana </t>
  </si>
  <si>
    <t xml:space="preserve">CV. ERA PRIBUMI </t>
  </si>
  <si>
    <t xml:space="preserve">CV. BAYAN </t>
  </si>
  <si>
    <t xml:space="preserve">CV. KIRBY </t>
  </si>
  <si>
    <t xml:space="preserve">CV. ZEE INDO ARTHA </t>
  </si>
  <si>
    <t xml:space="preserve">ARTA GUNA </t>
  </si>
  <si>
    <t xml:space="preserve">CV.ADJISARANA </t>
  </si>
  <si>
    <t xml:space="preserve">Arta Pusaka Solusi </t>
  </si>
  <si>
    <t xml:space="preserve">ARZAKI PERKASA </t>
  </si>
  <si>
    <t xml:space="preserve">CV. Batu Beling </t>
  </si>
  <si>
    <t xml:space="preserve">SINDO PUTRA MANDIRI </t>
  </si>
  <si>
    <t xml:space="preserve">CV. ZUHRIE SEJAHTERA </t>
  </si>
  <si>
    <t xml:space="preserve">CV. BAYU SARANA </t>
  </si>
  <si>
    <t xml:space="preserve">CV. Krisna Perkasa </t>
  </si>
  <si>
    <t xml:space="preserve">CV. BELA PRATAMA </t>
  </si>
  <si>
    <t xml:space="preserve">CV. KARYA MULTI TALENTA </t>
  </si>
  <si>
    <t xml:space="preserve">Askon Multi Jasa, PT </t>
  </si>
  <si>
    <t xml:space="preserve">CV GOLDEN CAHAYA MANDIRI </t>
  </si>
  <si>
    <t xml:space="preserve">CV.ARTA BORNEO </t>
  </si>
  <si>
    <t xml:space="preserve">CV. MULTI PERKASA </t>
  </si>
  <si>
    <t xml:space="preserve">CV. LAMTORO KETAPANG </t>
  </si>
  <si>
    <t xml:space="preserve">CV. HASEA KONSTRUKSI </t>
  </si>
  <si>
    <t xml:space="preserve">cv. atlas </t>
  </si>
  <si>
    <t xml:space="preserve">PT. ARONY DUTA INDOTAMA </t>
  </si>
  <si>
    <t xml:space="preserve">PT. Karisma Indo Karya </t>
  </si>
  <si>
    <t xml:space="preserve">CV. Mekar Sari Borneo </t>
  </si>
  <si>
    <t xml:space="preserve">ASSIFA AGRO MANDIRI </t>
  </si>
  <si>
    <t xml:space="preserve">CV. TIGA SAUDARA </t>
  </si>
  <si>
    <t xml:space="preserve">PEMBARAYA BORNEO </t>
  </si>
  <si>
    <t xml:space="preserve">CV. MAJU BERSAMA </t>
  </si>
  <si>
    <t xml:space="preserve">CV ARYANDA ADITYA </t>
  </si>
  <si>
    <t xml:space="preserve">CV. RISA ABADI </t>
  </si>
  <si>
    <t xml:space="preserve">CV. Jaya Assih </t>
  </si>
  <si>
    <t xml:space="preserve">ATTAYA KARYA </t>
  </si>
  <si>
    <t xml:space="preserve">CV. YU TA KA </t>
  </si>
  <si>
    <t xml:space="preserve">CV. Aurora Timur </t>
  </si>
  <si>
    <t xml:space="preserve">BAHTRA JASA KONSUL TEKNIK </t>
  </si>
  <si>
    <t xml:space="preserve">PT. SUMISMU </t>
  </si>
  <si>
    <t xml:space="preserve">CV. DIMAS PUTRA BANGSA </t>
  </si>
  <si>
    <t xml:space="preserve">CV.STARLIGHT INDONESIA </t>
  </si>
  <si>
    <t xml:space="preserve">CV. ELANG PRATAMA </t>
  </si>
  <si>
    <t xml:space="preserve">CV. HERBA </t>
  </si>
  <si>
    <t xml:space="preserve">BERKAT DARMAWAN </t>
  </si>
  <si>
    <t xml:space="preserve">PT. KAPUAS MELAWI RAYA </t>
  </si>
  <si>
    <t xml:space="preserve">CV. WAHYU PURBODADI SUMBER REJEKI </t>
  </si>
  <si>
    <t xml:space="preserve">CV. CITRA GEMILANG PRATAMA </t>
  </si>
  <si>
    <t xml:space="preserve">cv. SALSA PUTRI CEMPAKA </t>
  </si>
  <si>
    <t xml:space="preserve">CV. RATU ASSYIFA </t>
  </si>
  <si>
    <t xml:space="preserve">CV. FAJAR REZEKI </t>
  </si>
  <si>
    <t xml:space="preserve">PT. SELARAS USAHA BERSAMA </t>
  </si>
  <si>
    <t xml:space="preserve">BATANG KARANG </t>
  </si>
  <si>
    <t xml:space="preserve">PT. HARAPAN JAYA RARON </t>
  </si>
  <si>
    <t xml:space="preserve">PT. Kokoh Contractor Indonesia </t>
  </si>
  <si>
    <t xml:space="preserve">BATARA SAKTI, CV </t>
  </si>
  <si>
    <t xml:space="preserve">CV.AFDHAL HAIKAL ZACKY </t>
  </si>
  <si>
    <t xml:space="preserve">CV. KOLEGA KARYA UTAMA </t>
  </si>
  <si>
    <t xml:space="preserve">Cv. Makmur Permata Lestari </t>
  </si>
  <si>
    <t xml:space="preserve">DUTA KHATULISTIWA </t>
  </si>
  <si>
    <t xml:space="preserve">CV. ASYIFA MANDIRI PRATAMA </t>
  </si>
  <si>
    <t xml:space="preserve">CV.YASA KHATULISTIWA </t>
  </si>
  <si>
    <t xml:space="preserve">CV. Khatulistiwa Maju </t>
  </si>
  <si>
    <t xml:space="preserve">CV. Khadafi Putra Konstruksi </t>
  </si>
  <si>
    <t xml:space="preserve">PT. CIPTA ADHI BORNEO SEMPURNA </t>
  </si>
  <si>
    <t xml:space="preserve">CV. ADEMARO </t>
  </si>
  <si>
    <t xml:space="preserve">CV. EL KHANZA </t>
  </si>
  <si>
    <t xml:space="preserve">PT. KARYA PEMBANGUNAN REZKI </t>
  </si>
  <si>
    <t xml:space="preserve">CV. NUR WAHYU RESKY </t>
  </si>
  <si>
    <t xml:space="preserve">CV. TAUFIK AKBAR </t>
  </si>
  <si>
    <t xml:space="preserve">CV. HANADIFA ADHI PERKASA </t>
  </si>
  <si>
    <t xml:space="preserve">PT. KARTIKA SARI SEJAHTERA </t>
  </si>
  <si>
    <t xml:space="preserve">PT. Alam Lening </t>
  </si>
  <si>
    <t xml:space="preserve">cv restu athalamulia </t>
  </si>
  <si>
    <t xml:space="preserve">CV.ABAH </t>
  </si>
  <si>
    <t xml:space="preserve">CV. KARYA BANGSA </t>
  </si>
  <si>
    <t xml:space="preserve">cv. kemilau karya konstruksi </t>
  </si>
  <si>
    <t xml:space="preserve">CV. ERSIA </t>
  </si>
  <si>
    <t xml:space="preserve">DUTA PARMA </t>
  </si>
  <si>
    <t xml:space="preserve">Cv. Setara bangun 88 </t>
  </si>
  <si>
    <t xml:space="preserve">Tiga Belas Kreasindo </t>
  </si>
  <si>
    <t xml:space="preserve">Cv. Prisma Mulya </t>
  </si>
  <si>
    <t xml:space="preserve">CV. TRIGALAXY </t>
  </si>
  <si>
    <t xml:space="preserve">cv cahaya mandiri </t>
  </si>
  <si>
    <t xml:space="preserve">BINAWIRA SATYAMANDIRI </t>
  </si>
  <si>
    <t xml:space="preserve">CV. BERKAH SURYA </t>
  </si>
  <si>
    <t xml:space="preserve">CV.ANDROMEDA </t>
  </si>
  <si>
    <t xml:space="preserve">CV BUMI KARYA </t>
  </si>
  <si>
    <t xml:space="preserve">CV. RAJAWALI TEKNINDO UTAMA </t>
  </si>
  <si>
    <t xml:space="preserve">CV . MURAKABI ABADI </t>
  </si>
  <si>
    <t xml:space="preserve">PT.PILAR BERLIAN ABADI </t>
  </si>
  <si>
    <t xml:space="preserve">Batu Permata Indah </t>
  </si>
  <si>
    <t xml:space="preserve">BAYARO AQZASA SUSEMURU, CV </t>
  </si>
  <si>
    <t xml:space="preserve">CV. RIVA PUTRA </t>
  </si>
  <si>
    <t xml:space="preserve">CV. HAIKAL DWI KARYA </t>
  </si>
  <si>
    <t xml:space="preserve">BERJAYA </t>
  </si>
  <si>
    <t xml:space="preserve">CV. KARYA KENCANA </t>
  </si>
  <si>
    <t xml:space="preserve">VARIA TEKNIKINDO </t>
  </si>
  <si>
    <t xml:space="preserve">PT. CIPTA BERKAH SURYA </t>
  </si>
  <si>
    <t xml:space="preserve">PT. Intermedia Teknologi Infotama </t>
  </si>
  <si>
    <t xml:space="preserve">cv az zahra </t>
  </si>
  <si>
    <t xml:space="preserve">CV. NAMAL ALMUBARAKA </t>
  </si>
  <si>
    <t xml:space="preserve">CV. MERAPI JAYA ABADI </t>
  </si>
  <si>
    <t xml:space="preserve">PT INTISAR RIZKY UTAMA </t>
  </si>
  <si>
    <t xml:space="preserve">Syawal Surya Cemerlang </t>
  </si>
  <si>
    <t xml:space="preserve">BERKAH TIARA </t>
  </si>
  <si>
    <t xml:space="preserve">PT. ARKANINDO MEGA SOLUSI </t>
  </si>
  <si>
    <t xml:space="preserve">CV IDEKITE INDONESIA </t>
  </si>
  <si>
    <t xml:space="preserve">CV BERKAT ANUGRAH SAMBAS </t>
  </si>
  <si>
    <t xml:space="preserve">CV. Borneo Advertising </t>
  </si>
  <si>
    <t xml:space="preserve">CV. ARTHA ENGINEERING </t>
  </si>
  <si>
    <t xml:space="preserve">BERKAT ANUGRAH </t>
  </si>
  <si>
    <t xml:space="preserve">PT. ALGORITMA SOLUSI DIGITAL </t>
  </si>
  <si>
    <t xml:space="preserve">cv.matra kanzha lestari </t>
  </si>
  <si>
    <t xml:space="preserve">CV. CHI BEL </t>
  </si>
  <si>
    <t xml:space="preserve">PT.ENGGAL BERSAUDARA JAYA </t>
  </si>
  <si>
    <t xml:space="preserve">CV. Ardhi Multiguna </t>
  </si>
  <si>
    <t xml:space="preserve">CV.Fachri </t>
  </si>
  <si>
    <t xml:space="preserve">CV. BATULAYANG SAKTI </t>
  </si>
  <si>
    <t xml:space="preserve">CV. CAHAYA PURNAMA </t>
  </si>
  <si>
    <t xml:space="preserve">CV. ANTIFA </t>
  </si>
  <si>
    <t xml:space="preserve">CV. MAKMUR ABADI SEJAHTERA </t>
  </si>
  <si>
    <t xml:space="preserve">CV. BYANTARA SAKTI </t>
  </si>
  <si>
    <t xml:space="preserve">CV. KARYA DUA SAUDARA </t>
  </si>
  <si>
    <t xml:space="preserve">PT RAIH PRESTASI MANDIRI </t>
  </si>
  <si>
    <t xml:space="preserve">PT. PAULI PERSADA </t>
  </si>
  <si>
    <t xml:space="preserve">CV. ALISYA PUTRI MANDIRI </t>
  </si>
  <si>
    <t xml:space="preserve">PT. Dunia Pemadam Indonesia </t>
  </si>
  <si>
    <t xml:space="preserve">CV. WIRATAMA SURYA PACIFIK </t>
  </si>
  <si>
    <t xml:space="preserve">PT.TRISUKSES PERMATA </t>
  </si>
  <si>
    <t xml:space="preserve">CV. HANEMA </t>
  </si>
  <si>
    <t xml:space="preserve">PT. Lintex Persada Indonesia </t>
  </si>
  <si>
    <t xml:space="preserve">M.M. SAMICO </t>
  </si>
  <si>
    <t xml:space="preserve">CV. BERKAH KALIMANTAN INDONESIA </t>
  </si>
  <si>
    <t xml:space="preserve">CV PELANGI BIRU </t>
  </si>
  <si>
    <t xml:space="preserve">PT. JONATHAN BARU </t>
  </si>
  <si>
    <t xml:space="preserve">CV Jaya Dewi </t>
  </si>
  <si>
    <t xml:space="preserve">cvazmijaya </t>
  </si>
  <si>
    <t xml:space="preserve">CV. RAISA SATRIA </t>
  </si>
  <si>
    <t xml:space="preserve">cv. zurama indah perkasa </t>
  </si>
  <si>
    <t xml:space="preserve">maya anggita </t>
  </si>
  <si>
    <t xml:space="preserve">CV.SRI REZEKI ABADI </t>
  </si>
  <si>
    <t xml:space="preserve">CV. TRI MANDIRI UTAMA EK </t>
  </si>
  <si>
    <t xml:space="preserve">BETON PERKASA </t>
  </si>
  <si>
    <t xml:space="preserve">CV. YESA KUSUMA BANGSA </t>
  </si>
  <si>
    <t xml:space="preserve">RIFKY AGUNG PERKASA </t>
  </si>
  <si>
    <t xml:space="preserve">cv caca fortuna </t>
  </si>
  <si>
    <t xml:space="preserve">CV. TRI PUTRA </t>
  </si>
  <si>
    <t xml:space="preserve">BIAN PERDANA </t>
  </si>
  <si>
    <t xml:space="preserve">BIGDEDDY </t>
  </si>
  <si>
    <t xml:space="preserve">SURYA MANDIRI UTAMA </t>
  </si>
  <si>
    <t xml:space="preserve">BIMA SAKTI ANUGERAH </t>
  </si>
  <si>
    <t xml:space="preserve">DEOTERO, CV </t>
  </si>
  <si>
    <t xml:space="preserve">CV. Awan Tribuana Maju </t>
  </si>
  <si>
    <t xml:space="preserve">ZIDAN PUTRA PETIR </t>
  </si>
  <si>
    <t xml:space="preserve">CV. DARAS ANICANA </t>
  </si>
  <si>
    <t xml:space="preserve">CV. PUTRA KHATULISTIWA </t>
  </si>
  <si>
    <t xml:space="preserve">CV. Daun Khatulistiwa </t>
  </si>
  <si>
    <t xml:space="preserve">CV. NUSA LESTARI </t>
  </si>
  <si>
    <t xml:space="preserve">Mega Fortuna Co. </t>
  </si>
  <si>
    <t xml:space="preserve">CV. ARIN KARYA PERSADA </t>
  </si>
  <si>
    <t xml:space="preserve">CV.ANSWERS INDONESIA </t>
  </si>
  <si>
    <t xml:space="preserve">CV. HAMIZAN </t>
  </si>
  <si>
    <t xml:space="preserve">CV. AZKYA PERMATA </t>
  </si>
  <si>
    <t xml:space="preserve">PT. SRIMS NUSANTARA </t>
  </si>
  <si>
    <t xml:space="preserve">CV MAHAMERU CITRATAMA </t>
  </si>
  <si>
    <t xml:space="preserve">Bintang Satria </t>
  </si>
  <si>
    <t xml:space="preserve">CV. SUMBER BINA SEJATI </t>
  </si>
  <si>
    <t xml:space="preserve">PT. BAROKAH NUR BORNEO </t>
  </si>
  <si>
    <t xml:space="preserve">cv. hara </t>
  </si>
  <si>
    <t xml:space="preserve">CV. HASEA KARYA </t>
  </si>
  <si>
    <t xml:space="preserve">CV. Lima Lima (55) </t>
  </si>
  <si>
    <t xml:space="preserve">Generasi Biru </t>
  </si>
  <si>
    <t xml:space="preserve">ZAIN PUTRA </t>
  </si>
  <si>
    <t xml:space="preserve">TARAPON PILAR CV </t>
  </si>
  <si>
    <t xml:space="preserve">CV.Sarana Inti Plasma </t>
  </si>
  <si>
    <t xml:space="preserve">CV. Hijrah Corporation </t>
  </si>
  <si>
    <t xml:space="preserve">CV. Insan Jaya Rahayu </t>
  </si>
  <si>
    <t xml:space="preserve">SURYA TITIAN MANDIRI </t>
  </si>
  <si>
    <t xml:space="preserve">KASIH MULIA </t>
  </si>
  <si>
    <t xml:space="preserve">CV. BINA KARYA LESTARI </t>
  </si>
  <si>
    <t xml:space="preserve">CV. MUNCUL REZEKI BERSAUDARA </t>
  </si>
  <si>
    <t xml:space="preserve">PT. PUNCAK PERDANA NUSANTARA </t>
  </si>
  <si>
    <t xml:space="preserve">PT. Guntur Alam Perkasa </t>
  </si>
  <si>
    <t xml:space="preserve">PT. Moses Edgar Partogi Utama </t>
  </si>
  <si>
    <t xml:space="preserve">BINTANG GASARIBU </t>
  </si>
  <si>
    <t xml:space="preserve">CV. Mitra Horti Mandiri </t>
  </si>
  <si>
    <t xml:space="preserve">CV.REPANA DIVA PERKASA </t>
  </si>
  <si>
    <t xml:space="preserve">CV. ZIS KONSTRUKSI </t>
  </si>
  <si>
    <t xml:space="preserve">cahayatimur </t>
  </si>
  <si>
    <t xml:space="preserve">PT. Melawi Indah </t>
  </si>
  <si>
    <t xml:space="preserve">CV. ANUGERAH REKAYASA CONSTRUKSI </t>
  </si>
  <si>
    <t xml:space="preserve">CV. RESTU PRIMA UTAMA </t>
  </si>
  <si>
    <t xml:space="preserve">PT. AGREGAT MULTI PERKASA </t>
  </si>
  <si>
    <t xml:space="preserve">Fatwa Jaya </t>
  </si>
  <si>
    <t xml:space="preserve">cv.garuda putih </t>
  </si>
  <si>
    <t xml:space="preserve">CV. NAHIDHA ALIVIA </t>
  </si>
  <si>
    <t xml:space="preserve">BK </t>
  </si>
  <si>
    <t xml:space="preserve">CV. AREA CIPTA MANDIRI </t>
  </si>
  <si>
    <t xml:space="preserve">CV. JAYA LAKSANA PUTRA </t>
  </si>
  <si>
    <t xml:space="preserve">BODASA GEO INFORMASI </t>
  </si>
  <si>
    <t xml:space="preserve">BONIAGA MEKAR JAYA </t>
  </si>
  <si>
    <t xml:space="preserve">CV.MULTI KARUNIA </t>
  </si>
  <si>
    <t xml:space="preserve">cv.doa </t>
  </si>
  <si>
    <t xml:space="preserve">BOUCER INDEPENDENT </t>
  </si>
  <si>
    <t xml:space="preserve">cv. triton trisula </t>
  </si>
  <si>
    <t xml:space="preserve">CV. PUTRA PRAVASTA </t>
  </si>
  <si>
    <t xml:space="preserve">CV LINE </t>
  </si>
  <si>
    <t xml:space="preserve">CV. BINTANG TERANG </t>
  </si>
  <si>
    <t xml:space="preserve">BUNDA AULIA, CV </t>
  </si>
  <si>
    <t xml:space="preserve">Cahaya Diagram Konsultan CV </t>
  </si>
  <si>
    <t xml:space="preserve">CV. Gibran </t>
  </si>
  <si>
    <t xml:space="preserve">CV. KREASI LESTARI </t>
  </si>
  <si>
    <t xml:space="preserve">UD. PRATAMA MULYA </t>
  </si>
  <si>
    <t xml:space="preserve">PT UTAMA RAYA MOTOR INDUSTRY </t>
  </si>
  <si>
    <t xml:space="preserve">PT.ALMAAS BORNEO JAYA </t>
  </si>
  <si>
    <t xml:space="preserve">PT. ANUGRAH GLOBAL TEKNOLOGI </t>
  </si>
  <si>
    <t xml:space="preserve">CV. Terra Madre Nusantara </t>
  </si>
  <si>
    <t xml:space="preserve">CV. Arcitif Jaya Makmur </t>
  </si>
  <si>
    <t xml:space="preserve">CV. TRI DEWI MEDIKA JAYA </t>
  </si>
  <si>
    <t xml:space="preserve">CAHAYA ELDIA KARYA </t>
  </si>
  <si>
    <t xml:space="preserve">CV. VIENKHA PERMATA </t>
  </si>
  <si>
    <t xml:space="preserve">CV INDO SHOONEN </t>
  </si>
  <si>
    <t xml:space="preserve">cemara </t>
  </si>
  <si>
    <t xml:space="preserve">CHOLANXCHALINX </t>
  </si>
  <si>
    <t xml:space="preserve">CV. RICHARDO JAYA </t>
  </si>
  <si>
    <t xml:space="preserve">CIPTA MANDIRI </t>
  </si>
  <si>
    <t xml:space="preserve">CIPTA MULTI PLANNER </t>
  </si>
  <si>
    <t xml:space="preserve">CITRA HARMONI </t>
  </si>
  <si>
    <t xml:space="preserve">PT LARAS JAYA BERSAMA </t>
  </si>
  <si>
    <t xml:space="preserve">CITRA AGUNG </t>
  </si>
  <si>
    <t xml:space="preserve">CV.Pra_Jaya </t>
  </si>
  <si>
    <t xml:space="preserve">CV. AGRO BANGUN PERTIWI </t>
  </si>
  <si>
    <t xml:space="preserve">CV . DAMAI BUMI PERSADA </t>
  </si>
  <si>
    <t xml:space="preserve">CV. NILAM SAKTI </t>
  </si>
  <si>
    <t xml:space="preserve">CV DHEMAR KORONG ABADI </t>
  </si>
  <si>
    <t xml:space="preserve">CV. ISYAFILLAH UNICORNS </t>
  </si>
  <si>
    <t xml:space="preserve">PT.SADHYA GRAHACARA </t>
  </si>
  <si>
    <t xml:space="preserve">PT. Prades Indo Darren </t>
  </si>
  <si>
    <t xml:space="preserve">CV.ABIDVIA KONSULTAN </t>
  </si>
  <si>
    <t xml:space="preserve">CV ADA NADA </t>
  </si>
  <si>
    <t xml:space="preserve">CV. BERSAMA KARYA </t>
  </si>
  <si>
    <t xml:space="preserve">CV. Zamrud Griya Kreasitama </t>
  </si>
  <si>
    <t xml:space="preserve">cv adisa </t>
  </si>
  <si>
    <t xml:space="preserve">CV.Absri Ananta Konsultan </t>
  </si>
  <si>
    <t xml:space="preserve">CV AHMAD JAYA ABADI </t>
  </si>
  <si>
    <t xml:space="preserve">PT. Tiara Pilar Kreasi </t>
  </si>
  <si>
    <t xml:space="preserve">CV AIR PAUH MANDIRI </t>
  </si>
  <si>
    <t xml:space="preserve">PT.CENDIKIA PRIMA CIPTA INDONESIA </t>
  </si>
  <si>
    <t xml:space="preserve">CV ANEKA KARYA </t>
  </si>
  <si>
    <t xml:space="preserve">cv. jatria graha karsa </t>
  </si>
  <si>
    <t xml:space="preserve">PT. BORNEO JASA KONSULTAN TEKNIK </t>
  </si>
  <si>
    <t xml:space="preserve">cv anugrah cipta mandiri </t>
  </si>
  <si>
    <t xml:space="preserve">CV. SARANA UTAMA KONSULTAN </t>
  </si>
  <si>
    <t xml:space="preserve">cv arie mandiri </t>
  </si>
  <si>
    <t xml:space="preserve">CV. KARYA ENDAH LESTARI </t>
  </si>
  <si>
    <t xml:space="preserve">CV ARTHA MAS KAYANA </t>
  </si>
  <si>
    <t xml:space="preserve">PT. Tata Perencana Kalbar </t>
  </si>
  <si>
    <t xml:space="preserve">PT. DGEA PRAMUDITA </t>
  </si>
  <si>
    <t xml:space="preserve">PT Urban Plano Indonesia </t>
  </si>
  <si>
    <t xml:space="preserve">PT. Citra Diamanta Khatulistiwa </t>
  </si>
  <si>
    <t xml:space="preserve">PT INKA MULTI SOLUSI CONSULTING </t>
  </si>
  <si>
    <t xml:space="preserve">JAVA BIMA CITRA, CV </t>
  </si>
  <si>
    <t xml:space="preserve">SKETSA TEKNIK </t>
  </si>
  <si>
    <t xml:space="preserve">CV. LAESA MULTI JASA </t>
  </si>
  <si>
    <t xml:space="preserve">CV. ERA JAYA UTAMA </t>
  </si>
  <si>
    <t xml:space="preserve">POROS TATA RENCANA </t>
  </si>
  <si>
    <t xml:space="preserve">CV. PRISMA KONSTRUKSI </t>
  </si>
  <si>
    <t xml:space="preserve">CV. TAVIYASA PUTRA </t>
  </si>
  <si>
    <t xml:space="preserve">PT. TRIAS ERISKO KONSULTAN </t>
  </si>
  <si>
    <t xml:space="preserve">PT. DANU PRATAMA KONSULTAN </t>
  </si>
  <si>
    <t xml:space="preserve">CV. Absis Wahana Eureka </t>
  </si>
  <si>
    <t xml:space="preserve">CV. MARS KREASI </t>
  </si>
  <si>
    <t xml:space="preserve">CV. DWR UTAMA KALBAR </t>
  </si>
  <si>
    <t xml:space="preserve">cv azkya permata </t>
  </si>
  <si>
    <t xml:space="preserve">CV BELAR JAYA </t>
  </si>
  <si>
    <t xml:space="preserve">CV Berkah Alam Raya </t>
  </si>
  <si>
    <t xml:space="preserve">CV.ALFA BORNEO MANDIRI </t>
  </si>
  <si>
    <t xml:space="preserve">CV. JAYA BARATA </t>
  </si>
  <si>
    <t xml:space="preserve">MUTIARA REZEKI </t>
  </si>
  <si>
    <t xml:space="preserve">Cv berkat amanah orang </t>
  </si>
  <si>
    <t xml:space="preserve">CV. ADHI YOSA MANDIRI </t>
  </si>
  <si>
    <t xml:space="preserve">RAVANA </t>
  </si>
  <si>
    <t xml:space="preserve">cv.tujuh enam sarana </t>
  </si>
  <si>
    <t xml:space="preserve">PT. BAHANA CITRA KHATULISTIWA </t>
  </si>
  <si>
    <t xml:space="preserve">PT. MADYA JASA KONSULTAN </t>
  </si>
  <si>
    <t xml:space="preserve">PT. Tritunggal Rekayasa Khatulistiwa </t>
  </si>
  <si>
    <t xml:space="preserve">PT. Gumilang Sajati </t>
  </si>
  <si>
    <t xml:space="preserve">PT. DELLA SONTA MOULDING INTERNATIONAL </t>
  </si>
  <si>
    <t xml:space="preserve">CV. NILAM GRIYA UTAMA </t>
  </si>
  <si>
    <t xml:space="preserve">Sinergi Karya Utama. PT </t>
  </si>
  <si>
    <t xml:space="preserve">PT. REKANUSA PRACIPTA KONSULTINDO </t>
  </si>
  <si>
    <t xml:space="preserve">PT. INDAH KUSUMA JAYA </t>
  </si>
  <si>
    <t xml:space="preserve">Kurnia Citra Nusa, PT </t>
  </si>
  <si>
    <t xml:space="preserve">PT. FINI REKAYASA KONSULTAN </t>
  </si>
  <si>
    <t xml:space="preserve">CV.KHAZ MATRA </t>
  </si>
  <si>
    <t xml:space="preserve">CV. SUMA TRISAKA KREATIKA </t>
  </si>
  <si>
    <t xml:space="preserve">CV BUDI JAYA </t>
  </si>
  <si>
    <t xml:space="preserve">CV CAHAYA LANGIT KONSTRUKSI </t>
  </si>
  <si>
    <t xml:space="preserve">CV. ZENTHA MULTI PRAKARSA </t>
  </si>
  <si>
    <t xml:space="preserve">CV CAHAYA MAS SENTOSA </t>
  </si>
  <si>
    <t xml:space="preserve">CV CIPTA ATHIFA </t>
  </si>
  <si>
    <t xml:space="preserve">PT. PUNCAK MANDALA AGUNG </t>
  </si>
  <si>
    <t xml:space="preserve">CV. REYFA PRAMAGA </t>
  </si>
  <si>
    <t xml:space="preserve">PUTRA BURE SEJATI </t>
  </si>
  <si>
    <t xml:space="preserve">CV DITIMAW </t>
  </si>
  <si>
    <t xml:space="preserve">TATAKARSA KREASINDO </t>
  </si>
  <si>
    <t xml:space="preserve">CV. MUTIARA MEDIA </t>
  </si>
  <si>
    <t xml:space="preserve">CV. GHEA INGE </t>
  </si>
  <si>
    <t xml:space="preserve">cv duabelas tata perkasa </t>
  </si>
  <si>
    <t xml:space="preserve">CV. BINTANG RAYA DUA </t>
  </si>
  <si>
    <t xml:space="preserve">PT. Leriger Wara Ardaya </t>
  </si>
  <si>
    <t xml:space="preserve">CV. PUNCAK RAJAWALI </t>
  </si>
  <si>
    <t xml:space="preserve">PT. ARTHA GEMILANG NUSANTARA </t>
  </si>
  <si>
    <t xml:space="preserve">CV EMERAL MULIA SENTOSA </t>
  </si>
  <si>
    <t xml:space="preserve">CV GENERASI SATU HATI </t>
  </si>
  <si>
    <t xml:space="preserve">CV. CONCORDIA </t>
  </si>
  <si>
    <t xml:space="preserve">CV JAGAD RAYA </t>
  </si>
  <si>
    <t xml:space="preserve">CV Karya Berkah Sejahtera </t>
  </si>
  <si>
    <t xml:space="preserve">CV KARYA PESONA </t>
  </si>
  <si>
    <t xml:space="preserve">CV KARYA UTAMA </t>
  </si>
  <si>
    <t xml:space="preserve">CV KOMITMEN RELASI </t>
  </si>
  <si>
    <t xml:space="preserve">cv kurnia akbar </t>
  </si>
  <si>
    <t xml:space="preserve">CV Laras Sejati </t>
  </si>
  <si>
    <t xml:space="preserve">CV.SANG SAKA SEJATI </t>
  </si>
  <si>
    <t xml:space="preserve">cv maju khatulistiwa sejahtera </t>
  </si>
  <si>
    <t xml:space="preserve">CV. NOMA RAYA </t>
  </si>
  <si>
    <t xml:space="preserve">CV Maju Mapan </t>
  </si>
  <si>
    <t xml:space="preserve">CV MENARA ZAKI PRATAMA </t>
  </si>
  <si>
    <t xml:space="preserve">CV MENTARI BUNGA LAISA </t>
  </si>
  <si>
    <t xml:space="preserve">CV MITRA FAMILY </t>
  </si>
  <si>
    <t xml:space="preserve">CV. RIDHO UTAMA </t>
  </si>
  <si>
    <t xml:space="preserve">CV MULIA JAYA </t>
  </si>
  <si>
    <t xml:space="preserve">CV PANGKALAN BANGUN BORNEO BERKARYA </t>
  </si>
  <si>
    <t xml:space="preserve">CV PATI PRIMA MANDIRI </t>
  </si>
  <si>
    <t xml:space="preserve">CV.DUTA TIARA </t>
  </si>
  <si>
    <t xml:space="preserve">CV PUTRA LESMANA </t>
  </si>
  <si>
    <t xml:space="preserve">CV Ravon Jaya Sejahtera </t>
  </si>
  <si>
    <t xml:space="preserve">CV. ANUGRAH BERSAMA SAMBAS </t>
  </si>
  <si>
    <t xml:space="preserve">TEKAD MULYA </t>
  </si>
  <si>
    <t xml:space="preserve">CV.KIAT MANDIRI </t>
  </si>
  <si>
    <t xml:space="preserve">CV.MA'RIFAH BALQIS </t>
  </si>
  <si>
    <t xml:space="preserve">DELTANIA KONSTRUKSI </t>
  </si>
  <si>
    <t xml:space="preserve">CV RIANIS </t>
  </si>
  <si>
    <t xml:space="preserve">CV RIZCO DEANDRA </t>
  </si>
  <si>
    <t xml:space="preserve">CV RIZKI RIO ABADI </t>
  </si>
  <si>
    <t xml:space="preserve">CV Rizza </t>
  </si>
  <si>
    <t xml:space="preserve">cv rya sejati </t>
  </si>
  <si>
    <t xml:space="preserve">IKAL WIRA SEJAHTERA </t>
  </si>
  <si>
    <t xml:space="preserve">cv sekar bangun mandiri </t>
  </si>
  <si>
    <t xml:space="preserve">CV SIDODADI KATERING </t>
  </si>
  <si>
    <t xml:space="preserve">CV Sujawe Ininnawa </t>
  </si>
  <si>
    <t xml:space="preserve">CV TANAH EMAS </t>
  </si>
  <si>
    <t xml:space="preserve">cv teguh mandiri utama </t>
  </si>
  <si>
    <t xml:space="preserve">CV. Adipura Service Indo </t>
  </si>
  <si>
    <t xml:space="preserve">CV TIERENT </t>
  </si>
  <si>
    <t xml:space="preserve">CV. Delta Niaga </t>
  </si>
  <si>
    <t xml:space="preserve">CV.KAWAN LAMA </t>
  </si>
  <si>
    <t xml:space="preserve">CV. AMANAH JAYA GUNA </t>
  </si>
  <si>
    <t xml:space="preserve">cv.Cakra Buana </t>
  </si>
  <si>
    <t xml:space="preserve">CV. NILAM PRATAMA </t>
  </si>
  <si>
    <t xml:space="preserve">CV. RAJAWALI KARYA </t>
  </si>
  <si>
    <t xml:space="preserve">dwiraya makmur , CV </t>
  </si>
  <si>
    <t xml:space="preserve">CV. MARESTU SEMPURNA ABADI </t>
  </si>
  <si>
    <t xml:space="preserve">CV. AMIN JAYA LESTARI </t>
  </si>
  <si>
    <t xml:space="preserve">CV. KELAPA GADING </t>
  </si>
  <si>
    <t xml:space="preserve">CV. SINAR AGUNG </t>
  </si>
  <si>
    <t xml:space="preserve">cv.ayshadenira </t>
  </si>
  <si>
    <t xml:space="preserve">CV VILLA MAS </t>
  </si>
  <si>
    <t xml:space="preserve">cv wabillah </t>
  </si>
  <si>
    <t xml:space="preserve">CV.TUNAS HARAPAN UTAMA </t>
  </si>
  <si>
    <t xml:space="preserve">CV Willy Anggara Sakti </t>
  </si>
  <si>
    <t xml:space="preserve">cv. gasindo </t>
  </si>
  <si>
    <t xml:space="preserve">CV. VETINDO JAYA </t>
  </si>
  <si>
    <t xml:space="preserve">CV YAKIN MAKMUR </t>
  </si>
  <si>
    <t xml:space="preserve">CV. Energi Maju Bersama </t>
  </si>
  <si>
    <t xml:space="preserve">cv,graha prima </t>
  </si>
  <si>
    <t xml:space="preserve">CV. 5DAYA PERKASA </t>
  </si>
  <si>
    <t xml:space="preserve">CV. ABDI KARYA </t>
  </si>
  <si>
    <t xml:space="preserve">CV. ABIL COPAT LIGAS </t>
  </si>
  <si>
    <t xml:space="preserve">CV. MAILIYAH WAJOK </t>
  </si>
  <si>
    <t xml:space="preserve">CV. INDOFAHRI MANDIRI </t>
  </si>
  <si>
    <t xml:space="preserve">CV. ANUGERAH RAKHA PRATAMA </t>
  </si>
  <si>
    <t xml:space="preserve">CV. BUNGSU RASINDO </t>
  </si>
  <si>
    <t xml:space="preserve">KREATIVISI INDONESIA </t>
  </si>
  <si>
    <t xml:space="preserve">PT GURUH PERKASA </t>
  </si>
  <si>
    <t xml:space="preserve">CV. ASA LAKSANA </t>
  </si>
  <si>
    <t xml:space="preserve">CV. ANUGERAH MANDIRI SAJA </t>
  </si>
  <si>
    <t xml:space="preserve">CV. FAVONINA </t>
  </si>
  <si>
    <t xml:space="preserve">CV. Citra Stapaka Sejahtera </t>
  </si>
  <si>
    <t xml:space="preserve">CV. ACITYA PUTRI MANDIRI </t>
  </si>
  <si>
    <t xml:space="preserve">PT. VISIPRANA </t>
  </si>
  <si>
    <t xml:space="preserve">PT. ADIBAH BUANA KONSULTAN </t>
  </si>
  <si>
    <t xml:space="preserve">PT.FAYA KUNTURA AGUNG </t>
  </si>
  <si>
    <t xml:space="preserve">CV. Adeta Ria </t>
  </si>
  <si>
    <t xml:space="preserve">KALUMBA GORONTALO </t>
  </si>
  <si>
    <t xml:space="preserve">PT NEXA SUPRA PRIMA </t>
  </si>
  <si>
    <t xml:space="preserve">CV. ADI JAYA KONSTRUKSI </t>
  </si>
  <si>
    <t xml:space="preserve">Tujuh Samudra </t>
  </si>
  <si>
    <t xml:space="preserve">VERA INTI PERSADA </t>
  </si>
  <si>
    <t xml:space="preserve">CV. ADI KARA </t>
  </si>
  <si>
    <t xml:space="preserve">CV. NICHOLAS PUTRA PERKASA </t>
  </si>
  <si>
    <t xml:space="preserve">CV. PUTRA ADI PERKASA </t>
  </si>
  <si>
    <t xml:space="preserve">CV.ALFIN PUTRA MANDIRI </t>
  </si>
  <si>
    <t xml:space="preserve">CV. Adipraja Utama </t>
  </si>
  <si>
    <t xml:space="preserve">PT. GRAND INTEGRA TELEMATIKA </t>
  </si>
  <si>
    <t xml:space="preserve">CV. ADITIA UTAMA MANDIRI </t>
  </si>
  <si>
    <t xml:space="preserve">CV. CENDRAWASIH SUKSES NIAGA </t>
  </si>
  <si>
    <t xml:space="preserve">CV. ADYA NANDANA GRIYA </t>
  </si>
  <si>
    <t xml:space="preserve">cv. bowo jati jepara </t>
  </si>
  <si>
    <t xml:space="preserve">CV. Afasto Putra </t>
  </si>
  <si>
    <t xml:space="preserve">CV.KANS SOLUTION </t>
  </si>
  <si>
    <t xml:space="preserve">CV. AGENG LESTARI </t>
  </si>
  <si>
    <t xml:space="preserve">Cv.mutiara macsindo </t>
  </si>
  <si>
    <t xml:space="preserve">PT. MUSTIKA JATI ABADI </t>
  </si>
  <si>
    <t xml:space="preserve">CV. AGRA JAYA KONSTRUKSI </t>
  </si>
  <si>
    <t xml:space="preserve">CV. BERDIKARI JAYA OFFSET </t>
  </si>
  <si>
    <t xml:space="preserve">DELTA </t>
  </si>
  <si>
    <t xml:space="preserve">PT. Furni Karya Mandiri </t>
  </si>
  <si>
    <t xml:space="preserve">CV. AJI WIRAGUNA </t>
  </si>
  <si>
    <t xml:space="preserve">CV. AL JUAR </t>
  </si>
  <si>
    <t xml:space="preserve">CV. CATUR JAYA MAKMUR </t>
  </si>
  <si>
    <t xml:space="preserve">CV. ALIF PUTRA PERDANA </t>
  </si>
  <si>
    <t xml:space="preserve">CV. ALIRAN SUNGAI BEMAYA </t>
  </si>
  <si>
    <t xml:space="preserve">CV. BEJO </t>
  </si>
  <si>
    <t xml:space="preserve">CV. Alkadrie Bersaudara </t>
  </si>
  <si>
    <t xml:space="preserve">CV. Laskar Pelangi </t>
  </si>
  <si>
    <t xml:space="preserve">CV. KAWAN SEJATI </t>
  </si>
  <si>
    <t xml:space="preserve">Cv.PUTRA BORNEO </t>
  </si>
  <si>
    <t xml:space="preserve">CV. HASWARA JAYANTI </t>
  </si>
  <si>
    <t xml:space="preserve">CV. Alta Sarana </t>
  </si>
  <si>
    <t xml:space="preserve">CV. ALVARO SEJAHTERA </t>
  </si>
  <si>
    <t xml:space="preserve">CV. JAYA KARYA </t>
  </si>
  <si>
    <t xml:space="preserve">CV. DELTA GEMILANG </t>
  </si>
  <si>
    <t xml:space="preserve">cv. rizqi karimah sejati </t>
  </si>
  <si>
    <t xml:space="preserve">CV. SURYA BINTANG </t>
  </si>
  <si>
    <t xml:space="preserve">CV. SUMBER BANYUKE </t>
  </si>
  <si>
    <t xml:space="preserve">CV. WAHYU LESTARI </t>
  </si>
  <si>
    <t xml:space="preserve">CV. Karya Mandiri </t>
  </si>
  <si>
    <t xml:space="preserve">CV. DUTA KARYA PERSADA </t>
  </si>
  <si>
    <t xml:space="preserve">KARTIKA RAHAYU </t>
  </si>
  <si>
    <t xml:space="preserve">Keysa Mandiri </t>
  </si>
  <si>
    <t xml:space="preserve">MITRA KARYA PERKASA </t>
  </si>
  <si>
    <t xml:space="preserve">CV. MUSTIKA SEJAHTERA </t>
  </si>
  <si>
    <t xml:space="preserve">cv. cahaya vebryan </t>
  </si>
  <si>
    <t xml:space="preserve">payaman </t>
  </si>
  <si>
    <t xml:space="preserve">CV. Satria Jaya </t>
  </si>
  <si>
    <t xml:space="preserve">CV.Putra Jaya Mandiri </t>
  </si>
  <si>
    <t xml:space="preserve">CV. Amanah Utama Kasuwiyang </t>
  </si>
  <si>
    <t xml:space="preserve">CV. MITRA FAJAR ABADI </t>
  </si>
  <si>
    <t xml:space="preserve">CV. Titha Prima </t>
  </si>
  <si>
    <t xml:space="preserve">CV. AMMAR MUKTI </t>
  </si>
  <si>
    <t xml:space="preserve">CV. AMUNGGA PRATAMA KARYA </t>
  </si>
  <si>
    <t xml:space="preserve">Nala Mitra Konstruksi </t>
  </si>
  <si>
    <t xml:space="preserve">CV. LEDISAYUTA ABSA </t>
  </si>
  <si>
    <t xml:space="preserve">CV. DUTA KALIRAYA </t>
  </si>
  <si>
    <t xml:space="preserve">CV. PRIMA KARYA MANDIRI </t>
  </si>
  <si>
    <t xml:space="preserve">CV. RENRA MULTI PERSADA </t>
  </si>
  <si>
    <t xml:space="preserve">CV. VIGO PERKASA </t>
  </si>
  <si>
    <t xml:space="preserve">SONTA ABADI </t>
  </si>
  <si>
    <t xml:space="preserve">CV.BORNEO </t>
  </si>
  <si>
    <t xml:space="preserve">CV. ANDY'S </t>
  </si>
  <si>
    <t xml:space="preserve">CV. ANUGRAH PAWAN SEJATI </t>
  </si>
  <si>
    <t xml:space="preserve">CV. ANGKASA RAYA </t>
  </si>
  <si>
    <t xml:space="preserve">CV. Angkasa Wana Khatulistiwa </t>
  </si>
  <si>
    <t xml:space="preserve">CV. ANI </t>
  </si>
  <si>
    <t xml:space="preserve">CV. ANUGERAH DEWI </t>
  </si>
  <si>
    <t xml:space="preserve">Cv. Karya Utama Konstruksi </t>
  </si>
  <si>
    <t xml:space="preserve">cv. anugerah karya abadi </t>
  </si>
  <si>
    <t xml:space="preserve">CV. KHANSA TATA PERKASA </t>
  </si>
  <si>
    <t xml:space="preserve">CV. FIRDAUS </t>
  </si>
  <si>
    <t xml:space="preserve">CV.KUDA BERANTAI </t>
  </si>
  <si>
    <t xml:space="preserve">CV.DUA PILAR INTI </t>
  </si>
  <si>
    <t xml:space="preserve">CV.NADYA KONSTRUKSI </t>
  </si>
  <si>
    <t xml:space="preserve">CV. OPTIMA TEKNIK </t>
  </si>
  <si>
    <t xml:space="preserve">CV. INTI PERSADA </t>
  </si>
  <si>
    <t xml:space="preserve">CV. S J 9 </t>
  </si>
  <si>
    <t xml:space="preserve">vahrel utama </t>
  </si>
  <si>
    <t xml:space="preserve">CV.MALEO LESTARI </t>
  </si>
  <si>
    <t xml:space="preserve">CV. SEHATI NIAGA INDONESIA </t>
  </si>
  <si>
    <t xml:space="preserve">CV. KREASINDO RAYA </t>
  </si>
  <si>
    <t xml:space="preserve">CV. ARCHA MULIA ABADI </t>
  </si>
  <si>
    <t xml:space="preserve">CV. ARCHI TECON GLOBAL </t>
  </si>
  <si>
    <t xml:space="preserve">cv. archicivil konsultan </t>
  </si>
  <si>
    <t xml:space="preserve">PT. Bayu Pratama Khatulistiwa </t>
  </si>
  <si>
    <t xml:space="preserve">CV. ARCTURE RECXA IMAG </t>
  </si>
  <si>
    <t xml:space="preserve">CV. HASTAPRIMA KONTRAKTOR </t>
  </si>
  <si>
    <t xml:space="preserve">CV.BARAGE </t>
  </si>
  <si>
    <t xml:space="preserve">CV. ARGA MANDIRI </t>
  </si>
  <si>
    <t xml:space="preserve">CV. ARI DUTA LESTARI </t>
  </si>
  <si>
    <t xml:space="preserve">CV. ARICO </t>
  </si>
  <si>
    <t xml:space="preserve">CV. ARIDAS KARYA </t>
  </si>
  <si>
    <t xml:space="preserve">CV. ARIDHA </t>
  </si>
  <si>
    <t xml:space="preserve">cv. arif bijaksana group </t>
  </si>
  <si>
    <t xml:space="preserve">CV. ARINI </t>
  </si>
  <si>
    <t xml:space="preserve">CV. ARMADA GAHARI PUTERA </t>
  </si>
  <si>
    <t xml:space="preserve">CV. ARONY KARYA </t>
  </si>
  <si>
    <t xml:space="preserve">Rivaco Putra </t>
  </si>
  <si>
    <t xml:space="preserve">CV. KYANDRA ADANYA </t>
  </si>
  <si>
    <t xml:space="preserve">CV. ARUMA </t>
  </si>
  <si>
    <t xml:space="preserve">CV. BAHARI PUTRA MANDIRI </t>
  </si>
  <si>
    <t xml:space="preserve">CV. Arundaya Abadi </t>
  </si>
  <si>
    <t xml:space="preserve">CV. ARZAKA DAFFA PERSADA </t>
  </si>
  <si>
    <t xml:space="preserve">CV. INDAH BERSINAR </t>
  </si>
  <si>
    <t xml:space="preserve">PT.Anugerah Berkat Risen </t>
  </si>
  <si>
    <t xml:space="preserve">CV. ONDIHON MAS GLOBALINDO </t>
  </si>
  <si>
    <t xml:space="preserve">cv.bintang permata adijaya </t>
  </si>
  <si>
    <t xml:space="preserve">CV. FITRA SAKTI PRATAMA </t>
  </si>
  <si>
    <t xml:space="preserve">CV. ASADIA DWIJAYA </t>
  </si>
  <si>
    <t xml:space="preserve">CV. MITRA BORNEO </t>
  </si>
  <si>
    <t xml:space="preserve">CV. ASOKA MEGA </t>
  </si>
  <si>
    <t xml:space="preserve">CV. ASRI KARYA </t>
  </si>
  <si>
    <t xml:space="preserve">PT. Prisma Inti Tradea </t>
  </si>
  <si>
    <t xml:space="preserve">CV.WAHYU PUTRA MANDIRI </t>
  </si>
  <si>
    <t xml:space="preserve">CV.KARYA AKBAR </t>
  </si>
  <si>
    <t xml:space="preserve">CV. SAIFULLAH </t>
  </si>
  <si>
    <t xml:space="preserve">CV. ASYITHA </t>
  </si>
  <si>
    <t xml:space="preserve">Cv. Raihan Pratama </t>
  </si>
  <si>
    <t xml:space="preserve">CV. MURIA RAYA </t>
  </si>
  <si>
    <t xml:space="preserve">CV. DWI PUTRA </t>
  </si>
  <si>
    <t xml:space="preserve">CV. AUDRI SINAR PRATAMA </t>
  </si>
  <si>
    <t xml:space="preserve">CV. RIZKY DWI PRATAMA </t>
  </si>
  <si>
    <t xml:space="preserve">CV. Elvira Sarana Konstruksi </t>
  </si>
  <si>
    <t xml:space="preserve">CV. AXEL INA GRAFIKA </t>
  </si>
  <si>
    <t xml:space="preserve">CV. AZIFA JAYA ABADI </t>
  </si>
  <si>
    <t xml:space="preserve">GATTRA </t>
  </si>
  <si>
    <t xml:space="preserve">PT.NARATEK JAYA ABADI </t>
  </si>
  <si>
    <t xml:space="preserve">cv.albar </t>
  </si>
  <si>
    <t xml:space="preserve">Fatwa Utama </t>
  </si>
  <si>
    <t xml:space="preserve">CV.KARYA AMAN LESTARI </t>
  </si>
  <si>
    <t xml:space="preserve">CV. MECCA PRATAMA </t>
  </si>
  <si>
    <t xml:space="preserve">PT. BUDI BANGUN KONSTRUKSI </t>
  </si>
  <si>
    <t xml:space="preserve">CV. AZQHA LAPAN SEMBILAN SEMBILAN </t>
  </si>
  <si>
    <t xml:space="preserve">CV. GAPURA JAYA </t>
  </si>
  <si>
    <t xml:space="preserve">CV. BANGUN MARGA SARANA </t>
  </si>
  <si>
    <t xml:space="preserve">CV. PANDU UTAMA </t>
  </si>
  <si>
    <t xml:space="preserve">CV. BARA HARDAM KARHAN </t>
  </si>
  <si>
    <t xml:space="preserve">CV. BAROKAH JAYA ABADI </t>
  </si>
  <si>
    <t xml:space="preserve">CV. MUTIARA ALAM </t>
  </si>
  <si>
    <t xml:space="preserve">CV. BAROKAH UTAMA SAKTI </t>
  </si>
  <si>
    <t xml:space="preserve">CV. BASIS KONSULTAN </t>
  </si>
  <si>
    <t xml:space="preserve">FERTOS </t>
  </si>
  <si>
    <t xml:space="preserve">PT.ARDANA ABADI </t>
  </si>
  <si>
    <t xml:space="preserve">CV. DUTAMEDIKA </t>
  </si>
  <si>
    <t xml:space="preserve">PT. Mitra Adi Raharja </t>
  </si>
  <si>
    <t xml:space="preserve">PT. MITRA MANDIRI HUSADA </t>
  </si>
  <si>
    <t xml:space="preserve">PT.LABKES PRIMA </t>
  </si>
  <si>
    <t xml:space="preserve">CV. World Technique </t>
  </si>
  <si>
    <t xml:space="preserve">PT. Hasna Khaliqa Mandiri </t>
  </si>
  <si>
    <t xml:space="preserve">PT. Alphasains Dinamika </t>
  </si>
  <si>
    <t xml:space="preserve">PT. ILHAM AKBAR BERSAMA </t>
  </si>
  <si>
    <t xml:space="preserve">Trisprima Usahajaya </t>
  </si>
  <si>
    <t xml:space="preserve">CV. MULTI MITRA INTEGRA </t>
  </si>
  <si>
    <t xml:space="preserve">CV.KARYA PERDANA </t>
  </si>
  <si>
    <t xml:space="preserve">Sumanta Mitra Mulya </t>
  </si>
  <si>
    <t xml:space="preserve">PT DITEK JAYA </t>
  </si>
  <si>
    <t xml:space="preserve">PT. ANGGAZA WIDYA RIDHAMULIA </t>
  </si>
  <si>
    <t xml:space="preserve">PT. DAMAI PUTRA ABADI </t>
  </si>
  <si>
    <t xml:space="preserve">PT.CITRA CONTRACTOR HASAJA </t>
  </si>
  <si>
    <t xml:space="preserve">CV. MAWAR MERAH </t>
  </si>
  <si>
    <t xml:space="preserve">PT. ARTHA TIRTA MANDIRI </t>
  </si>
  <si>
    <t xml:space="preserve">CV. BATARA ALTHAR JAYA </t>
  </si>
  <si>
    <t xml:space="preserve">CV. MARJEN NAWA ABDI </t>
  </si>
  <si>
    <t xml:space="preserve">CV. Victory Graha Karya </t>
  </si>
  <si>
    <t xml:space="preserve">PT.INO KARYA ABADI </t>
  </si>
  <si>
    <t xml:space="preserve">PT.MENARAJAYAKONSTRUKSI </t>
  </si>
  <si>
    <t xml:space="preserve">CV. ZABA CAHAYA KHATULISTIWA </t>
  </si>
  <si>
    <t xml:space="preserve">CV. BATU JAYA </t>
  </si>
  <si>
    <t xml:space="preserve">PT. Cakra Surya Jaya </t>
  </si>
  <si>
    <t xml:space="preserve">NAJWA </t>
  </si>
  <si>
    <t xml:space="preserve">PT. SINERGI BANGUN KONTRUKSI </t>
  </si>
  <si>
    <t xml:space="preserve">SURYA KANTA ABADI </t>
  </si>
  <si>
    <t xml:space="preserve">NAPOH KANAU PERMAI </t>
  </si>
  <si>
    <t xml:space="preserve">CV. TRIANA </t>
  </si>
  <si>
    <t xml:space="preserve">PT. ANTARIKSA INTI </t>
  </si>
  <si>
    <t xml:space="preserve">PT. BUMI SIAK MAKMUR </t>
  </si>
  <si>
    <t xml:space="preserve">CV. Makmur Madani </t>
  </si>
  <si>
    <t xml:space="preserve">PT. Adian Teknik Natama </t>
  </si>
  <si>
    <t xml:space="preserve">PT. NAIRUZ SYIFA MUMTAZA </t>
  </si>
  <si>
    <t xml:space="preserve">CV.' DELLY SAENTIS FURNITURE' </t>
  </si>
  <si>
    <t xml:space="preserve">PT. RAKOMEL </t>
  </si>
  <si>
    <t xml:space="preserve">CV. BATULAYANG PERMAI </t>
  </si>
  <si>
    <t xml:space="preserve">CV. Makmur Abadi Sentosa </t>
  </si>
  <si>
    <t xml:space="preserve">CV. Mungguk Rangsa </t>
  </si>
  <si>
    <t xml:space="preserve">CV. BAYU RIZKY PRATAMA </t>
  </si>
  <si>
    <t xml:space="preserve">CV. GEMILANG JAYA </t>
  </si>
  <si>
    <t xml:space="preserve">CV. SATRIA LAUT INDONESIA </t>
  </si>
  <si>
    <t xml:space="preserve">CV. MITRA JAYA COMPUTINDO </t>
  </si>
  <si>
    <t xml:space="preserve">PT. GADING PERSADA MANDIRI </t>
  </si>
  <si>
    <t xml:space="preserve">PT. AVISTA PLANOTAMA KONSULTAN </t>
  </si>
  <si>
    <t xml:space="preserve">CV. INDRA EKARSA </t>
  </si>
  <si>
    <t xml:space="preserve">CV. HASTA PRIMA CONSULTANT </t>
  </si>
  <si>
    <t xml:space="preserve">IMSCO PUTRA MANDIRI, CV </t>
  </si>
  <si>
    <t xml:space="preserve">CV. BELVI ABADI </t>
  </si>
  <si>
    <t xml:space="preserve">PT. Raka Enginering Consultants </t>
  </si>
  <si>
    <t xml:space="preserve">CV. BEMAYA KONSTRUKSI </t>
  </si>
  <si>
    <t xml:space="preserve">CV.Cherishindo Multi Karya </t>
  </si>
  <si>
    <t xml:space="preserve">CV. BENI BANGUN PERKASA </t>
  </si>
  <si>
    <t xml:space="preserve">CV. MAS TEXTILE </t>
  </si>
  <si>
    <t xml:space="preserve">CV. MEKAR JAYA PERSADA </t>
  </si>
  <si>
    <t xml:space="preserve">CV. BERKAH ALAM KHATULISTIWA </t>
  </si>
  <si>
    <t xml:space="preserve">CV. RESTU LANDAK SEMPURNA </t>
  </si>
  <si>
    <t xml:space="preserve">CV.JAYA INDAH ABADI </t>
  </si>
  <si>
    <t xml:space="preserve">CV. PHOSPHOROS BORNEO </t>
  </si>
  <si>
    <t xml:space="preserve">cv.arwana nusantara </t>
  </si>
  <si>
    <t xml:space="preserve">CV. BERKAH FEBRICA TIARA </t>
  </si>
  <si>
    <t xml:space="preserve">CV. Kharisma Akbar </t>
  </si>
  <si>
    <t xml:space="preserve">Multi Cipta Prima </t>
  </si>
  <si>
    <t xml:space="preserve">CV. DWI ANTAR NUSA </t>
  </si>
  <si>
    <t xml:space="preserve">CV. TANJUNG KERAMAT </t>
  </si>
  <si>
    <t xml:space="preserve">CV.Namira </t>
  </si>
  <si>
    <t xml:space="preserve">CV. SANGGAU PERMAI </t>
  </si>
  <si>
    <t xml:space="preserve">CV. PURNAMA ADIL </t>
  </si>
  <si>
    <t xml:space="preserve">CV. FIRAZ </t>
  </si>
  <si>
    <t xml:space="preserve">CV. Berkah Mandiri </t>
  </si>
  <si>
    <t xml:space="preserve">cv. humaira </t>
  </si>
  <si>
    <t xml:space="preserve">PT. AMORAINDO UTAMA KARYA </t>
  </si>
  <si>
    <t xml:space="preserve">CV. Mahendra Multi Perkasa </t>
  </si>
  <si>
    <t xml:space="preserve">CV. BERKAT BELALLEK </t>
  </si>
  <si>
    <t xml:space="preserve">PT. CITRA MARGA PERSADA </t>
  </si>
  <si>
    <t xml:space="preserve">CV.SURYA MENARA UTAMA </t>
  </si>
  <si>
    <t xml:space="preserve">CV. PILAR CORPORATION </t>
  </si>
  <si>
    <t xml:space="preserve">CV. BETING FAMILY </t>
  </si>
  <si>
    <t xml:space="preserve">CV. BILQIS CONSULENTE </t>
  </si>
  <si>
    <t xml:space="preserve">CV. SARANA MANDIRI SEJAHTERA </t>
  </si>
  <si>
    <t xml:space="preserve">CV. Sinar Jaya Mandiri </t>
  </si>
  <si>
    <t xml:space="preserve">SAUDARA BERDIKARI SEJAHTERA, CV </t>
  </si>
  <si>
    <t xml:space="preserve">PT. METHA PRISMA NUSA PERDANA </t>
  </si>
  <si>
    <t xml:space="preserve">cv. fatma mitra usaha </t>
  </si>
  <si>
    <t xml:space="preserve">CV. NUSA JAYA </t>
  </si>
  <si>
    <t xml:space="preserve">CV. Bima Inti Perkasa </t>
  </si>
  <si>
    <t xml:space="preserve">CV.RICKY MANDALA PUTRA </t>
  </si>
  <si>
    <t xml:space="preserve">Handayani Multi Perkasa </t>
  </si>
  <si>
    <t xml:space="preserve">CV. BINBIN MULIA LESTARI </t>
  </si>
  <si>
    <t xml:space="preserve">CV. BINTANG ANDHIKA JAYA </t>
  </si>
  <si>
    <t xml:space="preserve">PT. DUTA DWI PUTRA </t>
  </si>
  <si>
    <t xml:space="preserve">CV. BINTANG ERA PERKASA </t>
  </si>
  <si>
    <t xml:space="preserve">CV. BINTANG INOVASI </t>
  </si>
  <si>
    <t xml:space="preserve">CV. DUA CAHAYA </t>
  </si>
  <si>
    <t xml:space="preserve">PRIMA MULIA KARYA,PT </t>
  </si>
  <si>
    <t xml:space="preserve">PT. Nusantara Baja Prima </t>
  </si>
  <si>
    <t xml:space="preserve">PT. TRI KARYA MARADDA </t>
  </si>
  <si>
    <t xml:space="preserve">CV. BINTANG TERANG PERKASA </t>
  </si>
  <si>
    <t xml:space="preserve">PT INDO TRANS KONSTRUKSI </t>
  </si>
  <si>
    <t xml:space="preserve">CV. BOND 77 </t>
  </si>
  <si>
    <t xml:space="preserve">PT. Bayu Karsa Utama </t>
  </si>
  <si>
    <t xml:space="preserve">PT. RIYAN DASRI </t>
  </si>
  <si>
    <t xml:space="preserve">CV. WAHANA TATA BANJARAN </t>
  </si>
  <si>
    <t xml:space="preserve">CV. CITRA KHATULISTIWA </t>
  </si>
  <si>
    <t xml:space="preserve">PT. Waagner Biro Indonesia </t>
  </si>
  <si>
    <t xml:space="preserve">Cv. Borneo Construction </t>
  </si>
  <si>
    <t xml:space="preserve">PT. SOBOREJO </t>
  </si>
  <si>
    <t xml:space="preserve">CV. BORNEO FLORA NUSANTARA </t>
  </si>
  <si>
    <t xml:space="preserve">PT. MITRA USAHA KHATULISTIWA </t>
  </si>
  <si>
    <t xml:space="preserve">CV. BUKIT TALAGA </t>
  </si>
  <si>
    <t xml:space="preserve">CV.JOKER TRANS MADURA </t>
  </si>
  <si>
    <t xml:space="preserve">CV. JAWARA TERNAK NUSANTARA </t>
  </si>
  <si>
    <t xml:space="preserve">CV. CAHAYA BULAN </t>
  </si>
  <si>
    <t xml:space="preserve">CV. CAHAYA FALAH </t>
  </si>
  <si>
    <t xml:space="preserve">CV.YUCIA BHAKTI INVESTAMA </t>
  </si>
  <si>
    <t xml:space="preserve">CV. Cahaya Hati </t>
  </si>
  <si>
    <t xml:space="preserve">CV.YUCIA MANDIRI </t>
  </si>
  <si>
    <t xml:space="preserve">PT.SURYA MEGA PERDANA </t>
  </si>
  <si>
    <t xml:space="preserve">CV. CAHAYA JAYA </t>
  </si>
  <si>
    <t xml:space="preserve">CV. CAHAYA LANGIT </t>
  </si>
  <si>
    <t xml:space="preserve">CV. NUGRESA PERDANA </t>
  </si>
  <si>
    <t xml:space="preserve">CV. PERMATA UMMI </t>
  </si>
  <si>
    <t xml:space="preserve">CV. Tryo Sudana Raya Mempawah </t>
  </si>
  <si>
    <t xml:space="preserve">CV. CAHAYA MANDIRI UTAMA </t>
  </si>
  <si>
    <t xml:space="preserve">CV.MANDARINDO PERKASA </t>
  </si>
  <si>
    <t xml:space="preserve">CV.DHAFIN LAKSMANA NUSANTARA </t>
  </si>
  <si>
    <t xml:space="preserve">KHALISA </t>
  </si>
  <si>
    <t xml:space="preserve">PT. LINGTHON BERDIKARI PUTRA </t>
  </si>
  <si>
    <t xml:space="preserve">CV.RAJUN JAYA </t>
  </si>
  <si>
    <t xml:space="preserve">CV. INDAH JAYA </t>
  </si>
  <si>
    <t xml:space="preserve">CV. CAHAYA TUNAS MULYA </t>
  </si>
  <si>
    <t xml:space="preserve">Kepaksian Sekala Brak </t>
  </si>
  <si>
    <t xml:space="preserve">CV. Pasir Kapuas Utama </t>
  </si>
  <si>
    <t xml:space="preserve">CV. Cakrawala Khatulistiwa </t>
  </si>
  <si>
    <t xml:space="preserve">CV. CARMA </t>
  </si>
  <si>
    <t xml:space="preserve">CV. TRIWASTU </t>
  </si>
  <si>
    <t xml:space="preserve">CV. CATUR NUSA GLOBAL </t>
  </si>
  <si>
    <t xml:space="preserve">CV. Cendana </t>
  </si>
  <si>
    <t xml:space="preserve">CV. CENDANA PUTRA </t>
  </si>
  <si>
    <t xml:space="preserve">CV. CEPOGO AGRO LESTARI </t>
  </si>
  <si>
    <t xml:space="preserve">Cv. Cika Mandiri </t>
  </si>
  <si>
    <t xml:space="preserve">CV. CIPTA BAGAS KARYA </t>
  </si>
  <si>
    <t xml:space="preserve">RAKHA ANUGRAH </t>
  </si>
  <si>
    <t xml:space="preserve">CV. PUTRA PAHLAWAN </t>
  </si>
  <si>
    <t xml:space="preserve">KENCANA JAYA TEKNIK </t>
  </si>
  <si>
    <t xml:space="preserve">CV. MITRA MADINA </t>
  </si>
  <si>
    <t xml:space="preserve">CV. FAZA PUTRA </t>
  </si>
  <si>
    <t xml:space="preserve">PT. HOLTINDO PRIMA </t>
  </si>
  <si>
    <t xml:space="preserve">CV. KAREBET KARYA PERSADA </t>
  </si>
  <si>
    <t xml:space="preserve">CV. CIPTA KARYA PRIBADI </t>
  </si>
  <si>
    <t xml:space="preserve">CV. CIPTA PURNAMA MANDIRI </t>
  </si>
  <si>
    <t xml:space="preserve">Megatama Biogen </t>
  </si>
  <si>
    <t xml:space="preserve">CV.LIRA RAJA UTAMA </t>
  </si>
  <si>
    <t xml:space="preserve">PABRIKMESIN.COM </t>
  </si>
  <si>
    <t xml:space="preserve">CV. Media Sarana Cipta Buana </t>
  </si>
  <si>
    <t xml:space="preserve">TIGA KHATULISTIWA </t>
  </si>
  <si>
    <t xml:space="preserve">CV. PERSADA </t>
  </si>
  <si>
    <t xml:space="preserve">CV. CITRA PERKASA </t>
  </si>
  <si>
    <t xml:space="preserve">CV. PRATAMA RAYA </t>
  </si>
  <si>
    <t xml:space="preserve">CV.ZAREN SEJAHTERA </t>
  </si>
  <si>
    <t xml:space="preserve">CV. CROWN BORNEO </t>
  </si>
  <si>
    <t xml:space="preserve">Nakindo </t>
  </si>
  <si>
    <t xml:space="preserve">CV.TRI INTI KONSTRUKSI </t>
  </si>
  <si>
    <t xml:space="preserve">cv.putra menyuke </t>
  </si>
  <si>
    <t xml:space="preserve">CV.ARTA MULIA ETERNA </t>
  </si>
  <si>
    <t xml:space="preserve">CV. Delina </t>
  </si>
  <si>
    <t xml:space="preserve">CV. TUAH AL PARISI </t>
  </si>
  <si>
    <t xml:space="preserve">CV.KALAM JAYA MANDIRI </t>
  </si>
  <si>
    <t xml:space="preserve">CV. DELTAMAS MAKMUR PERKASA </t>
  </si>
  <si>
    <t xml:space="preserve">CV. MAKMUR MAJU </t>
  </si>
  <si>
    <t xml:space="preserve">CV. DERWATI </t>
  </si>
  <si>
    <t xml:space="preserve">CV. Devela </t>
  </si>
  <si>
    <t xml:space="preserve">PT. KREASINDO PUTRA BANGSA </t>
  </si>
  <si>
    <t xml:space="preserve">CV. MITRA KARYA </t>
  </si>
  <si>
    <t xml:space="preserve">CV. PELANGI MANDIRI </t>
  </si>
  <si>
    <t xml:space="preserve">Muda Maju Mandiri </t>
  </si>
  <si>
    <t xml:space="preserve">CV. DEYAN PUTRA UTAMA </t>
  </si>
  <si>
    <t xml:space="preserve">CV. PAJAJARAN </t>
  </si>
  <si>
    <t xml:space="preserve">CV. DHE'KA JASA </t>
  </si>
  <si>
    <t xml:space="preserve">CV. PALUH PUTRA BANGSA </t>
  </si>
  <si>
    <t xml:space="preserve">CV. DIAN INTI PRATAMA </t>
  </si>
  <si>
    <t xml:space="preserve">CV. DIAN KARYA </t>
  </si>
  <si>
    <t xml:space="preserve">CV. RETRO </t>
  </si>
  <si>
    <t xml:space="preserve">Sistem Fisik Siber </t>
  </si>
  <si>
    <t xml:space="preserve">PT. QUADRAN KONSULINDO </t>
  </si>
  <si>
    <t xml:space="preserve">CV. DINGWAN JAYA </t>
  </si>
  <si>
    <t xml:space="preserve">CV. DIVERINDO </t>
  </si>
  <si>
    <t xml:space="preserve">CV. DIYAH KENCANA WUNGU </t>
  </si>
  <si>
    <t xml:space="preserve">Dua Sahabat, CV </t>
  </si>
  <si>
    <t xml:space="preserve">PT. MANGISI MAKMUR SENTOSA </t>
  </si>
  <si>
    <t xml:space="preserve">CV. DUA ANUGERAH PUTERA </t>
  </si>
  <si>
    <t xml:space="preserve">CV. DUA SAUDARA </t>
  </si>
  <si>
    <t xml:space="preserve">MITRA NUSANTARA </t>
  </si>
  <si>
    <t xml:space="preserve">PT. FACHRY MULTI KARYA </t>
  </si>
  <si>
    <t xml:space="preserve">CV. DUTA MITRA </t>
  </si>
  <si>
    <t xml:space="preserve">CV. DW KREASI KONSULTAN </t>
  </si>
  <si>
    <t xml:space="preserve">PT.MIXINDO ABADI KARYA </t>
  </si>
  <si>
    <t xml:space="preserve">PT. BUHA RIAMA </t>
  </si>
  <si>
    <t xml:space="preserve">PT.KENCANA GLOBALTRANS INDONESIA </t>
  </si>
  <si>
    <t xml:space="preserve">PT. GLOBALINDO KARYA GEMILANG </t>
  </si>
  <si>
    <t xml:space="preserve">SINERGI GEMILANG </t>
  </si>
  <si>
    <t xml:space="preserve">CV. METRO NUSA PRIMA </t>
  </si>
  <si>
    <t xml:space="preserve">PT.Sariling Aneka Energi </t>
  </si>
  <si>
    <t xml:space="preserve">CV. Dwi Asman Lestari GROUP </t>
  </si>
  <si>
    <t xml:space="preserve">PT. KALIYA JAYA NUSANTARA </t>
  </si>
  <si>
    <t xml:space="preserve">PT. Global Aero Dinamika </t>
  </si>
  <si>
    <t xml:space="preserve">PT. REKSATAMA MANDIRI </t>
  </si>
  <si>
    <t xml:space="preserve">PT. DHARMA MITRA PERKASA </t>
  </si>
  <si>
    <t xml:space="preserve">CV. MUDA SEJAHTERA </t>
  </si>
  <si>
    <t xml:space="preserve">PT DOCOTEL TEKNOLOGI CELEBES </t>
  </si>
  <si>
    <t xml:space="preserve">CV. DWI WIJAYA </t>
  </si>
  <si>
    <t xml:space="preserve">CV. ZAHIRA </t>
  </si>
  <si>
    <t xml:space="preserve">CV. EDIYASA </t>
  </si>
  <si>
    <t xml:space="preserve">PT EDU TECH INDONESIA </t>
  </si>
  <si>
    <t xml:space="preserve">PT. ARAFA YURISMA NUSANTARA </t>
  </si>
  <si>
    <t xml:space="preserve">PT. KRISBOW INDONESIA </t>
  </si>
  <si>
    <t xml:space="preserve">PT. DIVA MULYA PRATAMA </t>
  </si>
  <si>
    <t xml:space="preserve">CV. Mulya Sejahtera </t>
  </si>
  <si>
    <t xml:space="preserve">PT. SALLIMNA </t>
  </si>
  <si>
    <t xml:space="preserve">PT. MAHAKARYA PRAKARSA UTAMA </t>
  </si>
  <si>
    <t xml:space="preserve">CV. PRINTAMA LASARI TEKINFO </t>
  </si>
  <si>
    <t xml:space="preserve">CV.PERSADA KARYA BANGSA </t>
  </si>
  <si>
    <t xml:space="preserve">PT Sindoro Argo Sakti </t>
  </si>
  <si>
    <t xml:space="preserve">PT. Dawiri Irma Abadi </t>
  </si>
  <si>
    <t xml:space="preserve">CV. Mega Buana </t>
  </si>
  <si>
    <t xml:space="preserve">CV. FAJAR SENTOSA </t>
  </si>
  <si>
    <t xml:space="preserve">CV. KARYA CIPTA MANDIRI </t>
  </si>
  <si>
    <t xml:space="preserve">PT. Virtual Inter Komunika </t>
  </si>
  <si>
    <t xml:space="preserve">CV. MEGAWANAINTI </t>
  </si>
  <si>
    <t xml:space="preserve">CV. Emtiga Konsultan </t>
  </si>
  <si>
    <t xml:space="preserve">CV. FARRIJ ANNI HAMMI </t>
  </si>
  <si>
    <t xml:space="preserve">CV. ENGINEERING REKAYASA KONSULTAN </t>
  </si>
  <si>
    <t xml:space="preserve">CV. ENVIKHA </t>
  </si>
  <si>
    <t xml:space="preserve">INTI PUSPA SEJATI. CV </t>
  </si>
  <si>
    <t xml:space="preserve">CV. FAJAR ASA ABADI </t>
  </si>
  <si>
    <t xml:space="preserve">PT.BINTANG SUCI INDONESIA </t>
  </si>
  <si>
    <t xml:space="preserve">CV. FAJAR MARTA </t>
  </si>
  <si>
    <t xml:space="preserve">PT BERKAH DUA PILAR </t>
  </si>
  <si>
    <t xml:space="preserve">CV.Daffa Pratama </t>
  </si>
  <si>
    <t xml:space="preserve">CV. FAJAR UTAMA </t>
  </si>
  <si>
    <t xml:space="preserve">PT. ANUGRAH HARAPAN BERSAMA </t>
  </si>
  <si>
    <t xml:space="preserve">CV. FAMILY CENTRE </t>
  </si>
  <si>
    <t xml:space="preserve">CV. FARIS JAYA PRATAMA </t>
  </si>
  <si>
    <t xml:space="preserve">CV. Rajawali Diesel </t>
  </si>
  <si>
    <t xml:space="preserve">cv. sarana bumi abadi </t>
  </si>
  <si>
    <t xml:space="preserve">CV. NUAN TENANG </t>
  </si>
  <si>
    <t xml:space="preserve">DIAMOND SEMESTA </t>
  </si>
  <si>
    <t xml:space="preserve">CV. FARRAS AMELIA SHAFERA </t>
  </si>
  <si>
    <t xml:space="preserve">CV.CITRA TUNANG ABADI </t>
  </si>
  <si>
    <t xml:space="preserve">CV.KHARISMA ARTA NUGRAHA </t>
  </si>
  <si>
    <t xml:space="preserve">CV.DIAH CAHYA RAYA MANDIRI </t>
  </si>
  <si>
    <t xml:space="preserve">CV.SEDA JAYA </t>
  </si>
  <si>
    <t xml:space="preserve">CV.GELORA BANGUN INDONESIA </t>
  </si>
  <si>
    <t xml:space="preserve">garuda konstruksi </t>
  </si>
  <si>
    <t xml:space="preserve">CV. Fies Utama Abadi </t>
  </si>
  <si>
    <t xml:space="preserve">CV. FIFA JAYA </t>
  </si>
  <si>
    <t xml:space="preserve">PT. Lufansa Kalindo Utama </t>
  </si>
  <si>
    <t xml:space="preserve">CV.Andrexindo Viratama </t>
  </si>
  <si>
    <t xml:space="preserve">CV. WIRASADA KARYA </t>
  </si>
  <si>
    <t xml:space="preserve">NEHDAN PERKASA, CV </t>
  </si>
  <si>
    <t xml:space="preserve">PT. ARSI GRANADA MUDA </t>
  </si>
  <si>
    <t xml:space="preserve">CV. G.O. GROUP </t>
  </si>
  <si>
    <t xml:space="preserve">PT CIPTA INDAH CITRA </t>
  </si>
  <si>
    <t xml:space="preserve">CV. Sukses Rabika </t>
  </si>
  <si>
    <t xml:space="preserve">TIGA BERLIAN BERSAUDARA, CV. </t>
  </si>
  <si>
    <t xml:space="preserve">CV. RIZKI ERA MANDIRI </t>
  </si>
  <si>
    <t xml:space="preserve">CV.MERGAK LESTARI </t>
  </si>
  <si>
    <t xml:space="preserve">PT. LIMA PERMATA </t>
  </si>
  <si>
    <t xml:space="preserve">CV. SAHABAT KARYA MANDIRI </t>
  </si>
  <si>
    <t xml:space="preserve">CV. SARANA KITA </t>
  </si>
  <si>
    <t xml:space="preserve">CV. GANESHA TEKNIK </t>
  </si>
  <si>
    <t xml:space="preserve">CV. TIQA CEMERLANG </t>
  </si>
  <si>
    <t xml:space="preserve">CV. Gaya Trie </t>
  </si>
  <si>
    <t xml:space="preserve">CV. Gebet </t>
  </si>
  <si>
    <t xml:space="preserve">CV. GEMILANG NUR </t>
  </si>
  <si>
    <t xml:space="preserve">CV. GENERUS JAYA </t>
  </si>
  <si>
    <t xml:space="preserve">CV. GERCEK KONSTRUKSI </t>
  </si>
  <si>
    <t xml:space="preserve">CV. GLOBAL KHATULISTIWA KONSULTAN </t>
  </si>
  <si>
    <t xml:space="preserve">CV. RIYAN PUTRA PRATAMA </t>
  </si>
  <si>
    <t xml:space="preserve">CV. GLOBAL TERBIT SUKSES </t>
  </si>
  <si>
    <t xml:space="preserve">CV. Gold Beck </t>
  </si>
  <si>
    <t xml:space="preserve">CV. GRAHAMAS </t>
  </si>
  <si>
    <t xml:space="preserve">CV.DEA PERTIWI </t>
  </si>
  <si>
    <t xml:space="preserve">CV. GREEN PELINDUNG </t>
  </si>
  <si>
    <t xml:space="preserve">MARGA MULYA </t>
  </si>
  <si>
    <t xml:space="preserve">PT. CAHAYA TIMUR SEJATI </t>
  </si>
  <si>
    <t xml:space="preserve">PT. PUTRA SAMI JAYA </t>
  </si>
  <si>
    <t xml:space="preserve">PT. MITRA PRATAMA INDAH </t>
  </si>
  <si>
    <t xml:space="preserve">Maju Bersama Bangsa </t>
  </si>
  <si>
    <t xml:space="preserve">CV. Lintas Utara </t>
  </si>
  <si>
    <t xml:space="preserve">PT.MITRA PERKASA SENTARUM </t>
  </si>
  <si>
    <t xml:space="preserve">CV.PUTRA JAYA PERKASA </t>
  </si>
  <si>
    <t xml:space="preserve">CV. PUTRAWANSA </t>
  </si>
  <si>
    <t xml:space="preserve">CV. Rafa Karya Makmur </t>
  </si>
  <si>
    <t xml:space="preserve">PT. Modecon Mitra </t>
  </si>
  <si>
    <t xml:space="preserve">CV. HAN JAYA </t>
  </si>
  <si>
    <t xml:space="preserve">CV. RIDHO JAYA UTAMA </t>
  </si>
  <si>
    <t xml:space="preserve">CV. HANIEF MAKMUR PERKASA </t>
  </si>
  <si>
    <t xml:space="preserve">CV. HANSUIN JAYA BERSAMA </t>
  </si>
  <si>
    <t xml:space="preserve">cv. harapan kita </t>
  </si>
  <si>
    <t xml:space="preserve">CV. HARDI MULYA PRATAMA </t>
  </si>
  <si>
    <t xml:space="preserve">CV. RAHADI JAYA </t>
  </si>
  <si>
    <t xml:space="preserve">CV. HARTA NADI JAYA </t>
  </si>
  <si>
    <t xml:space="preserve">cv. pateh nyala </t>
  </si>
  <si>
    <t xml:space="preserve">Kindo Asia Tama </t>
  </si>
  <si>
    <t xml:space="preserve">CV. Intan Payong </t>
  </si>
  <si>
    <t xml:space="preserve">CV. KATALINDO MEDIKARYA UTAMA </t>
  </si>
  <si>
    <t xml:space="preserve">CV. NCA OFFSET </t>
  </si>
  <si>
    <t xml:space="preserve">CV. Panca Buana Kreasitama </t>
  </si>
  <si>
    <t xml:space="preserve">CV. JAVA NUSANTARA </t>
  </si>
  <si>
    <t xml:space="preserve">CV.BUANA INDAH KHATULISTIWA </t>
  </si>
  <si>
    <t xml:space="preserve">CV. TANJUNGPURA BETUAH </t>
  </si>
  <si>
    <t xml:space="preserve">CV.ARBUM </t>
  </si>
  <si>
    <t xml:space="preserve">CV. JUNGKAT PRATAMA </t>
  </si>
  <si>
    <t xml:space="preserve">CV. KAPUAS BARU </t>
  </si>
  <si>
    <t xml:space="preserve">CV.LINGGA PUTRA PERDANA </t>
  </si>
  <si>
    <t xml:space="preserve">CV. USRING </t>
  </si>
  <si>
    <t xml:space="preserve">CV. TRIZUAR YANULSA </t>
  </si>
  <si>
    <t xml:space="preserve">CV. HERA JAYA CONSULTANT </t>
  </si>
  <si>
    <t xml:space="preserve">CV. PERDANA JASA MANDIRI </t>
  </si>
  <si>
    <t xml:space="preserve">CV. PENGGAWANG PUTRA </t>
  </si>
  <si>
    <t xml:space="preserve">PT. METAFORMA CONSULTANS </t>
  </si>
  <si>
    <t xml:space="preserve">CV.RAMA KARYA </t>
  </si>
  <si>
    <t xml:space="preserve">CV. PRISMA ESTETIKA KONSULTAN </t>
  </si>
  <si>
    <t xml:space="preserve">CV. TIRTA MUGHNI DESAIN </t>
  </si>
  <si>
    <t xml:space="preserve">CV. RECONT KHATULISTIWA </t>
  </si>
  <si>
    <t xml:space="preserve">PT. ARYO PRIMA KONSULTAN </t>
  </si>
  <si>
    <t xml:space="preserve">CV. PLATINUM </t>
  </si>
  <si>
    <t xml:space="preserve">cv. trimitra graha desain </t>
  </si>
  <si>
    <t xml:space="preserve">CV. Hervi Transseed </t>
  </si>
  <si>
    <t xml:space="preserve">CV. HIKAM MEDIA UTAMA </t>
  </si>
  <si>
    <t xml:space="preserve">CV. INHASA PERSADA </t>
  </si>
  <si>
    <t xml:space="preserve">CV.KONSULTAN PEMBANGUNAN </t>
  </si>
  <si>
    <t xml:space="preserve">CV. IDEAL MANDIRI CONSULTANT </t>
  </si>
  <si>
    <t xml:space="preserve">cv. idham alvindo </t>
  </si>
  <si>
    <t xml:space="preserve">CV. INDIE PLANNER CONSULTANT </t>
  </si>
  <si>
    <t xml:space="preserve">CV. INOVASI KONSTRUKSI </t>
  </si>
  <si>
    <t xml:space="preserve">CV.PANDRITA KONSTRUKSI </t>
  </si>
  <si>
    <t xml:space="preserve">CV. INTER QUANTUM </t>
  </si>
  <si>
    <t xml:space="preserve">CV. MITRA SEJATI </t>
  </si>
  <si>
    <t xml:space="preserve">PT. BRESTON KARSA MANDIRI </t>
  </si>
  <si>
    <t xml:space="preserve">CV. SETARA BANGUN KONSTRUKSI </t>
  </si>
  <si>
    <t xml:space="preserve">CV. NURSYAMSENA </t>
  </si>
  <si>
    <t xml:space="preserve">cv.gemilang palapa </t>
  </si>
  <si>
    <t xml:space="preserve">CV. MULYA </t>
  </si>
  <si>
    <t xml:space="preserve">CV. MUDA BERDIKARI </t>
  </si>
  <si>
    <t xml:space="preserve">CV. KARYA BERSAUDARA </t>
  </si>
  <si>
    <t xml:space="preserve">cv.raffan design </t>
  </si>
  <si>
    <t xml:space="preserve">CV.CIPTA SARANA PRATAMA </t>
  </si>
  <si>
    <t xml:space="preserve">CV. JAYA BERSAMA PRATAMA </t>
  </si>
  <si>
    <t xml:space="preserve">MAJU SEKAWAN JAYA, CV </t>
  </si>
  <si>
    <t xml:space="preserve">NURCAHAYA </t>
  </si>
  <si>
    <t xml:space="preserve">PT. CIPTA KETAMAR WASARDAS </t>
  </si>
  <si>
    <t xml:space="preserve">PT. TRIYOGA BUANA </t>
  </si>
  <si>
    <t xml:space="preserve">CV. Jaya Sakti Mandiri </t>
  </si>
  <si>
    <t xml:space="preserve">CV. JAYA SEMPURNA DESAIN </t>
  </si>
  <si>
    <t xml:space="preserve">PT. KARYA DULUR SAROHA </t>
  </si>
  <si>
    <t xml:space="preserve">mitra persada tehnik </t>
  </si>
  <si>
    <t xml:space="preserve">CV. Joglosemar Media Technology </t>
  </si>
  <si>
    <t xml:space="preserve">CV. JOKER DELAPAN DELAPAN </t>
  </si>
  <si>
    <t xml:space="preserve">CV.SINAR IVANA </t>
  </si>
  <si>
    <t xml:space="preserve">PT. MENARABAJA SARANASAKTI </t>
  </si>
  <si>
    <t xml:space="preserve">SARJIS AGUNG INDRAJAYA, PT </t>
  </si>
  <si>
    <t xml:space="preserve">CV. JUARA JAYA ANANTARA </t>
  </si>
  <si>
    <t xml:space="preserve">PT. PERKASA GIGA TEHNIKA </t>
  </si>
  <si>
    <t xml:space="preserve">CV. Kapuas Jaya </t>
  </si>
  <si>
    <t xml:space="preserve">GUNUNG SENUJUH, pt. </t>
  </si>
  <si>
    <t xml:space="preserve">CV. KAPUAS PERMAI </t>
  </si>
  <si>
    <t xml:space="preserve">PT. RASATAMA WULAN PERSADA </t>
  </si>
  <si>
    <t xml:space="preserve">PT. ANUGRAH BAYUARYA PERKASA </t>
  </si>
  <si>
    <t xml:space="preserve">PT. NANDO GARDA PUTRA </t>
  </si>
  <si>
    <t xml:space="preserve">PT. SINAR CAHAYA PELITA </t>
  </si>
  <si>
    <t xml:space="preserve">TANJUNG PERAK NUSA JAYA, pt. </t>
  </si>
  <si>
    <t xml:space="preserve">PT. Gelora Sarana Langgeng </t>
  </si>
  <si>
    <t xml:space="preserve">CV. KARUNIA LESTARI </t>
  </si>
  <si>
    <t xml:space="preserve">PT. TELAGA PASIR KUTA </t>
  </si>
  <si>
    <t xml:space="preserve">PT. Atiqa Ramadhan Sejahtera </t>
  </si>
  <si>
    <t xml:space="preserve">PT. PUTRANUSA PILAR SEJATI </t>
  </si>
  <si>
    <t xml:space="preserve">PT.KENCANA INDAH INTI SEJAHTERA </t>
  </si>
  <si>
    <t xml:space="preserve">CV. KARYA CIPTA BERSAMA </t>
  </si>
  <si>
    <t xml:space="preserve">CV. KHANSA MEGA KARYA </t>
  </si>
  <si>
    <t xml:space="preserve">PT. KARYA GUNUNG SELINDUNG </t>
  </si>
  <si>
    <t xml:space="preserve">PT. CAKRAWALA SURYA RAYA </t>
  </si>
  <si>
    <t xml:space="preserve">CV. WILA </t>
  </si>
  <si>
    <t xml:space="preserve">PT. PANTRY MULTIRASA UTAMA </t>
  </si>
  <si>
    <t xml:space="preserve">PT. LABIND SETIA SEMESTA </t>
  </si>
  <si>
    <t xml:space="preserve">PT. FAIRMOUNT BERSAUDARA SEJAHTERA </t>
  </si>
  <si>
    <t xml:space="preserve">Cv. Whinduaji </t>
  </si>
  <si>
    <t xml:space="preserve">PT. Kharisma Persada </t>
  </si>
  <si>
    <t xml:space="preserve">Dwi Tunggal Reka Sarana </t>
  </si>
  <si>
    <t xml:space="preserve">VUSPA TIRTHA JAGATRAYA </t>
  </si>
  <si>
    <t xml:space="preserve">cv. wirya adiguna </t>
  </si>
  <si>
    <t xml:space="preserve">CV. KARYA GEMILANG </t>
  </si>
  <si>
    <t xml:space="preserve">PT. TRI WAHANA KONSULTAN </t>
  </si>
  <si>
    <t xml:space="preserve">CV. KARYA LESTARI MANDIRI </t>
  </si>
  <si>
    <t xml:space="preserve">NATASHA PUTRA BANGSA </t>
  </si>
  <si>
    <t xml:space="preserve">PT. WAHANA REKA PRAKARSA </t>
  </si>
  <si>
    <t xml:space="preserve">PT MAIR BELA KANDARIKA </t>
  </si>
  <si>
    <t xml:space="preserve">PT.TEHNIK JAYA MANDAYA </t>
  </si>
  <si>
    <t xml:space="preserve">Duta Kawira Pawan, CV </t>
  </si>
  <si>
    <t xml:space="preserve">CV. ROYAL BROTHERS </t>
  </si>
  <si>
    <t xml:space="preserve">CV. KARYA RAYA </t>
  </si>
  <si>
    <t xml:space="preserve">cv.harabie </t>
  </si>
  <si>
    <t xml:space="preserve">CV. KAWITAN MULTI MAKARYA </t>
  </si>
  <si>
    <t xml:space="preserve">CV. LISON TEED </t>
  </si>
  <si>
    <t xml:space="preserve">TRIJASA MULTIKARYA </t>
  </si>
  <si>
    <t xml:space="preserve">PT. MITRA TARULI PERKASA </t>
  </si>
  <si>
    <t xml:space="preserve">CV. LAUTAN AMBAWANG </t>
  </si>
  <si>
    <t xml:space="preserve">CV. PUTRA KHARISMA JAYA </t>
  </si>
  <si>
    <t xml:space="preserve">CV.ARMELI DAYA </t>
  </si>
  <si>
    <t xml:space="preserve">CV.DIWA KARYA ABADI </t>
  </si>
  <si>
    <t xml:space="preserve">CV.RIZKY AULIA </t>
  </si>
  <si>
    <t xml:space="preserve">CV. KEMUNING SEMBILAN </t>
  </si>
  <si>
    <t xml:space="preserve">PT. SABA INDOMEDIKA </t>
  </si>
  <si>
    <t xml:space="preserve">PT. AZKA RAYA KALBAR </t>
  </si>
  <si>
    <t xml:space="preserve">CV. PALUNG MANDIRI </t>
  </si>
  <si>
    <t xml:space="preserve">PT. ANUGRAH PUTRAWANSA </t>
  </si>
  <si>
    <t xml:space="preserve">CV. KENCANA UTAMA </t>
  </si>
  <si>
    <t xml:space="preserve">CV. PRADIPTA PRATAMA </t>
  </si>
  <si>
    <t xml:space="preserve">PT. CAHAYA PONDOK INDAH </t>
  </si>
  <si>
    <t xml:space="preserve">Fadilva Berkah Mandiri </t>
  </si>
  <si>
    <t xml:space="preserve">CV. PENANJUNG PERKASA MANDIRI </t>
  </si>
  <si>
    <t xml:space="preserve">CV. Muara Sakti </t>
  </si>
  <si>
    <t xml:space="preserve">CV. RIZKI ALAM SEMESTA </t>
  </si>
  <si>
    <t xml:space="preserve">CV. KHINANTI PRADIPA NUSA </t>
  </si>
  <si>
    <t xml:space="preserve">CV. KIARA CAKRABUANA RAYA </t>
  </si>
  <si>
    <t xml:space="preserve">PT. RAJU PERMATA MANDIRI </t>
  </si>
  <si>
    <t xml:space="preserve">MELVI KARYA </t>
  </si>
  <si>
    <t xml:space="preserve">CV. NUSA BHAKTI PRATAMA </t>
  </si>
  <si>
    <t xml:space="preserve">CV. KISHAN DIGJAYA </t>
  </si>
  <si>
    <t xml:space="preserve">CV. PERFORMA HARMONI PERSADA </t>
  </si>
  <si>
    <t xml:space="preserve">CV. KOLEGA MEMBANGUN </t>
  </si>
  <si>
    <t xml:space="preserve">CV. MUSTIKA </t>
  </si>
  <si>
    <t xml:space="preserve">CV.MEDIA JASA TEKNIK </t>
  </si>
  <si>
    <t xml:space="preserve">CV.ANUGRAH JAYA MAKMUR </t>
  </si>
  <si>
    <t xml:space="preserve">PT. ANCELI SAUDARA OKTEWE </t>
  </si>
  <si>
    <t xml:space="preserve">CV. LANCAR SEMESTA </t>
  </si>
  <si>
    <t xml:space="preserve">CV. LAPAN SEMBILAN SEMBILAN AG </t>
  </si>
  <si>
    <t xml:space="preserve">CV. LIMA PILAR UTAMA </t>
  </si>
  <si>
    <t xml:space="preserve">CV. LINTAS AMBAWANG KONSTRUKSI </t>
  </si>
  <si>
    <t xml:space="preserve">cv. lung mendalam </t>
  </si>
  <si>
    <t xml:space="preserve">CV. Madani Callysta Saibuyun </t>
  </si>
  <si>
    <t xml:space="preserve">CV. MAHA TIRTA </t>
  </si>
  <si>
    <t xml:space="preserve">CV. MAIZA </t>
  </si>
  <si>
    <t xml:space="preserve">CV. Maju Mapan </t>
  </si>
  <si>
    <t xml:space="preserve">CV. MALFIF BERSAUDARA </t>
  </si>
  <si>
    <t xml:space="preserve">Diva Konstruksi </t>
  </si>
  <si>
    <t xml:space="preserve">Simbang </t>
  </si>
  <si>
    <t xml:space="preserve">CV.BUJANG MANDIRI </t>
  </si>
  <si>
    <t xml:space="preserve">PT. TRI PUTRA BORNEO </t>
  </si>
  <si>
    <t xml:space="preserve">CV. MARSA </t>
  </si>
  <si>
    <t xml:space="preserve">CV. MASKOT JAYA </t>
  </si>
  <si>
    <t xml:space="preserve">CV. Masyhida </t>
  </si>
  <si>
    <t xml:space="preserve">CV. MatriX Talino </t>
  </si>
  <si>
    <t xml:space="preserve">CV. SYAFIRA ANUGRAH </t>
  </si>
  <si>
    <t xml:space="preserve">CV. MAWADDAH </t>
  </si>
  <si>
    <t xml:space="preserve">KENCANA AGUNG SEJAHTERA </t>
  </si>
  <si>
    <t xml:space="preserve">CV. MEGA MULIA </t>
  </si>
  <si>
    <t xml:space="preserve">CV. MEKAR PERSADA </t>
  </si>
  <si>
    <t xml:space="preserve">CV. YULIA KARYA KONSTRUKSI </t>
  </si>
  <si>
    <t xml:space="preserve">CV. SALAPAN BENTANG </t>
  </si>
  <si>
    <t xml:space="preserve">CV.WAHANA MEDIA DIDAKTIKA </t>
  </si>
  <si>
    <t xml:space="preserve">CV. MENTARI JAYA </t>
  </si>
  <si>
    <t xml:space="preserve">ZOMANTARA CIPTA SARANA </t>
  </si>
  <si>
    <t xml:space="preserve">PT MITRA KREASI NUSANTARA SEJAHTERA </t>
  </si>
  <si>
    <t xml:space="preserve">CV.TRI PUTRA PERKASA </t>
  </si>
  <si>
    <t xml:space="preserve">PT. Abirama Karya Teknik </t>
  </si>
  <si>
    <t xml:space="preserve">CV. MILLINUM PERKASA </t>
  </si>
  <si>
    <t xml:space="preserve">CV. MITRA BAGOES MANDIRI </t>
  </si>
  <si>
    <t xml:space="preserve">PT. PERLENGKAPAN JALAN INDONESIA </t>
  </si>
  <si>
    <t xml:space="preserve">PT QIARA UTAMA </t>
  </si>
  <si>
    <t xml:space="preserve">PT. Automobil Borneo Perdana </t>
  </si>
  <si>
    <t xml:space="preserve">CV. MITRA GADING </t>
  </si>
  <si>
    <t xml:space="preserve">CV. TRI PUTRA PERKASA </t>
  </si>
  <si>
    <t xml:space="preserve">Pusarindo Utama </t>
  </si>
  <si>
    <t xml:space="preserve">Cv. Mitra Sejati </t>
  </si>
  <si>
    <t xml:space="preserve">PRINKA </t>
  </si>
  <si>
    <t xml:space="preserve">Traco Global System </t>
  </si>
  <si>
    <t xml:space="preserve">MENOREH MAKMUR </t>
  </si>
  <si>
    <t xml:space="preserve">CV. TUSIMA VENDOR ABADI </t>
  </si>
  <si>
    <t xml:space="preserve">CV.MANAWOKO </t>
  </si>
  <si>
    <t xml:space="preserve">PT.TIDAR JAYA PERKASA </t>
  </si>
  <si>
    <t xml:space="preserve">CV. Multi Kreasi Konsultan </t>
  </si>
  <si>
    <t xml:space="preserve">CV. Multi Lisensi </t>
  </si>
  <si>
    <t xml:space="preserve">CV. Teknika Konstruksi </t>
  </si>
  <si>
    <t xml:space="preserve">zifa suryaraya </t>
  </si>
  <si>
    <t xml:space="preserve">PT. MUSTIKA BANI TAMIM </t>
  </si>
  <si>
    <t xml:space="preserve">CV.KUBU JAYA MANDIRI </t>
  </si>
  <si>
    <t xml:space="preserve">CV. Pulau Raya </t>
  </si>
  <si>
    <t xml:space="preserve">CV. MULTI REKAYASA </t>
  </si>
  <si>
    <t xml:space="preserve">CV.MITRA KERJA KARYA MANDIRI </t>
  </si>
  <si>
    <t xml:space="preserve">cv. permata utama </t>
  </si>
  <si>
    <t xml:space="preserve">cv.sarai indah </t>
  </si>
  <si>
    <t xml:space="preserve">CV. MUTIARA INDAH </t>
  </si>
  <si>
    <t xml:space="preserve">Cv.Graymuda </t>
  </si>
  <si>
    <t xml:space="preserve">CV. Naya Kirana </t>
  </si>
  <si>
    <t xml:space="preserve">CV. NIAR SUKSES MANDIRI </t>
  </si>
  <si>
    <t xml:space="preserve">CV. NUANSA NUSANTARA </t>
  </si>
  <si>
    <t xml:space="preserve">CV. NUMERIC ENGINEERING CONSULTANT </t>
  </si>
  <si>
    <t xml:space="preserve">CV. NURI INDAH </t>
  </si>
  <si>
    <t xml:space="preserve">PT. RIAU SEPADAN </t>
  </si>
  <si>
    <t xml:space="preserve">PT.DAMAI CITRA MANDIRI </t>
  </si>
  <si>
    <t xml:space="preserve">CV. ONTHAS JAYA SARANA </t>
  </si>
  <si>
    <t xml:space="preserve">cv.ryan mitra group </t>
  </si>
  <si>
    <t xml:space="preserve">CV.DUTA PERSADA </t>
  </si>
  <si>
    <t xml:space="preserve">CV.KEVIN RESTU </t>
  </si>
  <si>
    <t xml:space="preserve">CV. ZAVA </t>
  </si>
  <si>
    <t xml:space="preserve">CV. PANDEGA TATA GUMILANG </t>
  </si>
  <si>
    <t xml:space="preserve">CV. PARADES </t>
  </si>
  <si>
    <t xml:space="preserve">CV. PATOPA NUSANTARA </t>
  </si>
  <si>
    <t xml:space="preserve">CV. Pelita Persada </t>
  </si>
  <si>
    <t xml:space="preserve">CV. PELITA UTAMA </t>
  </si>
  <si>
    <t xml:space="preserve">cv. Pematang Serindo </t>
  </si>
  <si>
    <t xml:space="preserve">CV. PENA DISAIN KONSULTAN </t>
  </si>
  <si>
    <t xml:space="preserve">CV.DHANI BAKAR PERSADA </t>
  </si>
  <si>
    <t xml:space="preserve">PT. FAHRINDO MURTITAMA </t>
  </si>
  <si>
    <t xml:space="preserve">PT Mitra Batavia Semesta </t>
  </si>
  <si>
    <t xml:space="preserve">cv.cemerlang indah </t>
  </si>
  <si>
    <t xml:space="preserve">PT. Manunggaling Karsa Persada </t>
  </si>
  <si>
    <t xml:space="preserve">PT. BINA MITRA ANALITIKA </t>
  </si>
  <si>
    <t xml:space="preserve">Hutamakarsa Lintas Niaga </t>
  </si>
  <si>
    <t xml:space="preserve">PT. RIZKI LIGAR SATUTIGALIMAEMPAT </t>
  </si>
  <si>
    <t xml:space="preserve">CV. SAFFANAH </t>
  </si>
  <si>
    <t xml:space="preserve">CV. TROYA MUDA PERKASA </t>
  </si>
  <si>
    <t xml:space="preserve">PT.NIAGA MANDIRI LESTARI </t>
  </si>
  <si>
    <t xml:space="preserve">CV. PONDOK SOETOYO </t>
  </si>
  <si>
    <t xml:space="preserve">lawang sukses </t>
  </si>
  <si>
    <t xml:space="preserve">CV.KANABANA TEKNO BORNEO </t>
  </si>
  <si>
    <t xml:space="preserve">PT. Dynatech International </t>
  </si>
  <si>
    <t xml:space="preserve">CV.HARAPAN MULIA </t>
  </si>
  <si>
    <t xml:space="preserve">MARTA KENCANA, CV </t>
  </si>
  <si>
    <t xml:space="preserve">MARTATIGATIGA </t>
  </si>
  <si>
    <t xml:space="preserve">CV. PRISMA SEJATI </t>
  </si>
  <si>
    <t xml:space="preserve">CV. PRIMA META JAYA </t>
  </si>
  <si>
    <t xml:space="preserve">PT. RAHMANDHIKA KONSULTAN </t>
  </si>
  <si>
    <t xml:space="preserve">PT. ALOCITA MANDIRI </t>
  </si>
  <si>
    <t xml:space="preserve">RESWARA CONSULTANT </t>
  </si>
  <si>
    <t xml:space="preserve">PT. Munasa Kreasi Nusantara </t>
  </si>
  <si>
    <t xml:space="preserve">PT. ANDRA CIPTA CONSULT </t>
  </si>
  <si>
    <t xml:space="preserve">ocsha juliants pratama </t>
  </si>
  <si>
    <t xml:space="preserve">PT. MAHAMERU JAYA ABADI </t>
  </si>
  <si>
    <t xml:space="preserve">PT. ANUGERAH BANGUN KENCANA </t>
  </si>
  <si>
    <t xml:space="preserve">PT.PARBATU KARYA UTAMA </t>
  </si>
  <si>
    <t xml:space="preserve">CV.ASAWADUN KHOMSAH </t>
  </si>
  <si>
    <t xml:space="preserve">CV. PUSPITAJAYA </t>
  </si>
  <si>
    <t xml:space="preserve">CV. PUTERA MATAN </t>
  </si>
  <si>
    <t xml:space="preserve">CV. PUTRA BENAWAI </t>
  </si>
  <si>
    <t xml:space="preserve">CV. PUTRA BORNEO </t>
  </si>
  <si>
    <t xml:space="preserve">CV. Putra Bumi </t>
  </si>
  <si>
    <t xml:space="preserve">CV. PUTRA KAYONG MANDIRI </t>
  </si>
  <si>
    <t xml:space="preserve">pt.narmada indah persada </t>
  </si>
  <si>
    <t xml:space="preserve">CV. PUTRA KEMBAR PERKASA </t>
  </si>
  <si>
    <t xml:space="preserve">ridho perdana </t>
  </si>
  <si>
    <t xml:space="preserve">CV. Putra Timur </t>
  </si>
  <si>
    <t xml:space="preserve">SABDA ALAM RAYA </t>
  </si>
  <si>
    <t xml:space="preserve">CV. RAJAWALI SEHATI KALBAR </t>
  </si>
  <si>
    <t xml:space="preserve">PT PANTAI INDAH </t>
  </si>
  <si>
    <t xml:space="preserve">PT. Cakra Berlian Mandiri </t>
  </si>
  <si>
    <t xml:space="preserve">CV. RAYNER MULTI KONSTRUKSI </t>
  </si>
  <si>
    <t xml:space="preserve">Saudara Mandiri </t>
  </si>
  <si>
    <t xml:space="preserve">CV. SEJAHTERA MANDIRI TEKNIK INDONESIA </t>
  </si>
  <si>
    <t xml:space="preserve">CV.CHARTER AL QISTHI </t>
  </si>
  <si>
    <t xml:space="preserve">Media Karya Edukasi </t>
  </si>
  <si>
    <t xml:space="preserve">Cv.Muliatama </t>
  </si>
  <si>
    <t xml:space="preserve">PT. DINAMIKA MITRA SELARAS </t>
  </si>
  <si>
    <t xml:space="preserve">PT.FIFAN JAYA MAKMUR </t>
  </si>
  <si>
    <t xml:space="preserve">cv. RIFANI KARYA </t>
  </si>
  <si>
    <t xml:space="preserve">CV. RIKI RIKI </t>
  </si>
  <si>
    <t xml:space="preserve">KALBAR BA'KAMBANG SEJAHTERA </t>
  </si>
  <si>
    <t xml:space="preserve">CV. WAHID INDO NUSANTARA </t>
  </si>
  <si>
    <t xml:space="preserve">KHATULISTIWA JAYA </t>
  </si>
  <si>
    <t xml:space="preserve">CV.READY </t>
  </si>
  <si>
    <t xml:space="preserve">CV.DIANA ABADI </t>
  </si>
  <si>
    <t xml:space="preserve">CV. TRIKARYA </t>
  </si>
  <si>
    <t xml:space="preserve">CV. SABU PERMAI </t>
  </si>
  <si>
    <t xml:space="preserve">PT. MIRAZH INTERNASIONAL CONSULTANT </t>
  </si>
  <si>
    <t xml:space="preserve">PT. SENAYAN PEMBANGUNAN </t>
  </si>
  <si>
    <t xml:space="preserve">PT. RIGA INDONESIA </t>
  </si>
  <si>
    <t xml:space="preserve">PT. KARIMATA MULTI WAHANA </t>
  </si>
  <si>
    <t xml:space="preserve">PT. Pandit Eka Nusa Agrata </t>
  </si>
  <si>
    <t xml:space="preserve">cv.nawawi </t>
  </si>
  <si>
    <t xml:space="preserve">PT. VISTA EMAS SEJATI </t>
  </si>
  <si>
    <t xml:space="preserve">CV. TANJUNG ANTEBA </t>
  </si>
  <si>
    <t xml:space="preserve">CV.SATRIA KHATULISTIWA </t>
  </si>
  <si>
    <t xml:space="preserve">cv.karyasejati </t>
  </si>
  <si>
    <t xml:space="preserve">PT. TESAR CATUR NUSA </t>
  </si>
  <si>
    <t xml:space="preserve">CV. SEBONG MAKMUR JAYA </t>
  </si>
  <si>
    <t xml:space="preserve">PT. BRIGADE86 </t>
  </si>
  <si>
    <t xml:space="preserve">CV. SEMBILAN BENUA </t>
  </si>
  <si>
    <t xml:space="preserve">CV. SHANA SEJAHTERA </t>
  </si>
  <si>
    <t xml:space="preserve">CV. SIDO AGUNG </t>
  </si>
  <si>
    <t xml:space="preserve">CV. SIMAS </t>
  </si>
  <si>
    <t xml:space="preserve">CV. SOEPANDJI </t>
  </si>
  <si>
    <t xml:space="preserve">CV. SUKMA RAYA JASA </t>
  </si>
  <si>
    <t xml:space="preserve">CV. SUKSES KREASINDO MANDIRI </t>
  </si>
  <si>
    <t xml:space="preserve">CV.KURNIA MITRA KARYA </t>
  </si>
  <si>
    <t xml:space="preserve">PT. YOLA PERBATASAN </t>
  </si>
  <si>
    <t xml:space="preserve">CV. ZAYA PERKASA </t>
  </si>
  <si>
    <t xml:space="preserve">TRI PUTRI SUKSES MANDIRI </t>
  </si>
  <si>
    <t xml:space="preserve">CV. TRIFA UTAMA </t>
  </si>
  <si>
    <t xml:space="preserve">Karya Utama Aditya </t>
  </si>
  <si>
    <t xml:space="preserve">CV. SUMBER LEKSONO </t>
  </si>
  <si>
    <t xml:space="preserve">CV. SYAHRIYANDI ASHAR UTAMA </t>
  </si>
  <si>
    <t xml:space="preserve">Sanfranco Anugrah Mahkota </t>
  </si>
  <si>
    <t xml:space="preserve">PT. MASINDO GUAL </t>
  </si>
  <si>
    <t xml:space="preserve">CV. Surya Buana Kencana </t>
  </si>
  <si>
    <t xml:space="preserve">CV. SURYA CITRA MANDIRI </t>
  </si>
  <si>
    <t xml:space="preserve">CV. SURYA GAMA </t>
  </si>
  <si>
    <t xml:space="preserve">Potensi Putra Kalimantan </t>
  </si>
  <si>
    <t xml:space="preserve">CV. TANJUNGPURA </t>
  </si>
  <si>
    <t xml:space="preserve">CV.ANDI PATRA </t>
  </si>
  <si>
    <t xml:space="preserve">PT. KOLOM TEGAK BERJAYA </t>
  </si>
  <si>
    <t xml:space="preserve">PT.SATRIA LESTARI MULTI </t>
  </si>
  <si>
    <t xml:space="preserve">PT. AMARCO INDO </t>
  </si>
  <si>
    <t xml:space="preserve">CV. TELAGA BIRU </t>
  </si>
  <si>
    <t xml:space="preserve">CV. TIPSANI </t>
  </si>
  <si>
    <t xml:space="preserve">PT. BUANA MEDISTRA PHARMA </t>
  </si>
  <si>
    <t xml:space="preserve">CV.ONISYAH </t>
  </si>
  <si>
    <t xml:space="preserve">CV. Titian Lintas Cakrawala </t>
  </si>
  <si>
    <t xml:space="preserve">CV. WAHANA PEMBANGUNAN </t>
  </si>
  <si>
    <t xml:space="preserve">HAURA RAYA. CV </t>
  </si>
  <si>
    <t xml:space="preserve">cv.andalus </t>
  </si>
  <si>
    <t xml:space="preserve">PT.RAJAWALI SAKTI KALBAR </t>
  </si>
  <si>
    <t xml:space="preserve">PT TOPAS JAYA MANDIRI </t>
  </si>
  <si>
    <t xml:space="preserve">EXPRESSA PARIWARA MEDIA </t>
  </si>
  <si>
    <t xml:space="preserve">CV. TUNAS INDONESIA </t>
  </si>
  <si>
    <t xml:space="preserve">CV. TUNGGAL PUTRA </t>
  </si>
  <si>
    <t xml:space="preserve">CV. UJU (UNGGUL JAYA USAHA) </t>
  </si>
  <si>
    <t xml:space="preserve">CV. USAHA DUA SEKAWAN JAYA </t>
  </si>
  <si>
    <t xml:space="preserve">CV. VELA MITRA PROPERTI </t>
  </si>
  <si>
    <t xml:space="preserve">CV.NABILA REKA KONSULTAN </t>
  </si>
  <si>
    <t xml:space="preserve">CV. VITAULINDO </t>
  </si>
  <si>
    <t xml:space="preserve">MEDIA KARSA PRATAMA </t>
  </si>
  <si>
    <t xml:space="preserve">PT. ELMARSINDO KHATULISTIWA KONSULTAN </t>
  </si>
  <si>
    <t xml:space="preserve">CV. Weego Engineering </t>
  </si>
  <si>
    <t xml:space="preserve">CV.BUMBATA </t>
  </si>
  <si>
    <t xml:space="preserve">CV. Zahwa Arifah </t>
  </si>
  <si>
    <t xml:space="preserve">CV.SIBAYAK LESTARI </t>
  </si>
  <si>
    <t xml:space="preserve">CV. ZONA MULTIMEDIA </t>
  </si>
  <si>
    <t xml:space="preserve">PT HARVEST PERDANA KOMPAKINDO </t>
  </si>
  <si>
    <t xml:space="preserve">PT.WAHANA DINAMIKA CAKRA </t>
  </si>
  <si>
    <t xml:space="preserve">PT.Transformasi Sejahtera Indonesia </t>
  </si>
  <si>
    <t xml:space="preserve">PT. Indonesia Comnets Plus </t>
  </si>
  <si>
    <t xml:space="preserve">PT Cendana Teknika Utama </t>
  </si>
  <si>
    <t xml:space="preserve">PT. e-LM Haurata solusindo </t>
  </si>
  <si>
    <t xml:space="preserve">PT. INA HASTA MANDIRI </t>
  </si>
  <si>
    <t xml:space="preserve">PT. BUMI KERTA JAYANDARU </t>
  </si>
  <si>
    <t xml:space="preserve">CV.AGRINDO </t>
  </si>
  <si>
    <t xml:space="preserve">CV.AGRO LESTARI ALAM NUSANTARA </t>
  </si>
  <si>
    <t xml:space="preserve">CV.Amerta Abelin Panjaya </t>
  </si>
  <si>
    <t xml:space="preserve">cv.bangun nagatama </t>
  </si>
  <si>
    <t xml:space="preserve">PT. Bintang Tiga Delapan </t>
  </si>
  <si>
    <t xml:space="preserve">CV.BATU PERDANA </t>
  </si>
  <si>
    <t xml:space="preserve">CV.ANGKASA JAYA TEKNIK </t>
  </si>
  <si>
    <t xml:space="preserve">cv.anugrah utama </t>
  </si>
  <si>
    <t xml:space="preserve">CV.APTAGUNA JAYA INDO </t>
  </si>
  <si>
    <t xml:space="preserve">DELTA MULTI CONSULTANT </t>
  </si>
  <si>
    <t xml:space="preserve">PT. ALZAIDAN BILLIONARE </t>
  </si>
  <si>
    <t xml:space="preserve">CV.BERIN INFORMATIKA </t>
  </si>
  <si>
    <t xml:space="preserve">HAFIZH PRATAMA SEMESTA </t>
  </si>
  <si>
    <t xml:space="preserve">cv.bariq almas </t>
  </si>
  <si>
    <t xml:space="preserve">CV.BATU LAMAN SATONG </t>
  </si>
  <si>
    <t xml:space="preserve">PT. SAPTA INSAN NUSANTARA </t>
  </si>
  <si>
    <t xml:space="preserve">CV.CAHAYA NABILA </t>
  </si>
  <si>
    <t xml:space="preserve">CV.CAHYA SARANA KONSULTAN </t>
  </si>
  <si>
    <t xml:space="preserve">PT. CITRAWEES SALAWASNA </t>
  </si>
  <si>
    <t xml:space="preserve">PT. MULTI KARYA INTERPLAN KONSULTAN </t>
  </si>
  <si>
    <t xml:space="preserve">PT. Arenco Binatama </t>
  </si>
  <si>
    <t xml:space="preserve">Cv.multi perkasa </t>
  </si>
  <si>
    <t xml:space="preserve">CV.CIPTA WIJAYA </t>
  </si>
  <si>
    <t xml:space="preserve">CV.CITRA LESTARI </t>
  </si>
  <si>
    <t xml:space="preserve">CV.DAWA KARYA </t>
  </si>
  <si>
    <t xml:space="preserve">CV.DAYA KREASI DESIGN </t>
  </si>
  <si>
    <t xml:space="preserve">PT. Mitra Manunggal Selaras </t>
  </si>
  <si>
    <t xml:space="preserve">PT. LIMA DANAU </t>
  </si>
  <si>
    <t xml:space="preserve">PT. LINTAS BARAT SELATAN </t>
  </si>
  <si>
    <t xml:space="preserve">PT. Teras Mitra Sejahtera </t>
  </si>
  <si>
    <t xml:space="preserve">EHSAN ABBASY KONSTRUKSI </t>
  </si>
  <si>
    <t xml:space="preserve">PT. MULTI SINDO INTERNATIONAL </t>
  </si>
  <si>
    <t xml:space="preserve">PT. KARTIKA TEGUH KARYA </t>
  </si>
  <si>
    <t xml:space="preserve">PT. KONTINUM OEMPAK INDONESIA </t>
  </si>
  <si>
    <t xml:space="preserve">CV.ESHAN RASHIN </t>
  </si>
  <si>
    <t xml:space="preserve">CV.FAJAR KAPUAS SINTANG </t>
  </si>
  <si>
    <t xml:space="preserve">WAHANA SEJAHTERA MANDIRI </t>
  </si>
  <si>
    <t xml:space="preserve">PT.ARSITEKTUR KARYA APRATAMA </t>
  </si>
  <si>
    <t xml:space="preserve">PT.STRADA MULTIPERKASA </t>
  </si>
  <si>
    <t xml:space="preserve">CV.GENTINGLANJAK </t>
  </si>
  <si>
    <t xml:space="preserve">PT. HEROPERKASA PRIMAMAKMUR </t>
  </si>
  <si>
    <t xml:space="preserve">CV.GIBAH </t>
  </si>
  <si>
    <t xml:space="preserve">CV.GIFA KONSTRUKSI </t>
  </si>
  <si>
    <t xml:space="preserve">CV.GRAFIKA KENCANA </t>
  </si>
  <si>
    <t xml:space="preserve">PT.HENDRA PUTRA MANDIRI </t>
  </si>
  <si>
    <t xml:space="preserve">PT. NABILA KARYA MANDIRI </t>
  </si>
  <si>
    <t xml:space="preserve">SINAR CEMPAKA RAYA </t>
  </si>
  <si>
    <t xml:space="preserve">CV.KAPUAS MEMBANGUN </t>
  </si>
  <si>
    <t xml:space="preserve">PT. TRANS BORNEO LESTARI </t>
  </si>
  <si>
    <t xml:space="preserve">PT. KARYA GIJIKHA BERSAUDARA </t>
  </si>
  <si>
    <t xml:space="preserve">CV.KARISMA BHAKTI </t>
  </si>
  <si>
    <t xml:space="preserve">PT. Ariaputra Dwi Prima </t>
  </si>
  <si>
    <t xml:space="preserve">ERIAMAKMUR </t>
  </si>
  <si>
    <t xml:space="preserve">PT.ARJUNA PUTRA BANGSA </t>
  </si>
  <si>
    <t xml:space="preserve">CV.KARYA TURIBANGUN </t>
  </si>
  <si>
    <t xml:space="preserve">PT. Environesia Global Saraya </t>
  </si>
  <si>
    <t xml:space="preserve">PT. Difa Cipta Mandiri </t>
  </si>
  <si>
    <t xml:space="preserve">PT. KHANSA NIAGA PRATAMA </t>
  </si>
  <si>
    <t xml:space="preserve">PT. Delta Surya Alkesindo </t>
  </si>
  <si>
    <t xml:space="preserve">PT. DWICENTRA CAHAYA WIGUNA </t>
  </si>
  <si>
    <t xml:space="preserve">cv.riffat dian putra </t>
  </si>
  <si>
    <t xml:space="preserve">PT. Sistem Solusi Geospasial </t>
  </si>
  <si>
    <t xml:space="preserve">PT. BINA KARYA (Persero) </t>
  </si>
  <si>
    <t xml:space="preserve">PT. MITRA JASA SEJATI </t>
  </si>
  <si>
    <t xml:space="preserve">CV.KUSUMA JAYA ABADI </t>
  </si>
  <si>
    <t xml:space="preserve">PT Borneo Catering Service </t>
  </si>
  <si>
    <t xml:space="preserve">PT.NUUR BERKAH SENTOSA </t>
  </si>
  <si>
    <t xml:space="preserve">JAYA CITRA UTAMA </t>
  </si>
  <si>
    <t xml:space="preserve">CV.MAJU JAYA </t>
  </si>
  <si>
    <t xml:space="preserve">CV.MEGA PUTRI MANDIRI </t>
  </si>
  <si>
    <t xml:space="preserve">cv.mitra usaha </t>
  </si>
  <si>
    <t xml:space="preserve">CV.MULTI USAHA </t>
  </si>
  <si>
    <t xml:space="preserve">CV.PAO POERWOSARI </t>
  </si>
  <si>
    <t xml:space="preserve">GaneshaVatraRaya </t>
  </si>
  <si>
    <t xml:space="preserve">CV.POETRA SEMBILAN </t>
  </si>
  <si>
    <t xml:space="preserve">Karya Indah Pertiwi </t>
  </si>
  <si>
    <t xml:space="preserve">MATRIK </t>
  </si>
  <si>
    <t xml:space="preserve">Tiga Arga Kencana </t>
  </si>
  <si>
    <t xml:space="preserve">ReNa MULTI KARYA </t>
  </si>
  <si>
    <t xml:space="preserve">CV.PUTRA SAKANIS </t>
  </si>
  <si>
    <t xml:space="preserve">CV.PUTRA TANJUNG PRATAMA </t>
  </si>
  <si>
    <t xml:space="preserve">PT. MITRA PEMBANGUNAN KALBAR </t>
  </si>
  <si>
    <t xml:space="preserve">PT WIRATA DAYA MUKTITAMA </t>
  </si>
  <si>
    <t xml:space="preserve">PT.ZULMAR ALZAHRA PRATAMA </t>
  </si>
  <si>
    <t xml:space="preserve">INDOYASA MANDIRI PRATAMA, PT </t>
  </si>
  <si>
    <t xml:space="preserve">PT. IRENDO REKATAMA PERTIWI </t>
  </si>
  <si>
    <t xml:space="preserve">PT. MITRA LUHUR KARYA BERSAMA </t>
  </si>
  <si>
    <t xml:space="preserve">FORTU PURNA KARYA </t>
  </si>
  <si>
    <t xml:space="preserve">PT. TAMARIN </t>
  </si>
  <si>
    <t xml:space="preserve">PT.PURNA ELEKTRIKAL KHATULISTIWA </t>
  </si>
  <si>
    <t xml:space="preserve">PT. Bumi Aceh Citra Persada </t>
  </si>
  <si>
    <t xml:space="preserve">YUDHA AUDIA, PT </t>
  </si>
  <si>
    <t xml:space="preserve">PT. ALIF PUTRA KONSTRUKSI </t>
  </si>
  <si>
    <t xml:space="preserve">PATROMAN </t>
  </si>
  <si>
    <t xml:space="preserve">PT.Diana Saputra Sentosa </t>
  </si>
  <si>
    <t xml:space="preserve">CV.SARANA JAYA </t>
  </si>
  <si>
    <t xml:space="preserve">CV.SARANA KONSTRUKSI </t>
  </si>
  <si>
    <t xml:space="preserve">PT. GISOS PRATAMA PERKASA </t>
  </si>
  <si>
    <t xml:space="preserve">PT. YASINDO JAYA BERSAMA </t>
  </si>
  <si>
    <t xml:space="preserve">Jaya Mandiri </t>
  </si>
  <si>
    <t xml:space="preserve">PT. CAHAYA BUMI KHATULISTIWA </t>
  </si>
  <si>
    <t xml:space="preserve">cv.sultanindya rividha teknik </t>
  </si>
  <si>
    <t xml:space="preserve">PT. KONSALTA KUATORIAL </t>
  </si>
  <si>
    <t xml:space="preserve">PT. EKUILAPATTRA ENJINEERING KONSULTAN </t>
  </si>
  <si>
    <t xml:space="preserve">KRINOTEK </t>
  </si>
  <si>
    <t xml:space="preserve">OLEMAEUS GENERATION </t>
  </si>
  <si>
    <t xml:space="preserve">CV.SURYA MITRA ABADI </t>
  </si>
  <si>
    <t xml:space="preserve">CV.SYLVA BANGUN LESTARI </t>
  </si>
  <si>
    <t xml:space="preserve">PT. RIMBA MANDIRI CONSULTANT </t>
  </si>
  <si>
    <t xml:space="preserve">PT. PADURAKSA KONSULTAN </t>
  </si>
  <si>
    <t xml:space="preserve">PT. DUNIA MAYA COMMUNICA </t>
  </si>
  <si>
    <t xml:space="preserve">INTAN PERMAI PERKASA </t>
  </si>
  <si>
    <t xml:space="preserve">CV.YULIA PERKASA </t>
  </si>
  <si>
    <t xml:space="preserve">CV.ZIAR ESTETIKA KONSULTAN </t>
  </si>
  <si>
    <t xml:space="preserve">DELTA SEJAHTERA </t>
  </si>
  <si>
    <t xml:space="preserve">GOVINDA PUTRA MANDIRI, CV </t>
  </si>
  <si>
    <t xml:space="preserve">DHARMAPALA NUSANTARA </t>
  </si>
  <si>
    <t xml:space="preserve">PT. MITRA ANTARA BENUA </t>
  </si>
  <si>
    <t xml:space="preserve">PT. Niaga Bijak Bestari </t>
  </si>
  <si>
    <t xml:space="preserve">INKOP PAMSI </t>
  </si>
  <si>
    <t xml:space="preserve">Elang Kapuas Perkasa </t>
  </si>
  <si>
    <t xml:space="preserve">PT. BUANA REKAYASA ADHIGANA </t>
  </si>
  <si>
    <t xml:space="preserve">PT. SWADAYA INTI SARANA </t>
  </si>
  <si>
    <t xml:space="preserve">PT. ASTA KENCANA ARSIMETAMA </t>
  </si>
  <si>
    <t xml:space="preserve">PT. Aksa Internusa Putra </t>
  </si>
  <si>
    <t xml:space="preserve">PT. BAHANA KRIDA NUSANTARA </t>
  </si>
  <si>
    <t xml:space="preserve">PT. CIPTA MARGA SARANA </t>
  </si>
  <si>
    <t xml:space="preserve">PT. DWI ARTHA YADNYA UTAMA </t>
  </si>
  <si>
    <t xml:space="preserve">PT. KALIMANTAN HAKKA </t>
  </si>
  <si>
    <t xml:space="preserve">PT. SABARINDO CIPTA ANUGRAH </t>
  </si>
  <si>
    <t xml:space="preserve">PT. KARYA EMAS AGUNG SEKADAU </t>
  </si>
  <si>
    <t xml:space="preserve">PT. HINOKA MULIA </t>
  </si>
  <si>
    <t xml:space="preserve">PT. MARTUA JAYA MEGAH </t>
  </si>
  <si>
    <t xml:space="preserve">PT.BENUA LESTARI KONSTRUKSI </t>
  </si>
  <si>
    <t xml:space="preserve">PT YULIA EKA PRATAMA </t>
  </si>
  <si>
    <t xml:space="preserve">SINAR MANDAY UTAMA </t>
  </si>
  <si>
    <t xml:space="preserve">Mega Sukses Perkasa </t>
  </si>
  <si>
    <t xml:space="preserve">PT. Apro Megatama </t>
  </si>
  <si>
    <t xml:space="preserve">Master Basis Century </t>
  </si>
  <si>
    <t xml:space="preserve">PT. ASRIA NURLINDRA INTI SEJAHTERA </t>
  </si>
  <si>
    <t xml:space="preserve">GHANIZ CONSULINDO </t>
  </si>
  <si>
    <t xml:space="preserve">PT. SERANTUNG BAJA PERKASA </t>
  </si>
  <si>
    <t xml:space="preserve">PT. Goro Bhatara Tanjungpura </t>
  </si>
  <si>
    <t xml:space="preserve">PT. AKAR PONDASI RIZKY </t>
  </si>
  <si>
    <t xml:space="preserve">HASTA JAYA ABADI </t>
  </si>
  <si>
    <t xml:space="preserve">INDOSAKTI CAKRAWALA NUSANTARA </t>
  </si>
  <si>
    <t xml:space="preserve">JATI PERKASA MANDIRI </t>
  </si>
  <si>
    <t xml:space="preserve">PT. Sinar Teliyai </t>
  </si>
  <si>
    <t xml:space="preserve">MUTIARA GHINA KHATULISTIWA </t>
  </si>
  <si>
    <t xml:space="preserve">PT. DELTA KAPUAS KONSTRUKSI </t>
  </si>
  <si>
    <t xml:space="preserve">PT. Mitrakawasa Konsulindo </t>
  </si>
  <si>
    <t xml:space="preserve">PT. Bhakti Persada </t>
  </si>
  <si>
    <t xml:space="preserve">KALATE KONSULTAN </t>
  </si>
  <si>
    <t xml:space="preserve">Karsa Wira Utama </t>
  </si>
  <si>
    <t xml:space="preserve">Kartika Beruang Cakti </t>
  </si>
  <si>
    <t xml:space="preserve">PT. METRO INDO WAHANATAKA </t>
  </si>
  <si>
    <t xml:space="preserve">PT Toton Cita Abadi </t>
  </si>
  <si>
    <t xml:space="preserve">PT. CITRAKARSA HANGANJAYA </t>
  </si>
  <si>
    <t xml:space="preserve">PT. SKALA PILAR LIMA </t>
  </si>
  <si>
    <t xml:space="preserve">PT. MARGA SARANA BHUMI </t>
  </si>
  <si>
    <t xml:space="preserve">limber putra pratama </t>
  </si>
  <si>
    <t xml:space="preserve">Lugadika Elka Sukma </t>
  </si>
  <si>
    <t xml:space="preserve">Maju Mundur Chantik </t>
  </si>
  <si>
    <t xml:space="preserve">PT. Puri Aji Buana </t>
  </si>
  <si>
    <t xml:space="preserve">PT. JAVA DESAIN CONSULTAN </t>
  </si>
  <si>
    <t xml:space="preserve">PT. Sisarti Baksya Asasta </t>
  </si>
  <si>
    <t xml:space="preserve">PT.SELARAS MULTIARSI KONSULTAN </t>
  </si>
  <si>
    <t xml:space="preserve">P.D. Prima Rasa Catering </t>
  </si>
  <si>
    <t xml:space="preserve">pasurianamurajaya </t>
  </si>
  <si>
    <t xml:space="preserve">PT. Gemilang Nusa Perkasa </t>
  </si>
  <si>
    <t xml:space="preserve">PT. ADIAKSA WAHYU UTAMA </t>
  </si>
  <si>
    <t xml:space="preserve">Pramadaya Karya Cipta </t>
  </si>
  <si>
    <t xml:space="preserve">PT ARTHASARI DESAIN </t>
  </si>
  <si>
    <t xml:space="preserve">PT BOGAR ARTA SATRIA </t>
  </si>
  <si>
    <t xml:space="preserve">PT FENDEL STRUCTURE ENGINEERING </t>
  </si>
  <si>
    <t xml:space="preserve">PT Garda Karya Sarana </t>
  </si>
  <si>
    <t xml:space="preserve">PT GEOSAT SURVEI INDONESIA </t>
  </si>
  <si>
    <t xml:space="preserve">REZEKI BETUAH RAYA. PT </t>
  </si>
  <si>
    <t xml:space="preserve">PT.ANEKA SARANA </t>
  </si>
  <si>
    <t xml:space="preserve">PT JASUINDO TIGA PERKASA TBK </t>
  </si>
  <si>
    <t xml:space="preserve">PT MEDISAIN DADI SEMPURNA </t>
  </si>
  <si>
    <t xml:space="preserve">Pt MULIA USAHA BORNEO </t>
  </si>
  <si>
    <t xml:space="preserve">PT PURA BARUTAMA </t>
  </si>
  <si>
    <t xml:space="preserve">PT PUTRA ADIL SEJAHTERA </t>
  </si>
  <si>
    <t xml:space="preserve">PT. ACCURASCI PRIMA VALENT </t>
  </si>
  <si>
    <t xml:space="preserve">PT. Hasea Gandatama </t>
  </si>
  <si>
    <t xml:space="preserve">PT. ANUGRAH ADYATAMA </t>
  </si>
  <si>
    <t xml:space="preserve">PT. ARIA MULTI GRAPHIA </t>
  </si>
  <si>
    <t xml:space="preserve">PT. ARIDAS KARYA SATRIA </t>
  </si>
  <si>
    <t xml:space="preserve">PT. Arief Pratama Putra </t>
  </si>
  <si>
    <t xml:space="preserve">PT. ARINA TAMA PERSADA </t>
  </si>
  <si>
    <t xml:space="preserve">PT. ARSEKON KHATULISTIWA REKAYASA </t>
  </si>
  <si>
    <t xml:space="preserve">PT. Astra International, Tbk - Toyota Sales Operation Cabang Denpasar </t>
  </si>
  <si>
    <t xml:space="preserve">PT. ERTANA LESTARI MANDIRI </t>
  </si>
  <si>
    <t xml:space="preserve">PT. AURAMA KARYA KONSULTAN </t>
  </si>
  <si>
    <t xml:space="preserve">PT. AYUN JAYA MOTOR </t>
  </si>
  <si>
    <t xml:space="preserve">PT. BATU ALAM BERKAH </t>
  </si>
  <si>
    <t xml:space="preserve">PT. BERKAH ABTAS CAHAYA UTAMA </t>
  </si>
  <si>
    <t xml:space="preserve">PT. Berkah Air Kapuas </t>
  </si>
  <si>
    <t xml:space="preserve">PT. BERMUDA KONSULTAN </t>
  </si>
  <si>
    <t xml:space="preserve">PT.BINTANGSATRIASEJATI </t>
  </si>
  <si>
    <t xml:space="preserve">PT. Betawimas Cemerlang </t>
  </si>
  <si>
    <t xml:space="preserve">PT. Cahaya Aulia Putra </t>
  </si>
  <si>
    <t xml:space="preserve">PT. CIPTA JASA SELARAS </t>
  </si>
  <si>
    <t xml:space="preserve">PT. DASA JAYA PERKASA </t>
  </si>
  <si>
    <t xml:space="preserve">PT. CIPTA MANDIRI KONSULTAN </t>
  </si>
  <si>
    <t xml:space="preserve">PT. Cipta Plano Prima Perkasa </t>
  </si>
  <si>
    <t xml:space="preserve">PTBLITAR PERMAI </t>
  </si>
  <si>
    <t xml:space="preserve">PT. TUAH AWAM ENGINEERING </t>
  </si>
  <si>
    <t xml:space="preserve">PT.KARYA NUSA PEMUDA INDONESIA </t>
  </si>
  <si>
    <t xml:space="preserve">RADILA SULTHAN </t>
  </si>
  <si>
    <t xml:space="preserve">PT. TOLPING JAYA </t>
  </si>
  <si>
    <t xml:space="preserve">PT. DEXATAMA NIAGA LABTEKINDO </t>
  </si>
  <si>
    <t xml:space="preserve">PT.TIARA WARINGIN MANUNGGAL </t>
  </si>
  <si>
    <t xml:space="preserve">PT. ELCENTRO ENGINEERING CONSULTANT </t>
  </si>
  <si>
    <t xml:space="preserve">PT. ESA GEMILANG MANDIRI </t>
  </si>
  <si>
    <t xml:space="preserve">sinar mulia mandiri </t>
  </si>
  <si>
    <t xml:space="preserve">PT. JASA SARANA KHATULISTIWA </t>
  </si>
  <si>
    <t xml:space="preserve">PT. JASABINA SARI MUSTIKA </t>
  </si>
  <si>
    <t xml:space="preserve">PT. JAYA SOLUSI CEMERLANG </t>
  </si>
  <si>
    <t xml:space="preserve">PT. KARTIA TARINA BUMI </t>
  </si>
  <si>
    <t xml:space="preserve">PT. Raditya Triyasa Konsultan </t>
  </si>
  <si>
    <t xml:space="preserve">PT. KEBUN PANGAN JAYA </t>
  </si>
  <si>
    <t xml:space="preserve">PT. KENCANA MAKMUR LESTARI </t>
  </si>
  <si>
    <t xml:space="preserve">PT. KONIRISA </t>
  </si>
  <si>
    <t xml:space="preserve">PT. LIMA ANUGRAH JAYA </t>
  </si>
  <si>
    <t xml:space="preserve">PT. WARINGIN JATI </t>
  </si>
  <si>
    <t xml:space="preserve">PT. TRISAKTI MUSTIKA GRAPHIKA </t>
  </si>
  <si>
    <t xml:space="preserve">PT. TRIJAYA FIRST ENGINEERING </t>
  </si>
  <si>
    <t xml:space="preserve">PT. Wilis Jaya Semesta </t>
  </si>
  <si>
    <t xml:space="preserve">PT. SEWUN INDO KONSULTAN </t>
  </si>
  <si>
    <t xml:space="preserve">SAMARA KARYA </t>
  </si>
  <si>
    <t xml:space="preserve">PT. Menuju Midiutama Mandiri </t>
  </si>
  <si>
    <t xml:space="preserve">PT. MITRA SAKTI KHATULISTIWA </t>
  </si>
  <si>
    <t xml:space="preserve">PT. NAFA AIRFINDO KONSULTAN </t>
  </si>
  <si>
    <t xml:space="preserve">PT. NITRO JAYA KARYA </t>
  </si>
  <si>
    <t xml:space="preserve">PT. OMETRACO ARYA SAMANTA </t>
  </si>
  <si>
    <t xml:space="preserve">PT. Pandu Persada </t>
  </si>
  <si>
    <t xml:space="preserve">PT. PARADHIGUNA DWIPANTARA LOKA </t>
  </si>
  <si>
    <t xml:space="preserve">PT. PAYUNG PERANCANG NUSANTARA </t>
  </si>
  <si>
    <t xml:space="preserve">PT. PUSAKA BYANTARA SAKTI </t>
  </si>
  <si>
    <t xml:space="preserve">PT. PUTRAPRIANGAN PERKASA </t>
  </si>
  <si>
    <t xml:space="preserve">PT. QUHAJA PASMA SOWARGA </t>
  </si>
  <si>
    <t xml:space="preserve">PT. Ridho Pratama Mandiri </t>
  </si>
  <si>
    <t xml:space="preserve">PT. SINERGI BORNEO SUKSES </t>
  </si>
  <si>
    <t xml:space="preserve">PT. SPEKTRUM KREASI PRATAMA </t>
  </si>
  <si>
    <t xml:space="preserve">PT. TASHIDA SEJAHTERA PERKASA </t>
  </si>
  <si>
    <t xml:space="preserve">PT. URBAN SPASIAL INDONESIA </t>
  </si>
  <si>
    <t xml:space="preserve">RAJA KAPUAS SAKTI </t>
  </si>
  <si>
    <t xml:space="preserve">PT. WIKANANDARU MULTI LAKSANA </t>
  </si>
  <si>
    <t xml:space="preserve">PT.ARDI PUTRA SANGKAN </t>
  </si>
  <si>
    <t xml:space="preserve">PT.EDHO JAYA MANDIRI </t>
  </si>
  <si>
    <t xml:space="preserve">PT.ENSAS PELITA USAHA </t>
  </si>
  <si>
    <t xml:space="preserve">RM.ARIEF </t>
  </si>
  <si>
    <t xml:space="preserve">PT.PONTIANAK SEJATI DUA DUA </t>
  </si>
  <si>
    <t xml:space="preserve">PT.Sarfaraz Mitra Sejahtera </t>
  </si>
  <si>
    <t xml:space="preserve">PT.USAHA TIGA BERSAUDARA </t>
  </si>
  <si>
    <t xml:space="preserve">PT.WANDA MAHARANI </t>
  </si>
  <si>
    <t xml:space="preserve">TANGKAU, CV </t>
  </si>
  <si>
    <t>Kode Tender</t>
  </si>
</sst>
</file>

<file path=xl/styles.xml><?xml version="1.0" encoding="utf-8"?>
<styleSheet xmlns="http://schemas.openxmlformats.org/spreadsheetml/2006/main">
  <numFmts count="4">
    <numFmt numFmtId="176" formatCode="_(* #,##0_);_(* \(#,##0\);_(* &quot;-&quot;_);_(@_)"/>
    <numFmt numFmtId="177" formatCode="_(* #,##0.00_);_(* \(#,##0.00\);_(* &quot;-&quot;??_);_(@_)"/>
    <numFmt numFmtId="178" formatCode="_-&quot;Rp&quot;* #,##0.00_-;\-&quot;Rp&quot;* #,##0.00_-;_-&quot;Rp&quot;* &quot;-&quot;??_-;_-@_-"/>
    <numFmt numFmtId="179" formatCode="_-&quot;Rp&quot;* #,##0_-;\-&quot;Rp&quot;* #,##0_-;_-&quot;Rp&quot;* &quot;-&quot;??_-;_-@_-"/>
  </numFmts>
  <fonts count="22">
    <font>
      <sz val="11"/>
      <color theme="1"/>
      <name val="Calibri"/>
      <charset val="134"/>
      <scheme val="minor"/>
    </font>
    <font>
      <sz val="6"/>
      <color rgb="FF212529"/>
      <name val="Arial"/>
      <charset val="134"/>
    </font>
    <font>
      <u/>
      <sz val="11"/>
      <color theme="10"/>
      <name val="Calibri"/>
      <charset val="134"/>
      <scheme val="minor"/>
    </font>
    <font>
      <sz val="11"/>
      <color theme="1"/>
      <name val="Calibri"/>
      <charset val="134"/>
      <scheme val="minor"/>
    </font>
    <font>
      <sz val="11"/>
      <color theme="1"/>
      <name val="Calibri"/>
      <charset val="0"/>
      <scheme val="minor"/>
    </font>
    <font>
      <sz val="11"/>
      <color theme="0"/>
      <name val="Calibri"/>
      <charset val="0"/>
      <scheme val="minor"/>
    </font>
    <font>
      <u/>
      <sz val="11"/>
      <color rgb="FF800080"/>
      <name val="Calibri"/>
      <charset val="0"/>
      <scheme val="minor"/>
    </font>
    <font>
      <b/>
      <sz val="11"/>
      <color theme="3"/>
      <name val="Calibri"/>
      <charset val="134"/>
      <scheme val="minor"/>
    </font>
    <font>
      <b/>
      <sz val="11"/>
      <color rgb="FFFFFFFF"/>
      <name val="Calibri"/>
      <charset val="0"/>
      <scheme val="minor"/>
    </font>
    <font>
      <b/>
      <sz val="13"/>
      <color theme="3"/>
      <name val="Calibri"/>
      <charset val="134"/>
      <scheme val="minor"/>
    </font>
    <font>
      <sz val="11"/>
      <color rgb="FFFF0000"/>
      <name val="Calibri"/>
      <charset val="0"/>
      <scheme val="minor"/>
    </font>
    <font>
      <b/>
      <sz val="18"/>
      <color theme="3"/>
      <name val="Calibri"/>
      <charset val="134"/>
      <scheme val="minor"/>
    </font>
    <font>
      <i/>
      <sz val="11"/>
      <color rgb="FF7F7F7F"/>
      <name val="Calibri"/>
      <charset val="0"/>
      <scheme val="minor"/>
    </font>
    <font>
      <b/>
      <sz val="15"/>
      <color theme="3"/>
      <name val="Calibri"/>
      <charset val="134"/>
      <scheme val="minor"/>
    </font>
    <font>
      <b/>
      <sz val="11"/>
      <color rgb="FFFA7D00"/>
      <name val="Calibri"/>
      <charset val="0"/>
      <scheme val="minor"/>
    </font>
    <font>
      <sz val="11"/>
      <color rgb="FF3F3F76"/>
      <name val="Calibri"/>
      <charset val="0"/>
      <scheme val="minor"/>
    </font>
    <font>
      <sz val="11"/>
      <color rgb="FF9C0006"/>
      <name val="Calibri"/>
      <charset val="0"/>
      <scheme val="minor"/>
    </font>
    <font>
      <sz val="11"/>
      <color rgb="FF006100"/>
      <name val="Calibri"/>
      <charset val="0"/>
      <scheme val="minor"/>
    </font>
    <font>
      <b/>
      <sz val="11"/>
      <color theme="1"/>
      <name val="Calibri"/>
      <charset val="0"/>
      <scheme val="minor"/>
    </font>
    <font>
      <b/>
      <sz val="11"/>
      <color rgb="FF3F3F3F"/>
      <name val="Calibri"/>
      <charset val="0"/>
      <scheme val="minor"/>
    </font>
    <font>
      <sz val="11"/>
      <color rgb="FFFA7D00"/>
      <name val="Calibri"/>
      <charset val="0"/>
      <scheme val="minor"/>
    </font>
    <font>
      <sz val="11"/>
      <color rgb="FF9C6500"/>
      <name val="Calibri"/>
      <charset val="0"/>
      <scheme val="minor"/>
    </font>
  </fonts>
  <fills count="37">
    <fill>
      <patternFill patternType="none"/>
    </fill>
    <fill>
      <patternFill patternType="gray125"/>
    </fill>
    <fill>
      <patternFill patternType="solid">
        <fgColor theme="4" tint="0.599993896298105"/>
        <bgColor indexed="64"/>
      </patternFill>
    </fill>
    <fill>
      <patternFill patternType="solid">
        <fgColor theme="4"/>
        <bgColor indexed="64"/>
      </patternFill>
    </fill>
    <fill>
      <patternFill patternType="solid">
        <fgColor theme="4" tint="0.399975585192419"/>
        <bgColor indexed="64"/>
      </patternFill>
    </fill>
    <fill>
      <patternFill patternType="solid">
        <fgColor rgb="FFFFFFFF"/>
        <bgColor indexed="64"/>
      </patternFill>
    </fill>
    <fill>
      <patternFill patternType="solid">
        <fgColor theme="8" tint="0.599993896298105"/>
        <bgColor indexed="64"/>
      </patternFill>
    </fill>
    <fill>
      <patternFill patternType="solid">
        <fgColor theme="7" tint="0.599993896298105"/>
        <bgColor indexed="64"/>
      </patternFill>
    </fill>
    <fill>
      <patternFill patternType="solid">
        <fgColor theme="5" tint="0.399975585192419"/>
        <bgColor indexed="64"/>
      </patternFill>
    </fill>
    <fill>
      <patternFill patternType="solid">
        <fgColor theme="4" tint="0.599993896298105"/>
        <bgColor indexed="64"/>
      </patternFill>
    </fill>
    <fill>
      <patternFill patternType="solid">
        <fgColor theme="9" tint="0.399975585192419"/>
        <bgColor indexed="64"/>
      </patternFill>
    </fill>
    <fill>
      <patternFill patternType="solid">
        <fgColor theme="5"/>
        <bgColor indexed="64"/>
      </patternFill>
    </fill>
    <fill>
      <patternFill patternType="solid">
        <fgColor theme="8" tint="0.799981688894314"/>
        <bgColor indexed="64"/>
      </patternFill>
    </fill>
    <fill>
      <patternFill patternType="solid">
        <fgColor theme="9"/>
        <bgColor indexed="64"/>
      </patternFill>
    </fill>
    <fill>
      <patternFill patternType="solid">
        <fgColor theme="7"/>
        <bgColor indexed="64"/>
      </patternFill>
    </fill>
    <fill>
      <patternFill patternType="solid">
        <fgColor theme="4" tint="0.799981688894314"/>
        <bgColor indexed="64"/>
      </patternFill>
    </fill>
    <fill>
      <patternFill patternType="solid">
        <fgColor theme="7" tint="0.399975585192419"/>
        <bgColor indexed="64"/>
      </patternFill>
    </fill>
    <fill>
      <patternFill patternType="solid">
        <fgColor theme="9" tint="0.599993896298105"/>
        <bgColor indexed="64"/>
      </patternFill>
    </fill>
    <fill>
      <patternFill patternType="solid">
        <fgColor theme="5" tint="0.799981688894314"/>
        <bgColor indexed="64"/>
      </patternFill>
    </fill>
    <fill>
      <patternFill patternType="solid">
        <fgColor rgb="FFA5A5A5"/>
        <bgColor indexed="64"/>
      </patternFill>
    </fill>
    <fill>
      <patternFill patternType="solid">
        <fgColor rgb="FFFFFFCC"/>
        <bgColor indexed="64"/>
      </patternFill>
    </fill>
    <fill>
      <patternFill patternType="solid">
        <fgColor theme="6" tint="0.799981688894314"/>
        <bgColor indexed="64"/>
      </patternFill>
    </fill>
    <fill>
      <patternFill patternType="solid">
        <fgColor theme="4" tint="0.399975585192419"/>
        <bgColor indexed="64"/>
      </patternFill>
    </fill>
    <fill>
      <patternFill patternType="solid">
        <fgColor theme="5" tint="0.599993896298105"/>
        <bgColor indexed="64"/>
      </patternFill>
    </fill>
    <fill>
      <patternFill patternType="solid">
        <fgColor theme="6" tint="0.599993896298105"/>
        <bgColor indexed="64"/>
      </patternFill>
    </fill>
    <fill>
      <patternFill patternType="solid">
        <fgColor theme="8" tint="0.399975585192419"/>
        <bgColor indexed="64"/>
      </patternFill>
    </fill>
    <fill>
      <patternFill patternType="solid">
        <fgColor theme="8"/>
        <bgColor indexed="64"/>
      </patternFill>
    </fill>
    <fill>
      <patternFill patternType="solid">
        <fgColor theme="6"/>
        <bgColor indexed="64"/>
      </patternFill>
    </fill>
    <fill>
      <patternFill patternType="solid">
        <fgColor theme="6" tint="0.399975585192419"/>
        <bgColor indexed="64"/>
      </patternFill>
    </fill>
    <fill>
      <patternFill patternType="solid">
        <fgColor rgb="FFF2F2F2"/>
        <bgColor indexed="64"/>
      </patternFill>
    </fill>
    <fill>
      <patternFill patternType="solid">
        <fgColor rgb="FFFFCC99"/>
        <bgColor indexed="64"/>
      </patternFill>
    </fill>
    <fill>
      <patternFill patternType="solid">
        <fgColor rgb="FFFFC7CE"/>
        <bgColor indexed="64"/>
      </patternFill>
    </fill>
    <fill>
      <patternFill patternType="solid">
        <fgColor rgb="FFC6EFCE"/>
        <bgColor indexed="64"/>
      </patternFill>
    </fill>
    <fill>
      <patternFill patternType="solid">
        <fgColor theme="4"/>
        <bgColor indexed="64"/>
      </patternFill>
    </fill>
    <fill>
      <patternFill patternType="solid">
        <fgColor rgb="FFFFEB9C"/>
        <bgColor indexed="64"/>
      </patternFill>
    </fill>
    <fill>
      <patternFill patternType="solid">
        <fgColor theme="9" tint="0.799981688894314"/>
        <bgColor indexed="64"/>
      </patternFill>
    </fill>
    <fill>
      <patternFill patternType="solid">
        <fgColor theme="7" tint="0.799981688894314"/>
        <bgColor indexed="64"/>
      </patternFill>
    </fill>
  </fills>
  <borders count="14">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right/>
      <top style="medium">
        <color rgb="FFDDDDDD"/>
      </top>
      <bottom/>
      <diagonal/>
    </border>
    <border>
      <left/>
      <right/>
      <top/>
      <bottom style="medium">
        <color rgb="FFDEE2E6"/>
      </bottom>
      <diagonal/>
    </border>
    <border>
      <left/>
      <right/>
      <top style="medium">
        <color rgb="FFDEE2E6"/>
      </top>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s>
  <cellStyleXfs count="49">
    <xf numFmtId="0" fontId="0" fillId="0" borderId="0"/>
    <xf numFmtId="0" fontId="4" fillId="9" borderId="0" applyNumberFormat="0" applyBorder="0" applyAlignment="0" applyProtection="0">
      <alignment vertical="center"/>
    </xf>
    <xf numFmtId="177" fontId="3" fillId="0" borderId="0" applyFont="0" applyFill="0" applyBorder="0" applyAlignment="0" applyProtection="0">
      <alignment vertical="center"/>
    </xf>
    <xf numFmtId="176" fontId="3" fillId="0" borderId="0" applyFont="0" applyFill="0" applyBorder="0" applyAlignment="0" applyProtection="0">
      <alignment vertical="center"/>
    </xf>
    <xf numFmtId="179" fontId="3" fillId="0" borderId="0" applyFont="0" applyFill="0" applyBorder="0" applyAlignment="0" applyProtection="0">
      <alignment vertical="center"/>
    </xf>
    <xf numFmtId="178" fontId="3" fillId="0" borderId="0" applyFont="0" applyFill="0" applyBorder="0" applyAlignment="0" applyProtection="0">
      <alignment vertical="center"/>
    </xf>
    <xf numFmtId="9" fontId="3" fillId="0" borderId="0" applyFont="0" applyFill="0" applyBorder="0" applyAlignment="0" applyProtection="0">
      <alignment vertical="center"/>
    </xf>
    <xf numFmtId="0" fontId="2" fillId="0" borderId="0" applyNumberFormat="0" applyFill="0" applyBorder="0" applyAlignment="0" applyProtection="0"/>
    <xf numFmtId="0" fontId="5" fillId="16" borderId="0" applyNumberFormat="0" applyBorder="0" applyAlignment="0" applyProtection="0">
      <alignment vertical="center"/>
    </xf>
    <xf numFmtId="0" fontId="6" fillId="0" borderId="0" applyNumberFormat="0" applyFill="0" applyBorder="0" applyAlignment="0" applyProtection="0">
      <alignment vertical="center"/>
    </xf>
    <xf numFmtId="0" fontId="8" fillId="19" borderId="6" applyNumberFormat="0" applyAlignment="0" applyProtection="0">
      <alignment vertical="center"/>
    </xf>
    <xf numFmtId="0" fontId="9" fillId="0" borderId="7" applyNumberFormat="0" applyFill="0" applyAlignment="0" applyProtection="0">
      <alignment vertical="center"/>
    </xf>
    <xf numFmtId="0" fontId="3" fillId="20" borderId="8" applyNumberFormat="0" applyFont="0" applyAlignment="0" applyProtection="0">
      <alignment vertical="center"/>
    </xf>
    <xf numFmtId="0" fontId="4" fillId="24" borderId="0" applyNumberFormat="0" applyBorder="0" applyAlignment="0" applyProtection="0">
      <alignment vertical="center"/>
    </xf>
    <xf numFmtId="0" fontId="10" fillId="0" borderId="0" applyNumberFormat="0" applyFill="0" applyBorder="0" applyAlignment="0" applyProtection="0">
      <alignment vertical="center"/>
    </xf>
    <xf numFmtId="0" fontId="4" fillId="2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3" fillId="0" borderId="7" applyNumberFormat="0" applyFill="0" applyAlignment="0" applyProtection="0">
      <alignment vertical="center"/>
    </xf>
    <xf numFmtId="0" fontId="7" fillId="0" borderId="9" applyNumberFormat="0" applyFill="0" applyAlignment="0" applyProtection="0">
      <alignment vertical="center"/>
    </xf>
    <xf numFmtId="0" fontId="7" fillId="0" borderId="0" applyNumberFormat="0" applyFill="0" applyBorder="0" applyAlignment="0" applyProtection="0">
      <alignment vertical="center"/>
    </xf>
    <xf numFmtId="0" fontId="15" fillId="30" borderId="10" applyNumberFormat="0" applyAlignment="0" applyProtection="0">
      <alignment vertical="center"/>
    </xf>
    <xf numFmtId="0" fontId="5" fillId="28" borderId="0" applyNumberFormat="0" applyBorder="0" applyAlignment="0" applyProtection="0">
      <alignment vertical="center"/>
    </xf>
    <xf numFmtId="0" fontId="17" fillId="32" borderId="0" applyNumberFormat="0" applyBorder="0" applyAlignment="0" applyProtection="0">
      <alignment vertical="center"/>
    </xf>
    <xf numFmtId="0" fontId="19" fillId="29" borderId="12" applyNumberFormat="0" applyAlignment="0" applyProtection="0">
      <alignment vertical="center"/>
    </xf>
    <xf numFmtId="0" fontId="4" fillId="15" borderId="0" applyNumberFormat="0" applyBorder="0" applyAlignment="0" applyProtection="0">
      <alignment vertical="center"/>
    </xf>
    <xf numFmtId="0" fontId="14" fillId="29" borderId="10" applyNumberFormat="0" applyAlignment="0" applyProtection="0">
      <alignment vertical="center"/>
    </xf>
    <xf numFmtId="0" fontId="20" fillId="0" borderId="13" applyNumberFormat="0" applyFill="0" applyAlignment="0" applyProtection="0">
      <alignment vertical="center"/>
    </xf>
    <xf numFmtId="0" fontId="18" fillId="0" borderId="11" applyNumberFormat="0" applyFill="0" applyAlignment="0" applyProtection="0">
      <alignment vertical="center"/>
    </xf>
    <xf numFmtId="0" fontId="16" fillId="31" borderId="0" applyNumberFormat="0" applyBorder="0" applyAlignment="0" applyProtection="0">
      <alignment vertical="center"/>
    </xf>
    <xf numFmtId="0" fontId="21" fillId="34" borderId="0" applyNumberFormat="0" applyBorder="0" applyAlignment="0" applyProtection="0">
      <alignment vertical="center"/>
    </xf>
    <xf numFmtId="0" fontId="5" fillId="33" borderId="0" applyNumberFormat="0" applyBorder="0" applyAlignment="0" applyProtection="0">
      <alignment vertical="center"/>
    </xf>
    <xf numFmtId="0" fontId="4" fillId="12" borderId="0" applyNumberFormat="0" applyBorder="0" applyAlignment="0" applyProtection="0">
      <alignment vertical="center"/>
    </xf>
    <xf numFmtId="0" fontId="5" fillId="22" borderId="0" applyNumberFormat="0" applyBorder="0" applyAlignment="0" applyProtection="0">
      <alignment vertical="center"/>
    </xf>
    <xf numFmtId="0" fontId="5" fillId="11" borderId="0" applyNumberFormat="0" applyBorder="0" applyAlignment="0" applyProtection="0">
      <alignment vertical="center"/>
    </xf>
    <xf numFmtId="0" fontId="4" fillId="18" borderId="0" applyNumberFormat="0" applyBorder="0" applyAlignment="0" applyProtection="0">
      <alignment vertical="center"/>
    </xf>
    <xf numFmtId="0" fontId="4" fillId="35" borderId="0" applyNumberFormat="0" applyBorder="0" applyAlignment="0" applyProtection="0">
      <alignment vertical="center"/>
    </xf>
    <xf numFmtId="0" fontId="5" fillId="8" borderId="0" applyNumberFormat="0" applyBorder="0" applyAlignment="0" applyProtection="0">
      <alignment vertical="center"/>
    </xf>
    <xf numFmtId="0" fontId="5" fillId="27" borderId="0" applyNumberFormat="0" applyBorder="0" applyAlignment="0" applyProtection="0">
      <alignment vertical="center"/>
    </xf>
    <xf numFmtId="0" fontId="4" fillId="21" borderId="0" applyNumberFormat="0" applyBorder="0" applyAlignment="0" applyProtection="0">
      <alignment vertical="center"/>
    </xf>
    <xf numFmtId="0" fontId="5" fillId="14" borderId="0" applyNumberFormat="0" applyBorder="0" applyAlignment="0" applyProtection="0">
      <alignment vertical="center"/>
    </xf>
    <xf numFmtId="0" fontId="4" fillId="36" borderId="0" applyNumberFormat="0" applyBorder="0" applyAlignment="0" applyProtection="0">
      <alignment vertical="center"/>
    </xf>
    <xf numFmtId="0" fontId="4" fillId="7" borderId="0" applyNumberFormat="0" applyBorder="0" applyAlignment="0" applyProtection="0">
      <alignment vertical="center"/>
    </xf>
    <xf numFmtId="0" fontId="5" fillId="26" borderId="0" applyNumberFormat="0" applyBorder="0" applyAlignment="0" applyProtection="0">
      <alignment vertical="center"/>
    </xf>
    <xf numFmtId="0" fontId="4" fillId="6" borderId="0" applyNumberFormat="0" applyBorder="0" applyAlignment="0" applyProtection="0">
      <alignment vertical="center"/>
    </xf>
    <xf numFmtId="0" fontId="5" fillId="25" borderId="0" applyNumberFormat="0" applyBorder="0" applyAlignment="0" applyProtection="0">
      <alignment vertical="center"/>
    </xf>
    <xf numFmtId="0" fontId="5" fillId="13" borderId="0" applyNumberFormat="0" applyBorder="0" applyAlignment="0" applyProtection="0">
      <alignment vertical="center"/>
    </xf>
    <xf numFmtId="0" fontId="4" fillId="17" borderId="0" applyNumberFormat="0" applyBorder="0" applyAlignment="0" applyProtection="0">
      <alignment vertical="center"/>
    </xf>
    <xf numFmtId="0" fontId="5" fillId="10" borderId="0" applyNumberFormat="0" applyBorder="0" applyAlignment="0" applyProtection="0">
      <alignment vertical="center"/>
    </xf>
  </cellStyleXfs>
  <cellXfs count="20">
    <xf numFmtId="0" fontId="0" fillId="0" borderId="0" xfId="0"/>
    <xf numFmtId="0" fontId="0" fillId="2" borderId="1" xfId="0" applyFill="1" applyBorder="1"/>
    <xf numFmtId="0" fontId="0" fillId="0" borderId="1" xfId="0" applyBorder="1" applyAlignment="1">
      <alignment horizontal="center"/>
    </xf>
    <xf numFmtId="0" fontId="0" fillId="0" borderId="1" xfId="0" applyBorder="1"/>
    <xf numFmtId="0" fontId="0" fillId="3" borderId="1" xfId="0" applyFill="1" applyBorder="1"/>
    <xf numFmtId="0" fontId="0" fillId="3" borderId="2" xfId="0" applyFill="1" applyBorder="1"/>
    <xf numFmtId="0" fontId="0" fillId="4" borderId="1" xfId="0" applyFill="1" applyBorder="1"/>
    <xf numFmtId="0" fontId="0" fillId="0" borderId="2" xfId="0" applyFill="1" applyBorder="1"/>
    <xf numFmtId="0" fontId="1" fillId="5" borderId="3" xfId="0" applyFont="1" applyFill="1" applyBorder="1" applyAlignment="1">
      <alignment vertical="top" wrapText="1"/>
    </xf>
    <xf numFmtId="0" fontId="2" fillId="5" borderId="3" xfId="7" applyFill="1" applyBorder="1" applyAlignment="1">
      <alignment vertical="center" wrapText="1"/>
    </xf>
    <xf numFmtId="0" fontId="2" fillId="5" borderId="3" xfId="7" applyFill="1" applyBorder="1" applyAlignment="1">
      <alignment vertical="top" wrapText="1"/>
    </xf>
    <xf numFmtId="0" fontId="1" fillId="5" borderId="0" xfId="0" applyFont="1" applyFill="1" applyBorder="1" applyAlignment="1">
      <alignment vertical="top" wrapText="1"/>
    </xf>
    <xf numFmtId="0" fontId="0" fillId="5" borderId="0" xfId="0" applyFill="1" applyAlignment="1">
      <alignment vertical="top" wrapText="1"/>
    </xf>
    <xf numFmtId="0" fontId="2" fillId="5" borderId="0" xfId="7" applyFill="1" applyBorder="1" applyAlignment="1">
      <alignment vertical="top" wrapText="1"/>
    </xf>
    <xf numFmtId="0" fontId="1" fillId="5" borderId="0" xfId="0" applyFont="1" applyFill="1" applyAlignment="1">
      <alignment vertical="center" wrapText="1"/>
    </xf>
    <xf numFmtId="0" fontId="1" fillId="5" borderId="4" xfId="0" applyFont="1" applyFill="1" applyBorder="1" applyAlignment="1">
      <alignment vertical="top" wrapText="1"/>
    </xf>
    <xf numFmtId="0" fontId="2" fillId="5" borderId="4" xfId="7" applyFill="1" applyBorder="1" applyAlignment="1">
      <alignment vertical="top" wrapText="1"/>
    </xf>
    <xf numFmtId="0" fontId="1" fillId="5" borderId="5" xfId="0" applyFont="1" applyFill="1" applyBorder="1" applyAlignment="1">
      <alignment vertical="top" wrapText="1"/>
    </xf>
    <xf numFmtId="0" fontId="2" fillId="5" borderId="5" xfId="7" applyFill="1" applyBorder="1" applyAlignment="1">
      <alignment vertical="center" wrapText="1"/>
    </xf>
    <xf numFmtId="0" fontId="2" fillId="5" borderId="5" xfId="7" applyFill="1" applyBorder="1" applyAlignment="1">
      <alignment vertical="top" wrapText="1"/>
    </xf>
  </cellXfs>
  <cellStyles count="49">
    <cellStyle name="Normal" xfId="0" builtinId="0"/>
    <cellStyle name="40% - Accent1" xfId="1" builtinId="31"/>
    <cellStyle name="Comma" xfId="2" builtinId="3"/>
    <cellStyle name="Comma [0]" xfId="3" builtinId="6"/>
    <cellStyle name="Currency [0]" xfId="4" builtinId="7"/>
    <cellStyle name="Currency" xfId="5" builtinId="4"/>
    <cellStyle name="Percent" xfId="6" builtinId="5"/>
    <cellStyle name="Hyperlink" xfId="7" builtinId="8"/>
    <cellStyle name="60% - Accent4" xfId="8" builtinId="44"/>
    <cellStyle name="Followed Hyperlink" xfId="9" builtinId="9"/>
    <cellStyle name="Check Cell" xfId="10" builtinId="23"/>
    <cellStyle name="Heading 2" xfId="11" builtinId="17"/>
    <cellStyle name="Note" xfId="12" builtinId="10"/>
    <cellStyle name="40% - Accent3" xfId="13" builtinId="39"/>
    <cellStyle name="Warning Text" xfId="14" builtinId="11"/>
    <cellStyle name="40% - Accent2" xfId="15" builtinId="35"/>
    <cellStyle name="Title" xfId="16" builtinId="15"/>
    <cellStyle name="CExplanatory Text" xfId="17" builtinId="53"/>
    <cellStyle name="Heading 1" xfId="18" builtinId="16"/>
    <cellStyle name="Heading 3" xfId="19" builtinId="18"/>
    <cellStyle name="Heading 4" xfId="20" builtinId="19"/>
    <cellStyle name="Input" xfId="21" builtinId="20"/>
    <cellStyle name="60% - Accent3" xfId="22" builtinId="40"/>
    <cellStyle name="Good" xfId="23" builtinId="26"/>
    <cellStyle name="Output" xfId="24" builtinId="21"/>
    <cellStyle name="20% - Accent1" xfId="25" builtinId="30"/>
    <cellStyle name="Calculation" xfId="26" builtinId="22"/>
    <cellStyle name="Linked Cell" xfId="27" builtinId="24"/>
    <cellStyle name="Total" xfId="28" builtinId="25"/>
    <cellStyle name="Bad" xfId="29" builtinId="27"/>
    <cellStyle name="Neutral" xfId="30" builtinId="28"/>
    <cellStyle name="Accent1" xfId="31" builtinId="29"/>
    <cellStyle name="20% - Accent5" xfId="32" builtinId="46"/>
    <cellStyle name="60% - Accent1" xfId="33" builtinId="32"/>
    <cellStyle name="Accent2" xfId="34" builtinId="33"/>
    <cellStyle name="20% - Accent2" xfId="35" builtinId="34"/>
    <cellStyle name="20% - Accent6" xfId="36" builtinId="50"/>
    <cellStyle name="60% - Accent2" xfId="37" builtinId="36"/>
    <cellStyle name="Accent3" xfId="38" builtinId="37"/>
    <cellStyle name="20% - Accent3" xfId="39" builtinId="38"/>
    <cellStyle name="Accent4" xfId="40" builtinId="41"/>
    <cellStyle name="20% - Accent4" xfId="41" builtinId="42"/>
    <cellStyle name="40% - Accent4" xfId="42" builtinId="43"/>
    <cellStyle name="Accent5" xfId="43" builtinId="45"/>
    <cellStyle name="40% - Accent5" xfId="44" builtinId="47"/>
    <cellStyle name="60% - Accent5" xfId="45" builtinId="48"/>
    <cellStyle name="Accent6" xfId="46" builtinId="49"/>
    <cellStyle name="40% - Accent6" xfId="47" builtinId="51"/>
    <cellStyle name="60% - Accent6" xfId="48" builtinId="52"/>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microsoft.com/office/2006/relationships/vbaProject" Target="vbaProject.bin"/><Relationship Id="rId8" Type="http://schemas.openxmlformats.org/officeDocument/2006/relationships/sharedStrings" Target="sharedStrings.xml"/><Relationship Id="rId7" Type="http://schemas.openxmlformats.org/officeDocument/2006/relationships/styles" Target="styles.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99" Type="http://schemas.openxmlformats.org/officeDocument/2006/relationships/hyperlink" Target="https://lpse.kalbarprov.go.id/eproc4/lelang/5528097/pengumumanlelang" TargetMode="External"/><Relationship Id="rId98" Type="http://schemas.openxmlformats.org/officeDocument/2006/relationships/hyperlink" Target="https://lpse.kalbarprov.go.id/eproc4/lelang/5529097/jadwal" TargetMode="External"/><Relationship Id="rId97" Type="http://schemas.openxmlformats.org/officeDocument/2006/relationships/hyperlink" Target="https://lpse.kalbarprov.go.id/eproc4/lelang/5529097/pengumumanlelang" TargetMode="External"/><Relationship Id="rId962" Type="http://schemas.openxmlformats.org/officeDocument/2006/relationships/hyperlink" Target="https://lpse.kalbarprov.go.id/eproc4/lelang/4670097/jadwal" TargetMode="External"/><Relationship Id="rId961" Type="http://schemas.openxmlformats.org/officeDocument/2006/relationships/hyperlink" Target="https://lpse.kalbarprov.go.id/eproc4/lelang/4670097/pengumumanlelang" TargetMode="External"/><Relationship Id="rId960" Type="http://schemas.openxmlformats.org/officeDocument/2006/relationships/hyperlink" Target="https://lpse.kalbarprov.go.id/eproc4/lelang/4674097/jadwal" TargetMode="External"/><Relationship Id="rId96" Type="http://schemas.openxmlformats.org/officeDocument/2006/relationships/hyperlink" Target="https://lpse.kalbarprov.go.id/eproc4/lelang/5530097/jadwal" TargetMode="External"/><Relationship Id="rId959" Type="http://schemas.openxmlformats.org/officeDocument/2006/relationships/hyperlink" Target="https://lpse.kalbarprov.go.id/eproc4/lelang/4674097/pengumumanlelang" TargetMode="External"/><Relationship Id="rId958" Type="http://schemas.openxmlformats.org/officeDocument/2006/relationships/hyperlink" Target="https://lpse.kalbarprov.go.id/eproc4/lelang/4675097/jadwal" TargetMode="External"/><Relationship Id="rId957" Type="http://schemas.openxmlformats.org/officeDocument/2006/relationships/hyperlink" Target="https://lpse.kalbarprov.go.id/eproc4/lelang/4675097/pengumumanlelang" TargetMode="External"/><Relationship Id="rId956" Type="http://schemas.openxmlformats.org/officeDocument/2006/relationships/hyperlink" Target="https://lpse.kalbarprov.go.id/eproc4/lelang/4676097/jadwal" TargetMode="External"/><Relationship Id="rId955" Type="http://schemas.openxmlformats.org/officeDocument/2006/relationships/hyperlink" Target="https://lpse.kalbarprov.go.id/eproc4/lelang/4676097/pengumumanlelang" TargetMode="External"/><Relationship Id="rId954" Type="http://schemas.openxmlformats.org/officeDocument/2006/relationships/hyperlink" Target="https://lpse.kalbarprov.go.id/eproc4/lelang/4677097/jadwal" TargetMode="External"/><Relationship Id="rId953" Type="http://schemas.openxmlformats.org/officeDocument/2006/relationships/hyperlink" Target="https://lpse.kalbarprov.go.id/eproc4/lelang/4677097/pengumumanlelang" TargetMode="External"/><Relationship Id="rId952" Type="http://schemas.openxmlformats.org/officeDocument/2006/relationships/hyperlink" Target="https://lpse.kalbarprov.go.id/eproc4/lelang/4679097/jadwal" TargetMode="External"/><Relationship Id="rId951" Type="http://schemas.openxmlformats.org/officeDocument/2006/relationships/hyperlink" Target="https://lpse.kalbarprov.go.id/eproc4/lelang/4679097/pengumumanlelang" TargetMode="External"/><Relationship Id="rId950" Type="http://schemas.openxmlformats.org/officeDocument/2006/relationships/hyperlink" Target="https://lpse.kalbarprov.go.id/eproc4/lelang/4685097/jadwal" TargetMode="External"/><Relationship Id="rId95" Type="http://schemas.openxmlformats.org/officeDocument/2006/relationships/hyperlink" Target="https://lpse.kalbarprov.go.id/eproc4/lelang/5530097/pengumumanlelang" TargetMode="External"/><Relationship Id="rId949" Type="http://schemas.openxmlformats.org/officeDocument/2006/relationships/hyperlink" Target="https://lpse.kalbarprov.go.id/eproc4/lelang/4685097/pengumumanlelang" TargetMode="External"/><Relationship Id="rId948" Type="http://schemas.openxmlformats.org/officeDocument/2006/relationships/hyperlink" Target="https://lpse.kalbarprov.go.id/eproc4/lelang/4690097/jadwal" TargetMode="External"/><Relationship Id="rId947" Type="http://schemas.openxmlformats.org/officeDocument/2006/relationships/hyperlink" Target="https://lpse.kalbarprov.go.id/eproc4/lelang/4690097/pengumumanlelang" TargetMode="External"/><Relationship Id="rId946" Type="http://schemas.openxmlformats.org/officeDocument/2006/relationships/hyperlink" Target="https://lpse.kalbarprov.go.id/eproc4/lelang/4692097/jadwal" TargetMode="External"/><Relationship Id="rId945" Type="http://schemas.openxmlformats.org/officeDocument/2006/relationships/hyperlink" Target="https://lpse.kalbarprov.go.id/eproc4/lelang/4692097/pengumumanlelang" TargetMode="External"/><Relationship Id="rId944" Type="http://schemas.openxmlformats.org/officeDocument/2006/relationships/hyperlink" Target="https://lpse.kalbarprov.go.id/eproc4/lelang/4693097/jadwal" TargetMode="External"/><Relationship Id="rId943" Type="http://schemas.openxmlformats.org/officeDocument/2006/relationships/hyperlink" Target="https://lpse.kalbarprov.go.id/eproc4/lelang/4693097/pengumumanlelang" TargetMode="External"/><Relationship Id="rId942" Type="http://schemas.openxmlformats.org/officeDocument/2006/relationships/hyperlink" Target="https://lpse.kalbarprov.go.id/eproc4/lelang/4697097/jadwal" TargetMode="External"/><Relationship Id="rId941" Type="http://schemas.openxmlformats.org/officeDocument/2006/relationships/hyperlink" Target="https://lpse.kalbarprov.go.id/eproc4/lelang/4697097/pengumumanlelang" TargetMode="External"/><Relationship Id="rId940" Type="http://schemas.openxmlformats.org/officeDocument/2006/relationships/hyperlink" Target="https://lpse.kalbarprov.go.id/eproc4/lelang/4704097/jadwal" TargetMode="External"/><Relationship Id="rId94" Type="http://schemas.openxmlformats.org/officeDocument/2006/relationships/hyperlink" Target="https://lpse.kalbarprov.go.id/eproc4/lelang/5531097/jadwal" TargetMode="External"/><Relationship Id="rId939" Type="http://schemas.openxmlformats.org/officeDocument/2006/relationships/hyperlink" Target="https://lpse.kalbarprov.go.id/eproc4/lelang/4704097/pengumumanlelang" TargetMode="External"/><Relationship Id="rId938" Type="http://schemas.openxmlformats.org/officeDocument/2006/relationships/hyperlink" Target="https://lpse.kalbarprov.go.id/eproc4/lelang/4705097/jadwal" TargetMode="External"/><Relationship Id="rId937" Type="http://schemas.openxmlformats.org/officeDocument/2006/relationships/hyperlink" Target="https://lpse.kalbarprov.go.id/eproc4/lelang/4705097/pengumumanlelang" TargetMode="External"/><Relationship Id="rId936" Type="http://schemas.openxmlformats.org/officeDocument/2006/relationships/hyperlink" Target="https://lpse.kalbarprov.go.id/eproc4/lelang/4713097/jadwal" TargetMode="External"/><Relationship Id="rId935" Type="http://schemas.openxmlformats.org/officeDocument/2006/relationships/hyperlink" Target="https://lpse.kalbarprov.go.id/eproc4/lelang/4713097/pengumumanlelang" TargetMode="External"/><Relationship Id="rId934" Type="http://schemas.openxmlformats.org/officeDocument/2006/relationships/hyperlink" Target="https://lpse.kalbarprov.go.id/eproc4/lelang/4715097/jadwal" TargetMode="External"/><Relationship Id="rId933" Type="http://schemas.openxmlformats.org/officeDocument/2006/relationships/hyperlink" Target="https://lpse.kalbarprov.go.id/eproc4/lelang/4715097/pengumumanlelang" TargetMode="External"/><Relationship Id="rId932" Type="http://schemas.openxmlformats.org/officeDocument/2006/relationships/hyperlink" Target="https://lpse.kalbarprov.go.id/eproc4/lelang/4716097/jadwal" TargetMode="External"/><Relationship Id="rId931" Type="http://schemas.openxmlformats.org/officeDocument/2006/relationships/hyperlink" Target="https://lpse.kalbarprov.go.id/eproc4/lelang/4716097/pengumumanlelang" TargetMode="External"/><Relationship Id="rId930" Type="http://schemas.openxmlformats.org/officeDocument/2006/relationships/hyperlink" Target="https://lpse.kalbarprov.go.id/eproc4/lelang/4717097/jadwal" TargetMode="External"/><Relationship Id="rId93" Type="http://schemas.openxmlformats.org/officeDocument/2006/relationships/hyperlink" Target="https://lpse.kalbarprov.go.id/eproc4/lelang/5531097/pengumumanlelang" TargetMode="External"/><Relationship Id="rId929" Type="http://schemas.openxmlformats.org/officeDocument/2006/relationships/hyperlink" Target="https://lpse.kalbarprov.go.id/eproc4/lelang/4717097/pengumumanlelang" TargetMode="External"/><Relationship Id="rId928" Type="http://schemas.openxmlformats.org/officeDocument/2006/relationships/hyperlink" Target="https://lpse.kalbarprov.go.id/eproc4/lelang/4718097/jadwal" TargetMode="External"/><Relationship Id="rId927" Type="http://schemas.openxmlformats.org/officeDocument/2006/relationships/hyperlink" Target="https://lpse.kalbarprov.go.id/eproc4/lelang/4718097/pengumumanlelang" TargetMode="External"/><Relationship Id="rId926" Type="http://schemas.openxmlformats.org/officeDocument/2006/relationships/hyperlink" Target="https://lpse.kalbarprov.go.id/eproc4/lelang/4719097/jadwal" TargetMode="External"/><Relationship Id="rId925" Type="http://schemas.openxmlformats.org/officeDocument/2006/relationships/hyperlink" Target="https://lpse.kalbarprov.go.id/eproc4/lelang/4719097/pengumumanlelang" TargetMode="External"/><Relationship Id="rId924" Type="http://schemas.openxmlformats.org/officeDocument/2006/relationships/hyperlink" Target="https://lpse.kalbarprov.go.id/eproc4/lelang/4722097/jadwal" TargetMode="External"/><Relationship Id="rId923" Type="http://schemas.openxmlformats.org/officeDocument/2006/relationships/hyperlink" Target="https://lpse.kalbarprov.go.id/eproc4/lelang/4722097/pengumumanlelang" TargetMode="External"/><Relationship Id="rId922" Type="http://schemas.openxmlformats.org/officeDocument/2006/relationships/hyperlink" Target="https://lpse.kalbarprov.go.id/eproc4/lelang/4723097/jadwal" TargetMode="External"/><Relationship Id="rId921" Type="http://schemas.openxmlformats.org/officeDocument/2006/relationships/hyperlink" Target="https://lpse.kalbarprov.go.id/eproc4/lelang/4723097/pengumumanlelang" TargetMode="External"/><Relationship Id="rId920" Type="http://schemas.openxmlformats.org/officeDocument/2006/relationships/hyperlink" Target="https://lpse.kalbarprov.go.id/eproc4/lelang/4728097/jadwal" TargetMode="External"/><Relationship Id="rId92" Type="http://schemas.openxmlformats.org/officeDocument/2006/relationships/hyperlink" Target="https://lpse.kalbarprov.go.id/eproc4/lelang/5534097/jadwal" TargetMode="External"/><Relationship Id="rId919" Type="http://schemas.openxmlformats.org/officeDocument/2006/relationships/hyperlink" Target="https://lpse.kalbarprov.go.id/eproc4/lelang/4728097/pengumumanlelang" TargetMode="External"/><Relationship Id="rId918" Type="http://schemas.openxmlformats.org/officeDocument/2006/relationships/hyperlink" Target="https://lpse.kalbarprov.go.id/eproc4/lelang/4730097/jadwal" TargetMode="External"/><Relationship Id="rId917" Type="http://schemas.openxmlformats.org/officeDocument/2006/relationships/hyperlink" Target="https://lpse.kalbarprov.go.id/eproc4/lelang/4730097/pengumumanlelang" TargetMode="External"/><Relationship Id="rId916" Type="http://schemas.openxmlformats.org/officeDocument/2006/relationships/hyperlink" Target="https://lpse.kalbarprov.go.id/eproc4/lelang/4738097/jadwal" TargetMode="External"/><Relationship Id="rId915" Type="http://schemas.openxmlformats.org/officeDocument/2006/relationships/hyperlink" Target="https://lpse.kalbarprov.go.id/eproc4/lelang/4738097/pengumumanlelang" TargetMode="External"/><Relationship Id="rId914" Type="http://schemas.openxmlformats.org/officeDocument/2006/relationships/hyperlink" Target="https://lpse.kalbarprov.go.id/eproc4/lelang/4739097/jadwal" TargetMode="External"/><Relationship Id="rId913" Type="http://schemas.openxmlformats.org/officeDocument/2006/relationships/hyperlink" Target="https://lpse.kalbarprov.go.id/eproc4/lelang/4739097/pengumumanlelang" TargetMode="External"/><Relationship Id="rId912" Type="http://schemas.openxmlformats.org/officeDocument/2006/relationships/hyperlink" Target="https://lpse.kalbarprov.go.id/eproc4/lelang/4741097/jadwal" TargetMode="External"/><Relationship Id="rId911" Type="http://schemas.openxmlformats.org/officeDocument/2006/relationships/hyperlink" Target="https://lpse.kalbarprov.go.id/eproc4/lelang/4741097/pengumumanlelang" TargetMode="External"/><Relationship Id="rId910" Type="http://schemas.openxmlformats.org/officeDocument/2006/relationships/hyperlink" Target="https://lpse.kalbarprov.go.id/eproc4/lelang/4742097/jadwal" TargetMode="External"/><Relationship Id="rId91" Type="http://schemas.openxmlformats.org/officeDocument/2006/relationships/hyperlink" Target="https://lpse.kalbarprov.go.id/eproc4/lelang/5534097/pengumumanlelang" TargetMode="External"/><Relationship Id="rId909" Type="http://schemas.openxmlformats.org/officeDocument/2006/relationships/hyperlink" Target="https://lpse.kalbarprov.go.id/eproc4/lelang/4742097/pengumumanlelang" TargetMode="External"/><Relationship Id="rId908" Type="http://schemas.openxmlformats.org/officeDocument/2006/relationships/hyperlink" Target="https://lpse.kalbarprov.go.id/eproc4/lelang/4744097/jadwal" TargetMode="External"/><Relationship Id="rId907" Type="http://schemas.openxmlformats.org/officeDocument/2006/relationships/hyperlink" Target="https://lpse.kalbarprov.go.id/eproc4/lelang/4744097/pengumumanlelang" TargetMode="External"/><Relationship Id="rId906" Type="http://schemas.openxmlformats.org/officeDocument/2006/relationships/hyperlink" Target="https://lpse.kalbarprov.go.id/eproc4/lelang/4745097/jadwal" TargetMode="External"/><Relationship Id="rId905" Type="http://schemas.openxmlformats.org/officeDocument/2006/relationships/hyperlink" Target="https://lpse.kalbarprov.go.id/eproc4/lelang/4745097/pengumumanlelang" TargetMode="External"/><Relationship Id="rId904" Type="http://schemas.openxmlformats.org/officeDocument/2006/relationships/hyperlink" Target="https://lpse.kalbarprov.go.id/eproc4/lelang/4749097/jadwal" TargetMode="External"/><Relationship Id="rId903" Type="http://schemas.openxmlformats.org/officeDocument/2006/relationships/hyperlink" Target="https://lpse.kalbarprov.go.id/eproc4/lelang/4749097/pengumumanlelang" TargetMode="External"/><Relationship Id="rId902" Type="http://schemas.openxmlformats.org/officeDocument/2006/relationships/hyperlink" Target="https://lpse.kalbarprov.go.id/eproc4/lelang/4755097/jadwal" TargetMode="External"/><Relationship Id="rId901" Type="http://schemas.openxmlformats.org/officeDocument/2006/relationships/hyperlink" Target="https://lpse.kalbarprov.go.id/eproc4/lelang/4755097/pengumumanlelang" TargetMode="External"/><Relationship Id="rId900" Type="http://schemas.openxmlformats.org/officeDocument/2006/relationships/hyperlink" Target="https://lpse.kalbarprov.go.id/eproc4/lelang/4756097/jadwal" TargetMode="External"/><Relationship Id="rId90" Type="http://schemas.openxmlformats.org/officeDocument/2006/relationships/hyperlink" Target="https://lpse.kalbarprov.go.id/eproc4/lelang/5535097/jadwal" TargetMode="External"/><Relationship Id="rId9" Type="http://schemas.openxmlformats.org/officeDocument/2006/relationships/hyperlink" Target="https://lpse.kalbarprov.go.id/eproc4/lelang/5643097/pengumumanlelang" TargetMode="External"/><Relationship Id="rId899" Type="http://schemas.openxmlformats.org/officeDocument/2006/relationships/hyperlink" Target="https://lpse.kalbarprov.go.id/eproc4/lelang/4756097/pengumumanlelang" TargetMode="External"/><Relationship Id="rId898" Type="http://schemas.openxmlformats.org/officeDocument/2006/relationships/hyperlink" Target="https://lpse.kalbarprov.go.id/eproc4/lelang/4757097/jadwal" TargetMode="External"/><Relationship Id="rId897" Type="http://schemas.openxmlformats.org/officeDocument/2006/relationships/hyperlink" Target="https://lpse.kalbarprov.go.id/eproc4/lelang/4757097/pengumumanlelang" TargetMode="External"/><Relationship Id="rId896" Type="http://schemas.openxmlformats.org/officeDocument/2006/relationships/hyperlink" Target="https://lpse.kalbarprov.go.id/eproc4/lelang/4758097/jadwal" TargetMode="External"/><Relationship Id="rId895" Type="http://schemas.openxmlformats.org/officeDocument/2006/relationships/hyperlink" Target="https://lpse.kalbarprov.go.id/eproc4/lelang/4758097/pengumumanlelang" TargetMode="External"/><Relationship Id="rId894" Type="http://schemas.openxmlformats.org/officeDocument/2006/relationships/hyperlink" Target="https://lpse.kalbarprov.go.id/eproc4/lelang/4759097/jadwal" TargetMode="External"/><Relationship Id="rId893" Type="http://schemas.openxmlformats.org/officeDocument/2006/relationships/hyperlink" Target="https://lpse.kalbarprov.go.id/eproc4/lelang/4759097/pengumumanlelang" TargetMode="External"/><Relationship Id="rId892" Type="http://schemas.openxmlformats.org/officeDocument/2006/relationships/hyperlink" Target="https://lpse.kalbarprov.go.id/eproc4/lelang/4760097/jadwal" TargetMode="External"/><Relationship Id="rId891" Type="http://schemas.openxmlformats.org/officeDocument/2006/relationships/hyperlink" Target="https://lpse.kalbarprov.go.id/eproc4/lelang/4760097/pengumumanlelang" TargetMode="External"/><Relationship Id="rId890" Type="http://schemas.openxmlformats.org/officeDocument/2006/relationships/hyperlink" Target="https://lpse.kalbarprov.go.id/eproc4/lelang/4766097/jadwal" TargetMode="External"/><Relationship Id="rId89" Type="http://schemas.openxmlformats.org/officeDocument/2006/relationships/hyperlink" Target="https://lpse.kalbarprov.go.id/eproc4/lelang/5535097/pengumumanlelang" TargetMode="External"/><Relationship Id="rId889" Type="http://schemas.openxmlformats.org/officeDocument/2006/relationships/hyperlink" Target="https://lpse.kalbarprov.go.id/eproc4/lelang/4766097/pengumumanlelang" TargetMode="External"/><Relationship Id="rId888" Type="http://schemas.openxmlformats.org/officeDocument/2006/relationships/hyperlink" Target="https://lpse.kalbarprov.go.id/eproc4/lelang/4768097/jadwal" TargetMode="External"/><Relationship Id="rId887" Type="http://schemas.openxmlformats.org/officeDocument/2006/relationships/hyperlink" Target="https://lpse.kalbarprov.go.id/eproc4/lelang/4768097/pengumumanlelang" TargetMode="External"/><Relationship Id="rId886" Type="http://schemas.openxmlformats.org/officeDocument/2006/relationships/hyperlink" Target="https://lpse.kalbarprov.go.id/eproc4/lelang/4769097/jadwal" TargetMode="External"/><Relationship Id="rId885" Type="http://schemas.openxmlformats.org/officeDocument/2006/relationships/hyperlink" Target="https://lpse.kalbarprov.go.id/eproc4/lelang/4769097/pengumumanlelang" TargetMode="External"/><Relationship Id="rId884" Type="http://schemas.openxmlformats.org/officeDocument/2006/relationships/hyperlink" Target="https://lpse.kalbarprov.go.id/eproc4/lelang/4773097/jadwal" TargetMode="External"/><Relationship Id="rId883" Type="http://schemas.openxmlformats.org/officeDocument/2006/relationships/hyperlink" Target="https://lpse.kalbarprov.go.id/eproc4/lelang/4773097/pengumumanlelang" TargetMode="External"/><Relationship Id="rId882" Type="http://schemas.openxmlformats.org/officeDocument/2006/relationships/hyperlink" Target="https://lpse.kalbarprov.go.id/eproc4/lelang/4774097/jadwal" TargetMode="External"/><Relationship Id="rId881" Type="http://schemas.openxmlformats.org/officeDocument/2006/relationships/hyperlink" Target="https://lpse.kalbarprov.go.id/eproc4/lelang/4774097/pengumumanlelang" TargetMode="External"/><Relationship Id="rId880" Type="http://schemas.openxmlformats.org/officeDocument/2006/relationships/hyperlink" Target="https://lpse.kalbarprov.go.id/eproc4/lelang/4775097/jadwal" TargetMode="External"/><Relationship Id="rId88" Type="http://schemas.openxmlformats.org/officeDocument/2006/relationships/hyperlink" Target="https://lpse.kalbarprov.go.id/eproc4/lelang/5536097/jadwal" TargetMode="External"/><Relationship Id="rId879" Type="http://schemas.openxmlformats.org/officeDocument/2006/relationships/hyperlink" Target="https://lpse.kalbarprov.go.id/eproc4/lelang/4775097/pengumumanlelang" TargetMode="External"/><Relationship Id="rId878" Type="http://schemas.openxmlformats.org/officeDocument/2006/relationships/hyperlink" Target="https://lpse.kalbarprov.go.id/eproc4/lelang/4776097/jadwal" TargetMode="External"/><Relationship Id="rId877" Type="http://schemas.openxmlformats.org/officeDocument/2006/relationships/hyperlink" Target="https://lpse.kalbarprov.go.id/eproc4/lelang/4776097/pengumumanlelang" TargetMode="External"/><Relationship Id="rId876" Type="http://schemas.openxmlformats.org/officeDocument/2006/relationships/hyperlink" Target="https://lpse.kalbarprov.go.id/eproc4/lelang/4777097/jadwal" TargetMode="External"/><Relationship Id="rId875" Type="http://schemas.openxmlformats.org/officeDocument/2006/relationships/hyperlink" Target="https://lpse.kalbarprov.go.id/eproc4/lelang/4777097/pengumumanlelang" TargetMode="External"/><Relationship Id="rId874" Type="http://schemas.openxmlformats.org/officeDocument/2006/relationships/hyperlink" Target="https://lpse.kalbarprov.go.id/eproc4/lelang/4778097/jadwal" TargetMode="External"/><Relationship Id="rId873" Type="http://schemas.openxmlformats.org/officeDocument/2006/relationships/hyperlink" Target="https://lpse.kalbarprov.go.id/eproc4/lelang/4778097/pengumumanlelang" TargetMode="External"/><Relationship Id="rId872" Type="http://schemas.openxmlformats.org/officeDocument/2006/relationships/hyperlink" Target="https://lpse.kalbarprov.go.id/eproc4/lelang/4779097/jadwal" TargetMode="External"/><Relationship Id="rId871" Type="http://schemas.openxmlformats.org/officeDocument/2006/relationships/hyperlink" Target="https://lpse.kalbarprov.go.id/eproc4/lelang/4779097/pengumumanlelang" TargetMode="External"/><Relationship Id="rId870" Type="http://schemas.openxmlformats.org/officeDocument/2006/relationships/hyperlink" Target="https://lpse.kalbarprov.go.id/eproc4/lelang/4780097/jadwal" TargetMode="External"/><Relationship Id="rId87" Type="http://schemas.openxmlformats.org/officeDocument/2006/relationships/hyperlink" Target="https://lpse.kalbarprov.go.id/eproc4/lelang/5536097/pengumumanlelang" TargetMode="External"/><Relationship Id="rId869" Type="http://schemas.openxmlformats.org/officeDocument/2006/relationships/hyperlink" Target="https://lpse.kalbarprov.go.id/eproc4/lelang/4780097/pengumumanlelang" TargetMode="External"/><Relationship Id="rId868" Type="http://schemas.openxmlformats.org/officeDocument/2006/relationships/hyperlink" Target="https://lpse.kalbarprov.go.id/eproc4/lelang/4781097/jadwal" TargetMode="External"/><Relationship Id="rId867" Type="http://schemas.openxmlformats.org/officeDocument/2006/relationships/hyperlink" Target="https://lpse.kalbarprov.go.id/eproc4/lelang/4781097/pengumumanlelang" TargetMode="External"/><Relationship Id="rId866" Type="http://schemas.openxmlformats.org/officeDocument/2006/relationships/hyperlink" Target="https://lpse.kalbarprov.go.id/eproc4/lelang/4782097/jadwal" TargetMode="External"/><Relationship Id="rId865" Type="http://schemas.openxmlformats.org/officeDocument/2006/relationships/hyperlink" Target="https://lpse.kalbarprov.go.id/eproc4/lelang/4782097/pengumumanlelang" TargetMode="External"/><Relationship Id="rId864" Type="http://schemas.openxmlformats.org/officeDocument/2006/relationships/hyperlink" Target="https://lpse.kalbarprov.go.id/eproc4/lelang/4783097/jadwal" TargetMode="External"/><Relationship Id="rId863" Type="http://schemas.openxmlformats.org/officeDocument/2006/relationships/hyperlink" Target="https://lpse.kalbarprov.go.id/eproc4/lelang/4783097/pengumumanlelang" TargetMode="External"/><Relationship Id="rId862" Type="http://schemas.openxmlformats.org/officeDocument/2006/relationships/hyperlink" Target="https://lpse.kalbarprov.go.id/eproc4/lelang/4784097/jadwal" TargetMode="External"/><Relationship Id="rId861" Type="http://schemas.openxmlformats.org/officeDocument/2006/relationships/hyperlink" Target="https://lpse.kalbarprov.go.id/eproc4/lelang/4784097/pengumumanlelang" TargetMode="External"/><Relationship Id="rId860" Type="http://schemas.openxmlformats.org/officeDocument/2006/relationships/hyperlink" Target="https://lpse.kalbarprov.go.id/eproc4/lelang/4785097/jadwal" TargetMode="External"/><Relationship Id="rId86" Type="http://schemas.openxmlformats.org/officeDocument/2006/relationships/hyperlink" Target="https://lpse.kalbarprov.go.id/eproc4/lelang/5537097/jadwal" TargetMode="External"/><Relationship Id="rId859" Type="http://schemas.openxmlformats.org/officeDocument/2006/relationships/hyperlink" Target="https://lpse.kalbarprov.go.id/eproc4/lelang/4785097/pengumumanlelang" TargetMode="External"/><Relationship Id="rId858" Type="http://schemas.openxmlformats.org/officeDocument/2006/relationships/hyperlink" Target="https://lpse.kalbarprov.go.id/eproc4/lelang/4787097/jadwal" TargetMode="External"/><Relationship Id="rId857" Type="http://schemas.openxmlformats.org/officeDocument/2006/relationships/hyperlink" Target="https://lpse.kalbarprov.go.id/eproc4/lelang/4787097/pengumumanlelang" TargetMode="External"/><Relationship Id="rId856" Type="http://schemas.openxmlformats.org/officeDocument/2006/relationships/hyperlink" Target="https://lpse.kalbarprov.go.id/eproc4/lelang/4789097/jadwal" TargetMode="External"/><Relationship Id="rId855" Type="http://schemas.openxmlformats.org/officeDocument/2006/relationships/hyperlink" Target="https://lpse.kalbarprov.go.id/eproc4/lelang/4789097/pengumumanlelang" TargetMode="External"/><Relationship Id="rId854" Type="http://schemas.openxmlformats.org/officeDocument/2006/relationships/hyperlink" Target="https://lpse.kalbarprov.go.id/eproc4/lelang/4792097/jadwal" TargetMode="External"/><Relationship Id="rId853" Type="http://schemas.openxmlformats.org/officeDocument/2006/relationships/hyperlink" Target="https://lpse.kalbarprov.go.id/eproc4/lelang/4792097/pengumumanlelang" TargetMode="External"/><Relationship Id="rId852" Type="http://schemas.openxmlformats.org/officeDocument/2006/relationships/hyperlink" Target="https://lpse.kalbarprov.go.id/eproc4/lelang/4794097/jadwal" TargetMode="External"/><Relationship Id="rId851" Type="http://schemas.openxmlformats.org/officeDocument/2006/relationships/hyperlink" Target="https://lpse.kalbarprov.go.id/eproc4/lelang/4794097/pengumumanlelang" TargetMode="External"/><Relationship Id="rId850" Type="http://schemas.openxmlformats.org/officeDocument/2006/relationships/hyperlink" Target="https://lpse.kalbarprov.go.id/eproc4/lelang/4795097/jadwal" TargetMode="External"/><Relationship Id="rId85" Type="http://schemas.openxmlformats.org/officeDocument/2006/relationships/hyperlink" Target="https://lpse.kalbarprov.go.id/eproc4/lelang/5537097/pengumumanlelang" TargetMode="External"/><Relationship Id="rId849" Type="http://schemas.openxmlformats.org/officeDocument/2006/relationships/hyperlink" Target="https://lpse.kalbarprov.go.id/eproc4/lelang/4795097/pengumumanlelang" TargetMode="External"/><Relationship Id="rId848" Type="http://schemas.openxmlformats.org/officeDocument/2006/relationships/hyperlink" Target="https://lpse.kalbarprov.go.id/eproc4/lelang/4797097/jadwal" TargetMode="External"/><Relationship Id="rId847" Type="http://schemas.openxmlformats.org/officeDocument/2006/relationships/hyperlink" Target="https://lpse.kalbarprov.go.id/eproc4/lelang/4797097/pengumumanlelang" TargetMode="External"/><Relationship Id="rId846" Type="http://schemas.openxmlformats.org/officeDocument/2006/relationships/hyperlink" Target="https://lpse.kalbarprov.go.id/eproc4/lelang/4799097/jadwal" TargetMode="External"/><Relationship Id="rId845" Type="http://schemas.openxmlformats.org/officeDocument/2006/relationships/hyperlink" Target="https://lpse.kalbarprov.go.id/eproc4/lelang/4799097/pengumumanlelang" TargetMode="External"/><Relationship Id="rId844" Type="http://schemas.openxmlformats.org/officeDocument/2006/relationships/hyperlink" Target="https://lpse.kalbarprov.go.id/eproc4/lelang/4801097/jadwal" TargetMode="External"/><Relationship Id="rId843" Type="http://schemas.openxmlformats.org/officeDocument/2006/relationships/hyperlink" Target="https://lpse.kalbarprov.go.id/eproc4/lelang/4801097/pengumumanlelang" TargetMode="External"/><Relationship Id="rId842" Type="http://schemas.openxmlformats.org/officeDocument/2006/relationships/hyperlink" Target="https://lpse.kalbarprov.go.id/eproc4/lelang/4803097/jadwal" TargetMode="External"/><Relationship Id="rId841" Type="http://schemas.openxmlformats.org/officeDocument/2006/relationships/hyperlink" Target="https://lpse.kalbarprov.go.id/eproc4/lelang/4803097/pengumumanlelang" TargetMode="External"/><Relationship Id="rId840" Type="http://schemas.openxmlformats.org/officeDocument/2006/relationships/hyperlink" Target="https://lpse.kalbarprov.go.id/eproc4/lelang/4806097/jadwal" TargetMode="External"/><Relationship Id="rId84" Type="http://schemas.openxmlformats.org/officeDocument/2006/relationships/hyperlink" Target="https://lpse.kalbarprov.go.id/eproc4/lelang/5539097/jadwal" TargetMode="External"/><Relationship Id="rId839" Type="http://schemas.openxmlformats.org/officeDocument/2006/relationships/hyperlink" Target="https://lpse.kalbarprov.go.id/eproc4/lelang/4806097/pengumumanlelang" TargetMode="External"/><Relationship Id="rId838" Type="http://schemas.openxmlformats.org/officeDocument/2006/relationships/hyperlink" Target="https://lpse.kalbarprov.go.id/eproc4/lelang/4807097/jadwal" TargetMode="External"/><Relationship Id="rId837" Type="http://schemas.openxmlformats.org/officeDocument/2006/relationships/hyperlink" Target="https://lpse.kalbarprov.go.id/eproc4/lelang/4807097/pengumumanlelang" TargetMode="External"/><Relationship Id="rId836" Type="http://schemas.openxmlformats.org/officeDocument/2006/relationships/hyperlink" Target="https://lpse.kalbarprov.go.id/eproc4/lelang/4811097/jadwal" TargetMode="External"/><Relationship Id="rId835" Type="http://schemas.openxmlformats.org/officeDocument/2006/relationships/hyperlink" Target="https://lpse.kalbarprov.go.id/eproc4/lelang/4811097/pengumumanlelang" TargetMode="External"/><Relationship Id="rId834" Type="http://schemas.openxmlformats.org/officeDocument/2006/relationships/hyperlink" Target="https://lpse.kalbarprov.go.id/eproc4/lelang/4816097/jadwal" TargetMode="External"/><Relationship Id="rId833" Type="http://schemas.openxmlformats.org/officeDocument/2006/relationships/hyperlink" Target="https://lpse.kalbarprov.go.id/eproc4/lelang/4816097/pengumumanlelang" TargetMode="External"/><Relationship Id="rId832" Type="http://schemas.openxmlformats.org/officeDocument/2006/relationships/hyperlink" Target="https://lpse.kalbarprov.go.id/eproc4/lelang/4821097/jadwal" TargetMode="External"/><Relationship Id="rId831" Type="http://schemas.openxmlformats.org/officeDocument/2006/relationships/hyperlink" Target="https://lpse.kalbarprov.go.id/eproc4/lelang/4821097/pengumumanlelang" TargetMode="External"/><Relationship Id="rId830" Type="http://schemas.openxmlformats.org/officeDocument/2006/relationships/hyperlink" Target="https://lpse.kalbarprov.go.id/eproc4/lelang/4822097/jadwal" TargetMode="External"/><Relationship Id="rId83" Type="http://schemas.openxmlformats.org/officeDocument/2006/relationships/hyperlink" Target="https://lpse.kalbarprov.go.id/eproc4/lelang/5539097/pengumumanlelang" TargetMode="External"/><Relationship Id="rId829" Type="http://schemas.openxmlformats.org/officeDocument/2006/relationships/hyperlink" Target="https://lpse.kalbarprov.go.id/eproc4/lelang/4822097/pengumumanlelang" TargetMode="External"/><Relationship Id="rId828" Type="http://schemas.openxmlformats.org/officeDocument/2006/relationships/hyperlink" Target="https://lpse.kalbarprov.go.id/eproc4/lelang/4826097/jadwal" TargetMode="External"/><Relationship Id="rId827" Type="http://schemas.openxmlformats.org/officeDocument/2006/relationships/hyperlink" Target="https://lpse.kalbarprov.go.id/eproc4/lelang/4826097/pengumumanlelang" TargetMode="External"/><Relationship Id="rId826" Type="http://schemas.openxmlformats.org/officeDocument/2006/relationships/hyperlink" Target="https://lpse.kalbarprov.go.id/eproc4/lelang/4835097/jadwal" TargetMode="External"/><Relationship Id="rId825" Type="http://schemas.openxmlformats.org/officeDocument/2006/relationships/hyperlink" Target="https://lpse.kalbarprov.go.id/eproc4/lelang/4835097/pengumumanlelang" TargetMode="External"/><Relationship Id="rId824" Type="http://schemas.openxmlformats.org/officeDocument/2006/relationships/hyperlink" Target="https://lpse.kalbarprov.go.id/eproc4/lelang/4836097/jadwal" TargetMode="External"/><Relationship Id="rId823" Type="http://schemas.openxmlformats.org/officeDocument/2006/relationships/hyperlink" Target="https://lpse.kalbarprov.go.id/eproc4/lelang/4836097/pengumumanlelang" TargetMode="External"/><Relationship Id="rId822" Type="http://schemas.openxmlformats.org/officeDocument/2006/relationships/hyperlink" Target="https://lpse.kalbarprov.go.id/eproc4/lelang/4838097/jadwal" TargetMode="External"/><Relationship Id="rId821" Type="http://schemas.openxmlformats.org/officeDocument/2006/relationships/hyperlink" Target="https://lpse.kalbarprov.go.id/eproc4/lelang/4838097/pengumumanlelang" TargetMode="External"/><Relationship Id="rId820" Type="http://schemas.openxmlformats.org/officeDocument/2006/relationships/hyperlink" Target="https://lpse.kalbarprov.go.id/eproc4/lelang/4840097/jadwal" TargetMode="External"/><Relationship Id="rId82" Type="http://schemas.openxmlformats.org/officeDocument/2006/relationships/hyperlink" Target="https://lpse.kalbarprov.go.id/eproc4/lelang/5540097/jadwal" TargetMode="External"/><Relationship Id="rId819" Type="http://schemas.openxmlformats.org/officeDocument/2006/relationships/hyperlink" Target="https://lpse.kalbarprov.go.id/eproc4/lelang/4840097/pengumumanlelang" TargetMode="External"/><Relationship Id="rId818" Type="http://schemas.openxmlformats.org/officeDocument/2006/relationships/hyperlink" Target="https://lpse.kalbarprov.go.id/eproc4/lelang/4842097/jadwal" TargetMode="External"/><Relationship Id="rId817" Type="http://schemas.openxmlformats.org/officeDocument/2006/relationships/hyperlink" Target="https://lpse.kalbarprov.go.id/eproc4/lelang/4842097/pengumumanlelang" TargetMode="External"/><Relationship Id="rId816" Type="http://schemas.openxmlformats.org/officeDocument/2006/relationships/hyperlink" Target="https://lpse.kalbarprov.go.id/eproc4/lelang/4844097/jadwal" TargetMode="External"/><Relationship Id="rId815" Type="http://schemas.openxmlformats.org/officeDocument/2006/relationships/hyperlink" Target="https://lpse.kalbarprov.go.id/eproc4/lelang/4844097/pengumumanlelang" TargetMode="External"/><Relationship Id="rId814" Type="http://schemas.openxmlformats.org/officeDocument/2006/relationships/hyperlink" Target="https://lpse.kalbarprov.go.id/eproc4/lelang/4846097/jadwal" TargetMode="External"/><Relationship Id="rId813" Type="http://schemas.openxmlformats.org/officeDocument/2006/relationships/hyperlink" Target="https://lpse.kalbarprov.go.id/eproc4/lelang/4846097/pengumumanlelang" TargetMode="External"/><Relationship Id="rId812" Type="http://schemas.openxmlformats.org/officeDocument/2006/relationships/hyperlink" Target="https://lpse.kalbarprov.go.id/eproc4/lelang/4848097/jadwal" TargetMode="External"/><Relationship Id="rId811" Type="http://schemas.openxmlformats.org/officeDocument/2006/relationships/hyperlink" Target="https://lpse.kalbarprov.go.id/eproc4/lelang/4848097/pengumumanlelang" TargetMode="External"/><Relationship Id="rId810" Type="http://schemas.openxmlformats.org/officeDocument/2006/relationships/hyperlink" Target="https://lpse.kalbarprov.go.id/eproc4/lelang/4850097/jadwal" TargetMode="External"/><Relationship Id="rId81" Type="http://schemas.openxmlformats.org/officeDocument/2006/relationships/hyperlink" Target="https://lpse.kalbarprov.go.id/eproc4/lelang/5540097/pengumumanlelang" TargetMode="External"/><Relationship Id="rId809" Type="http://schemas.openxmlformats.org/officeDocument/2006/relationships/hyperlink" Target="https://lpse.kalbarprov.go.id/eproc4/lelang/4850097/pengumumanlelang" TargetMode="External"/><Relationship Id="rId808" Type="http://schemas.openxmlformats.org/officeDocument/2006/relationships/hyperlink" Target="https://lpse.kalbarprov.go.id/eproc4/lelang/4852097/jadwal" TargetMode="External"/><Relationship Id="rId807" Type="http://schemas.openxmlformats.org/officeDocument/2006/relationships/hyperlink" Target="https://lpse.kalbarprov.go.id/eproc4/lelang/4852097/pengumumanlelang" TargetMode="External"/><Relationship Id="rId806" Type="http://schemas.openxmlformats.org/officeDocument/2006/relationships/hyperlink" Target="https://lpse.kalbarprov.go.id/eproc4/lelang/4854097/jadwal" TargetMode="External"/><Relationship Id="rId805" Type="http://schemas.openxmlformats.org/officeDocument/2006/relationships/hyperlink" Target="https://lpse.kalbarprov.go.id/eproc4/lelang/4854097/pengumumanlelang" TargetMode="External"/><Relationship Id="rId804" Type="http://schemas.openxmlformats.org/officeDocument/2006/relationships/hyperlink" Target="https://lpse.kalbarprov.go.id/eproc4/lelang/4856097/jadwal" TargetMode="External"/><Relationship Id="rId803" Type="http://schemas.openxmlformats.org/officeDocument/2006/relationships/hyperlink" Target="https://lpse.kalbarprov.go.id/eproc4/lelang/4856097/pengumumanlelang" TargetMode="External"/><Relationship Id="rId802" Type="http://schemas.openxmlformats.org/officeDocument/2006/relationships/hyperlink" Target="https://lpse.kalbarprov.go.id/eproc4/lelang/4858097/jadwal" TargetMode="External"/><Relationship Id="rId801" Type="http://schemas.openxmlformats.org/officeDocument/2006/relationships/hyperlink" Target="https://lpse.kalbarprov.go.id/eproc4/lelang/4858097/pengumumanlelang" TargetMode="External"/><Relationship Id="rId800" Type="http://schemas.openxmlformats.org/officeDocument/2006/relationships/hyperlink" Target="https://lpse.kalbarprov.go.id/eproc4/lelang/4860097/jadwal" TargetMode="External"/><Relationship Id="rId80" Type="http://schemas.openxmlformats.org/officeDocument/2006/relationships/hyperlink" Target="https://lpse.kalbarprov.go.id/eproc4/lelang/5541097/jadwal" TargetMode="External"/><Relationship Id="rId8" Type="http://schemas.openxmlformats.org/officeDocument/2006/relationships/hyperlink" Target="https://lpse.kalbarprov.go.id/eproc4/lelang/5657097/jadwal" TargetMode="External"/><Relationship Id="rId799" Type="http://schemas.openxmlformats.org/officeDocument/2006/relationships/hyperlink" Target="https://lpse.kalbarprov.go.id/eproc4/lelang/4860097/pengumumanlelang" TargetMode="External"/><Relationship Id="rId798" Type="http://schemas.openxmlformats.org/officeDocument/2006/relationships/hyperlink" Target="https://lpse.kalbarprov.go.id/eproc4/lelang/4862097/jadwal" TargetMode="External"/><Relationship Id="rId797" Type="http://schemas.openxmlformats.org/officeDocument/2006/relationships/hyperlink" Target="https://lpse.kalbarprov.go.id/eproc4/lelang/4862097/pengumumanlelang" TargetMode="External"/><Relationship Id="rId796" Type="http://schemas.openxmlformats.org/officeDocument/2006/relationships/hyperlink" Target="https://lpse.kalbarprov.go.id/eproc4/lelang/4864097/jadwal" TargetMode="External"/><Relationship Id="rId795" Type="http://schemas.openxmlformats.org/officeDocument/2006/relationships/hyperlink" Target="https://lpse.kalbarprov.go.id/eproc4/lelang/4864097/pengumumanlelang" TargetMode="External"/><Relationship Id="rId794" Type="http://schemas.openxmlformats.org/officeDocument/2006/relationships/hyperlink" Target="https://lpse.kalbarprov.go.id/eproc4/lelang/4866097/jadwal" TargetMode="External"/><Relationship Id="rId793" Type="http://schemas.openxmlformats.org/officeDocument/2006/relationships/hyperlink" Target="https://lpse.kalbarprov.go.id/eproc4/lelang/4866097/pengumumanlelang" TargetMode="External"/><Relationship Id="rId792" Type="http://schemas.openxmlformats.org/officeDocument/2006/relationships/hyperlink" Target="https://lpse.kalbarprov.go.id/eproc4/lelang/4868097/jadwal" TargetMode="External"/><Relationship Id="rId791" Type="http://schemas.openxmlformats.org/officeDocument/2006/relationships/hyperlink" Target="https://lpse.kalbarprov.go.id/eproc4/lelang/4868097/pengumumanlelang" TargetMode="External"/><Relationship Id="rId790" Type="http://schemas.openxmlformats.org/officeDocument/2006/relationships/hyperlink" Target="https://lpse.kalbarprov.go.id/eproc4/lelang/4870097/jadwal" TargetMode="External"/><Relationship Id="rId79" Type="http://schemas.openxmlformats.org/officeDocument/2006/relationships/hyperlink" Target="https://lpse.kalbarprov.go.id/eproc4/lelang/5541097/pengumumanlelang" TargetMode="External"/><Relationship Id="rId789" Type="http://schemas.openxmlformats.org/officeDocument/2006/relationships/hyperlink" Target="https://lpse.kalbarprov.go.id/eproc4/lelang/4870097/pengumumanlelang" TargetMode="External"/><Relationship Id="rId788" Type="http://schemas.openxmlformats.org/officeDocument/2006/relationships/hyperlink" Target="https://lpse.kalbarprov.go.id/eproc4/lelang/4872097/jadwal" TargetMode="External"/><Relationship Id="rId787" Type="http://schemas.openxmlformats.org/officeDocument/2006/relationships/hyperlink" Target="https://lpse.kalbarprov.go.id/eproc4/lelang/4872097/pengumumanlelang" TargetMode="External"/><Relationship Id="rId786" Type="http://schemas.openxmlformats.org/officeDocument/2006/relationships/hyperlink" Target="https://lpse.kalbarprov.go.id/eproc4/lelang/4874097/jadwal" TargetMode="External"/><Relationship Id="rId785" Type="http://schemas.openxmlformats.org/officeDocument/2006/relationships/hyperlink" Target="https://lpse.kalbarprov.go.id/eproc4/lelang/4874097/pengumumanlelang" TargetMode="External"/><Relationship Id="rId784" Type="http://schemas.openxmlformats.org/officeDocument/2006/relationships/hyperlink" Target="https://lpse.kalbarprov.go.id/eproc4/lelang/4875097/jadwal" TargetMode="External"/><Relationship Id="rId783" Type="http://schemas.openxmlformats.org/officeDocument/2006/relationships/hyperlink" Target="https://lpse.kalbarprov.go.id/eproc4/lelang/4875097/pengumumanlelang" TargetMode="External"/><Relationship Id="rId782" Type="http://schemas.openxmlformats.org/officeDocument/2006/relationships/hyperlink" Target="https://lpse.kalbarprov.go.id/eproc4/lelang/4879097/jadwal" TargetMode="External"/><Relationship Id="rId781" Type="http://schemas.openxmlformats.org/officeDocument/2006/relationships/hyperlink" Target="https://lpse.kalbarprov.go.id/eproc4/lelang/4879097/pengumumanlelang" TargetMode="External"/><Relationship Id="rId780" Type="http://schemas.openxmlformats.org/officeDocument/2006/relationships/hyperlink" Target="https://lpse.kalbarprov.go.id/eproc4/lelang/4881097/jadwal" TargetMode="External"/><Relationship Id="rId78" Type="http://schemas.openxmlformats.org/officeDocument/2006/relationships/hyperlink" Target="https://lpse.kalbarprov.go.id/eproc4/lelang/5544097/jadwal" TargetMode="External"/><Relationship Id="rId779" Type="http://schemas.openxmlformats.org/officeDocument/2006/relationships/hyperlink" Target="https://lpse.kalbarprov.go.id/eproc4/lelang/4881097/pengumumanlelang" TargetMode="External"/><Relationship Id="rId778" Type="http://schemas.openxmlformats.org/officeDocument/2006/relationships/hyperlink" Target="https://lpse.kalbarprov.go.id/eproc4/lelang/4882097/jadwal" TargetMode="External"/><Relationship Id="rId777" Type="http://schemas.openxmlformats.org/officeDocument/2006/relationships/hyperlink" Target="https://lpse.kalbarprov.go.id/eproc4/lelang/4882097/pengumumanlelang" TargetMode="External"/><Relationship Id="rId776" Type="http://schemas.openxmlformats.org/officeDocument/2006/relationships/hyperlink" Target="https://lpse.kalbarprov.go.id/eproc4/lelang/4883097/jadwal" TargetMode="External"/><Relationship Id="rId775" Type="http://schemas.openxmlformats.org/officeDocument/2006/relationships/hyperlink" Target="https://lpse.kalbarprov.go.id/eproc4/lelang/4883097/pengumumanlelang" TargetMode="External"/><Relationship Id="rId774" Type="http://schemas.openxmlformats.org/officeDocument/2006/relationships/hyperlink" Target="https://lpse.kalbarprov.go.id/eproc4/lelang/4884097/jadwal" TargetMode="External"/><Relationship Id="rId773" Type="http://schemas.openxmlformats.org/officeDocument/2006/relationships/hyperlink" Target="https://lpse.kalbarprov.go.id/eproc4/lelang/4884097/pengumumanlelang" TargetMode="External"/><Relationship Id="rId772" Type="http://schemas.openxmlformats.org/officeDocument/2006/relationships/hyperlink" Target="https://lpse.kalbarprov.go.id/eproc4/lelang/4885097/jadwal" TargetMode="External"/><Relationship Id="rId771" Type="http://schemas.openxmlformats.org/officeDocument/2006/relationships/hyperlink" Target="https://lpse.kalbarprov.go.id/eproc4/lelang/4885097/pengumumanlelang" TargetMode="External"/><Relationship Id="rId770" Type="http://schemas.openxmlformats.org/officeDocument/2006/relationships/hyperlink" Target="https://lpse.kalbarprov.go.id/eproc4/lelang/4886097/jadwal" TargetMode="External"/><Relationship Id="rId77" Type="http://schemas.openxmlformats.org/officeDocument/2006/relationships/hyperlink" Target="https://lpse.kalbarprov.go.id/eproc4/lelang/5544097/pengumumanlelang" TargetMode="External"/><Relationship Id="rId769" Type="http://schemas.openxmlformats.org/officeDocument/2006/relationships/hyperlink" Target="https://lpse.kalbarprov.go.id/eproc4/lelang/4886097/pengumumanlelang" TargetMode="External"/><Relationship Id="rId768" Type="http://schemas.openxmlformats.org/officeDocument/2006/relationships/hyperlink" Target="https://lpse.kalbarprov.go.id/eproc4/lelang/4887097/jadwal" TargetMode="External"/><Relationship Id="rId767" Type="http://schemas.openxmlformats.org/officeDocument/2006/relationships/hyperlink" Target="https://lpse.kalbarprov.go.id/eproc4/lelang/4887097/pengumumanlelang" TargetMode="External"/><Relationship Id="rId766" Type="http://schemas.openxmlformats.org/officeDocument/2006/relationships/hyperlink" Target="https://lpse.kalbarprov.go.id/eproc4/lelang/4888097/jadwal" TargetMode="External"/><Relationship Id="rId765" Type="http://schemas.openxmlformats.org/officeDocument/2006/relationships/hyperlink" Target="https://lpse.kalbarprov.go.id/eproc4/lelang/4888097/pengumumanlelang" TargetMode="External"/><Relationship Id="rId764" Type="http://schemas.openxmlformats.org/officeDocument/2006/relationships/hyperlink" Target="https://lpse.kalbarprov.go.id/eproc4/lelang/4889097/jadwal" TargetMode="External"/><Relationship Id="rId763" Type="http://schemas.openxmlformats.org/officeDocument/2006/relationships/hyperlink" Target="https://lpse.kalbarprov.go.id/eproc4/lelang/4889097/pengumumanlelang" TargetMode="External"/><Relationship Id="rId762" Type="http://schemas.openxmlformats.org/officeDocument/2006/relationships/hyperlink" Target="https://lpse.kalbarprov.go.id/eproc4/lelang/4890097/jadwal" TargetMode="External"/><Relationship Id="rId761" Type="http://schemas.openxmlformats.org/officeDocument/2006/relationships/hyperlink" Target="https://lpse.kalbarprov.go.id/eproc4/lelang/4890097/pengumumanlelang" TargetMode="External"/><Relationship Id="rId760" Type="http://schemas.openxmlformats.org/officeDocument/2006/relationships/hyperlink" Target="https://lpse.kalbarprov.go.id/eproc4/lelang/4892097/jadwal" TargetMode="External"/><Relationship Id="rId76" Type="http://schemas.openxmlformats.org/officeDocument/2006/relationships/hyperlink" Target="https://lpse.kalbarprov.go.id/eproc4/lelang/5545097/jadwal" TargetMode="External"/><Relationship Id="rId759" Type="http://schemas.openxmlformats.org/officeDocument/2006/relationships/hyperlink" Target="https://lpse.kalbarprov.go.id/eproc4/lelang/4892097/pengumumanlelang" TargetMode="External"/><Relationship Id="rId758" Type="http://schemas.openxmlformats.org/officeDocument/2006/relationships/hyperlink" Target="https://lpse.kalbarprov.go.id/eproc4/lelang/4895097/jadwal" TargetMode="External"/><Relationship Id="rId757" Type="http://schemas.openxmlformats.org/officeDocument/2006/relationships/hyperlink" Target="https://lpse.kalbarprov.go.id/eproc4/lelang/4895097/pengumumanlelang" TargetMode="External"/><Relationship Id="rId756" Type="http://schemas.openxmlformats.org/officeDocument/2006/relationships/hyperlink" Target="https://lpse.kalbarprov.go.id/eproc4/lelang/4897097/jadwal" TargetMode="External"/><Relationship Id="rId755" Type="http://schemas.openxmlformats.org/officeDocument/2006/relationships/hyperlink" Target="https://lpse.kalbarprov.go.id/eproc4/lelang/4897097/pengumumanlelang" TargetMode="External"/><Relationship Id="rId754" Type="http://schemas.openxmlformats.org/officeDocument/2006/relationships/hyperlink" Target="https://lpse.kalbarprov.go.id/eproc4/lelang/4898097/jadwal" TargetMode="External"/><Relationship Id="rId753" Type="http://schemas.openxmlformats.org/officeDocument/2006/relationships/hyperlink" Target="https://lpse.kalbarprov.go.id/eproc4/lelang/4898097/pengumumanlelang" TargetMode="External"/><Relationship Id="rId752" Type="http://schemas.openxmlformats.org/officeDocument/2006/relationships/hyperlink" Target="https://lpse.kalbarprov.go.id/eproc4/lelang/4900097/jadwal" TargetMode="External"/><Relationship Id="rId751" Type="http://schemas.openxmlformats.org/officeDocument/2006/relationships/hyperlink" Target="https://lpse.kalbarprov.go.id/eproc4/lelang/4900097/pengumumanlelang" TargetMode="External"/><Relationship Id="rId750" Type="http://schemas.openxmlformats.org/officeDocument/2006/relationships/hyperlink" Target="https://lpse.kalbarprov.go.id/eproc4/lelang/4901097/jadwal" TargetMode="External"/><Relationship Id="rId75" Type="http://schemas.openxmlformats.org/officeDocument/2006/relationships/hyperlink" Target="https://lpse.kalbarprov.go.id/eproc4/lelang/5545097/pengumumanlelang" TargetMode="External"/><Relationship Id="rId749" Type="http://schemas.openxmlformats.org/officeDocument/2006/relationships/hyperlink" Target="https://lpse.kalbarprov.go.id/eproc4/lelang/4901097/pengumumanlelang" TargetMode="External"/><Relationship Id="rId748" Type="http://schemas.openxmlformats.org/officeDocument/2006/relationships/hyperlink" Target="https://lpse.kalbarprov.go.id/eproc4/lelang/4903097/jadwal" TargetMode="External"/><Relationship Id="rId747" Type="http://schemas.openxmlformats.org/officeDocument/2006/relationships/hyperlink" Target="https://lpse.kalbarprov.go.id/eproc4/lelang/4903097/pengumumanlelang" TargetMode="External"/><Relationship Id="rId746" Type="http://schemas.openxmlformats.org/officeDocument/2006/relationships/hyperlink" Target="https://lpse.kalbarprov.go.id/eproc4/lelang/4909097/jadwal" TargetMode="External"/><Relationship Id="rId745" Type="http://schemas.openxmlformats.org/officeDocument/2006/relationships/hyperlink" Target="https://lpse.kalbarprov.go.id/eproc4/lelang/4909097/pengumumanlelang" TargetMode="External"/><Relationship Id="rId744" Type="http://schemas.openxmlformats.org/officeDocument/2006/relationships/hyperlink" Target="https://lpse.kalbarprov.go.id/eproc4/lelang/4910097/jadwal" TargetMode="External"/><Relationship Id="rId743" Type="http://schemas.openxmlformats.org/officeDocument/2006/relationships/hyperlink" Target="https://lpse.kalbarprov.go.id/eproc4/lelang/4910097/pengumumanlelang" TargetMode="External"/><Relationship Id="rId742" Type="http://schemas.openxmlformats.org/officeDocument/2006/relationships/hyperlink" Target="https://lpse.kalbarprov.go.id/eproc4/lelang/4912097/jadwal" TargetMode="External"/><Relationship Id="rId741" Type="http://schemas.openxmlformats.org/officeDocument/2006/relationships/hyperlink" Target="https://lpse.kalbarprov.go.id/eproc4/lelang/4912097/pengumumanlelang" TargetMode="External"/><Relationship Id="rId740" Type="http://schemas.openxmlformats.org/officeDocument/2006/relationships/hyperlink" Target="https://lpse.kalbarprov.go.id/eproc4/lelang/4913097/jadwal" TargetMode="External"/><Relationship Id="rId74" Type="http://schemas.openxmlformats.org/officeDocument/2006/relationships/hyperlink" Target="https://lpse.kalbarprov.go.id/eproc4/lelang/5546097/jadwal" TargetMode="External"/><Relationship Id="rId739" Type="http://schemas.openxmlformats.org/officeDocument/2006/relationships/hyperlink" Target="https://lpse.kalbarprov.go.id/eproc4/lelang/4913097/pengumumanlelang" TargetMode="External"/><Relationship Id="rId738" Type="http://schemas.openxmlformats.org/officeDocument/2006/relationships/hyperlink" Target="https://lpse.kalbarprov.go.id/eproc4/lelang/4914097/jadwal" TargetMode="External"/><Relationship Id="rId737" Type="http://schemas.openxmlformats.org/officeDocument/2006/relationships/hyperlink" Target="https://lpse.kalbarprov.go.id/eproc4/lelang/4914097/pengumumanlelang" TargetMode="External"/><Relationship Id="rId736" Type="http://schemas.openxmlformats.org/officeDocument/2006/relationships/hyperlink" Target="https://lpse.kalbarprov.go.id/eproc4/lelang/4915097/jadwal" TargetMode="External"/><Relationship Id="rId735" Type="http://schemas.openxmlformats.org/officeDocument/2006/relationships/hyperlink" Target="https://lpse.kalbarprov.go.id/eproc4/lelang/4915097/pengumumanlelang" TargetMode="External"/><Relationship Id="rId734" Type="http://schemas.openxmlformats.org/officeDocument/2006/relationships/hyperlink" Target="https://lpse.kalbarprov.go.id/eproc4/lelang/4919097/jadwal" TargetMode="External"/><Relationship Id="rId733" Type="http://schemas.openxmlformats.org/officeDocument/2006/relationships/hyperlink" Target="https://lpse.kalbarprov.go.id/eproc4/lelang/4919097/pengumumanlelang" TargetMode="External"/><Relationship Id="rId732" Type="http://schemas.openxmlformats.org/officeDocument/2006/relationships/hyperlink" Target="https://lpse.kalbarprov.go.id/eproc4/lelang/4921097/jadwal" TargetMode="External"/><Relationship Id="rId731" Type="http://schemas.openxmlformats.org/officeDocument/2006/relationships/hyperlink" Target="https://lpse.kalbarprov.go.id/eproc4/lelang/4921097/pengumumanlelang" TargetMode="External"/><Relationship Id="rId730" Type="http://schemas.openxmlformats.org/officeDocument/2006/relationships/hyperlink" Target="https://lpse.kalbarprov.go.id/eproc4/lelang/4922097/jadwal" TargetMode="External"/><Relationship Id="rId73" Type="http://schemas.openxmlformats.org/officeDocument/2006/relationships/hyperlink" Target="https://lpse.kalbarprov.go.id/eproc4/lelang/5546097/pengumumanlelang" TargetMode="External"/><Relationship Id="rId729" Type="http://schemas.openxmlformats.org/officeDocument/2006/relationships/hyperlink" Target="https://lpse.kalbarprov.go.id/eproc4/lelang/4922097/pengumumanlelang" TargetMode="External"/><Relationship Id="rId728" Type="http://schemas.openxmlformats.org/officeDocument/2006/relationships/hyperlink" Target="https://lpse.kalbarprov.go.id/eproc4/lelang/4923097/jadwal" TargetMode="External"/><Relationship Id="rId727" Type="http://schemas.openxmlformats.org/officeDocument/2006/relationships/hyperlink" Target="https://lpse.kalbarprov.go.id/eproc4/lelang/4923097/pengumumanlelang" TargetMode="External"/><Relationship Id="rId726" Type="http://schemas.openxmlformats.org/officeDocument/2006/relationships/hyperlink" Target="https://lpse.kalbarprov.go.id/eproc4/lelang/4924097/jadwal" TargetMode="External"/><Relationship Id="rId725" Type="http://schemas.openxmlformats.org/officeDocument/2006/relationships/hyperlink" Target="https://lpse.kalbarprov.go.id/eproc4/lelang/4924097/pengumumanlelang" TargetMode="External"/><Relationship Id="rId724" Type="http://schemas.openxmlformats.org/officeDocument/2006/relationships/hyperlink" Target="https://lpse.kalbarprov.go.id/eproc4/lelang/4929097/jadwal" TargetMode="External"/><Relationship Id="rId723" Type="http://schemas.openxmlformats.org/officeDocument/2006/relationships/hyperlink" Target="https://lpse.kalbarprov.go.id/eproc4/lelang/4929097/pengumumanlelang" TargetMode="External"/><Relationship Id="rId722" Type="http://schemas.openxmlformats.org/officeDocument/2006/relationships/hyperlink" Target="https://lpse.kalbarprov.go.id/eproc4/lelang/4930097/jadwal" TargetMode="External"/><Relationship Id="rId721" Type="http://schemas.openxmlformats.org/officeDocument/2006/relationships/hyperlink" Target="https://lpse.kalbarprov.go.id/eproc4/lelang/4930097/pengumumanlelang" TargetMode="External"/><Relationship Id="rId720" Type="http://schemas.openxmlformats.org/officeDocument/2006/relationships/hyperlink" Target="https://lpse.kalbarprov.go.id/eproc4/lelang/4932097/jadwal" TargetMode="External"/><Relationship Id="rId72" Type="http://schemas.openxmlformats.org/officeDocument/2006/relationships/hyperlink" Target="https://lpse.kalbarprov.go.id/eproc4/lelang/5547097/jadwal" TargetMode="External"/><Relationship Id="rId719" Type="http://schemas.openxmlformats.org/officeDocument/2006/relationships/hyperlink" Target="https://lpse.kalbarprov.go.id/eproc4/lelang/4932097/pengumumanlelang" TargetMode="External"/><Relationship Id="rId718" Type="http://schemas.openxmlformats.org/officeDocument/2006/relationships/hyperlink" Target="https://lpse.kalbarprov.go.id/eproc4/lelang/4934097/jadwal" TargetMode="External"/><Relationship Id="rId717" Type="http://schemas.openxmlformats.org/officeDocument/2006/relationships/hyperlink" Target="https://lpse.kalbarprov.go.id/eproc4/lelang/4934097/pengumumanlelang" TargetMode="External"/><Relationship Id="rId716" Type="http://schemas.openxmlformats.org/officeDocument/2006/relationships/hyperlink" Target="https://lpse.kalbarprov.go.id/eproc4/lelang/4935097/jadwal" TargetMode="External"/><Relationship Id="rId715" Type="http://schemas.openxmlformats.org/officeDocument/2006/relationships/hyperlink" Target="https://lpse.kalbarprov.go.id/eproc4/lelang/4935097/pengumumanlelang" TargetMode="External"/><Relationship Id="rId714" Type="http://schemas.openxmlformats.org/officeDocument/2006/relationships/hyperlink" Target="https://lpse.kalbarprov.go.id/eproc4/lelang/4936097/jadwal" TargetMode="External"/><Relationship Id="rId713" Type="http://schemas.openxmlformats.org/officeDocument/2006/relationships/hyperlink" Target="https://lpse.kalbarprov.go.id/eproc4/lelang/4936097/pengumumanlelang" TargetMode="External"/><Relationship Id="rId712" Type="http://schemas.openxmlformats.org/officeDocument/2006/relationships/hyperlink" Target="https://lpse.kalbarprov.go.id/eproc4/lelang/4937097/jadwal" TargetMode="External"/><Relationship Id="rId711" Type="http://schemas.openxmlformats.org/officeDocument/2006/relationships/hyperlink" Target="https://lpse.kalbarprov.go.id/eproc4/lelang/4937097/pengumumanlelang" TargetMode="External"/><Relationship Id="rId710" Type="http://schemas.openxmlformats.org/officeDocument/2006/relationships/hyperlink" Target="https://lpse.kalbarprov.go.id/eproc4/lelang/4938097/jadwal" TargetMode="External"/><Relationship Id="rId71" Type="http://schemas.openxmlformats.org/officeDocument/2006/relationships/hyperlink" Target="https://lpse.kalbarprov.go.id/eproc4/lelang/5547097/pengumumanlelang" TargetMode="External"/><Relationship Id="rId709" Type="http://schemas.openxmlformats.org/officeDocument/2006/relationships/hyperlink" Target="https://lpse.kalbarprov.go.id/eproc4/lelang/4938097/pengumumanlelang" TargetMode="External"/><Relationship Id="rId708" Type="http://schemas.openxmlformats.org/officeDocument/2006/relationships/hyperlink" Target="https://lpse.kalbarprov.go.id/eproc4/lelang/4939097/jadwal" TargetMode="External"/><Relationship Id="rId707" Type="http://schemas.openxmlformats.org/officeDocument/2006/relationships/hyperlink" Target="https://lpse.kalbarprov.go.id/eproc4/lelang/4939097/pengumumanlelang" TargetMode="External"/><Relationship Id="rId706" Type="http://schemas.openxmlformats.org/officeDocument/2006/relationships/hyperlink" Target="https://lpse.kalbarprov.go.id/eproc4/lelang/4940097/jadwal" TargetMode="External"/><Relationship Id="rId705" Type="http://schemas.openxmlformats.org/officeDocument/2006/relationships/hyperlink" Target="https://lpse.kalbarprov.go.id/eproc4/lelang/4940097/pengumumanlelang" TargetMode="External"/><Relationship Id="rId704" Type="http://schemas.openxmlformats.org/officeDocument/2006/relationships/hyperlink" Target="https://lpse.kalbarprov.go.id/eproc4/lelang/4941097/jadwal" TargetMode="External"/><Relationship Id="rId703" Type="http://schemas.openxmlformats.org/officeDocument/2006/relationships/hyperlink" Target="https://lpse.kalbarprov.go.id/eproc4/lelang/4941097/pengumumanlelang" TargetMode="External"/><Relationship Id="rId702" Type="http://schemas.openxmlformats.org/officeDocument/2006/relationships/hyperlink" Target="https://lpse.kalbarprov.go.id/eproc4/lelang/4942097/jadwal" TargetMode="External"/><Relationship Id="rId701" Type="http://schemas.openxmlformats.org/officeDocument/2006/relationships/hyperlink" Target="https://lpse.kalbarprov.go.id/eproc4/lelang/4942097/pengumumanlelang" TargetMode="External"/><Relationship Id="rId700" Type="http://schemas.openxmlformats.org/officeDocument/2006/relationships/hyperlink" Target="https://lpse.kalbarprov.go.id/eproc4/lelang/4949097/jadwal" TargetMode="External"/><Relationship Id="rId70" Type="http://schemas.openxmlformats.org/officeDocument/2006/relationships/hyperlink" Target="https://lpse.kalbarprov.go.id/eproc4/lelang/5549097/jadwal" TargetMode="External"/><Relationship Id="rId7" Type="http://schemas.openxmlformats.org/officeDocument/2006/relationships/hyperlink" Target="https://lpse.kalbarprov.go.id/eproc4/lelang/5657097/pengumumanlelang" TargetMode="External"/><Relationship Id="rId699" Type="http://schemas.openxmlformats.org/officeDocument/2006/relationships/hyperlink" Target="https://lpse.kalbarprov.go.id/eproc4/lelang/4949097/pengumumanlelang" TargetMode="External"/><Relationship Id="rId698" Type="http://schemas.openxmlformats.org/officeDocument/2006/relationships/hyperlink" Target="https://lpse.kalbarprov.go.id/eproc4/lelang/4951097/jadwal" TargetMode="External"/><Relationship Id="rId697" Type="http://schemas.openxmlformats.org/officeDocument/2006/relationships/hyperlink" Target="https://lpse.kalbarprov.go.id/eproc4/lelang/4951097/pengumumanlelang" TargetMode="External"/><Relationship Id="rId696" Type="http://schemas.openxmlformats.org/officeDocument/2006/relationships/hyperlink" Target="https://lpse.kalbarprov.go.id/eproc4/lelang/4952097/jadwal" TargetMode="External"/><Relationship Id="rId695" Type="http://schemas.openxmlformats.org/officeDocument/2006/relationships/hyperlink" Target="https://lpse.kalbarprov.go.id/eproc4/lelang/4952097/pengumumanlelang" TargetMode="External"/><Relationship Id="rId694" Type="http://schemas.openxmlformats.org/officeDocument/2006/relationships/hyperlink" Target="https://lpse.kalbarprov.go.id/eproc4/lelang/4953097/jadwal" TargetMode="External"/><Relationship Id="rId693" Type="http://schemas.openxmlformats.org/officeDocument/2006/relationships/hyperlink" Target="https://lpse.kalbarprov.go.id/eproc4/lelang/4953097/pengumumanlelang" TargetMode="External"/><Relationship Id="rId692" Type="http://schemas.openxmlformats.org/officeDocument/2006/relationships/hyperlink" Target="https://lpse.kalbarprov.go.id/eproc4/lelang/4954097/jadwal" TargetMode="External"/><Relationship Id="rId691" Type="http://schemas.openxmlformats.org/officeDocument/2006/relationships/hyperlink" Target="https://lpse.kalbarprov.go.id/eproc4/lelang/4954097/pengumumanlelang" TargetMode="External"/><Relationship Id="rId690" Type="http://schemas.openxmlformats.org/officeDocument/2006/relationships/hyperlink" Target="https://lpse.kalbarprov.go.id/eproc4/lelang/4955097/jadwal" TargetMode="External"/><Relationship Id="rId69" Type="http://schemas.openxmlformats.org/officeDocument/2006/relationships/hyperlink" Target="https://lpse.kalbarprov.go.id/eproc4/lelang/5549097/pengumumanlelang" TargetMode="External"/><Relationship Id="rId689" Type="http://schemas.openxmlformats.org/officeDocument/2006/relationships/hyperlink" Target="https://lpse.kalbarprov.go.id/eproc4/lelang/4955097/pengumumanlelang" TargetMode="External"/><Relationship Id="rId688" Type="http://schemas.openxmlformats.org/officeDocument/2006/relationships/hyperlink" Target="https://lpse.kalbarprov.go.id/eproc4/lelang/4956097/jadwal" TargetMode="External"/><Relationship Id="rId687" Type="http://schemas.openxmlformats.org/officeDocument/2006/relationships/hyperlink" Target="https://lpse.kalbarprov.go.id/eproc4/lelang/4956097/pengumumanlelang" TargetMode="External"/><Relationship Id="rId686" Type="http://schemas.openxmlformats.org/officeDocument/2006/relationships/hyperlink" Target="https://lpse.kalbarprov.go.id/eproc4/lelang/4957097/jadwal" TargetMode="External"/><Relationship Id="rId685" Type="http://schemas.openxmlformats.org/officeDocument/2006/relationships/hyperlink" Target="https://lpse.kalbarprov.go.id/eproc4/lelang/4957097/pengumumanlelang" TargetMode="External"/><Relationship Id="rId684" Type="http://schemas.openxmlformats.org/officeDocument/2006/relationships/hyperlink" Target="https://lpse.kalbarprov.go.id/eproc4/lelang/4958097/jadwal" TargetMode="External"/><Relationship Id="rId683" Type="http://schemas.openxmlformats.org/officeDocument/2006/relationships/hyperlink" Target="https://lpse.kalbarprov.go.id/eproc4/lelang/4958097/pengumumanlelang" TargetMode="External"/><Relationship Id="rId682" Type="http://schemas.openxmlformats.org/officeDocument/2006/relationships/hyperlink" Target="https://lpse.kalbarprov.go.id/eproc4/lelang/4959097/jadwal" TargetMode="External"/><Relationship Id="rId681" Type="http://schemas.openxmlformats.org/officeDocument/2006/relationships/hyperlink" Target="https://lpse.kalbarprov.go.id/eproc4/lelang/4959097/pengumumanlelang" TargetMode="External"/><Relationship Id="rId680" Type="http://schemas.openxmlformats.org/officeDocument/2006/relationships/hyperlink" Target="https://lpse.kalbarprov.go.id/eproc4/lelang/4960097/jadwal" TargetMode="External"/><Relationship Id="rId68" Type="http://schemas.openxmlformats.org/officeDocument/2006/relationships/hyperlink" Target="https://lpse.kalbarprov.go.id/eproc4/lelang/5553097/jadwal" TargetMode="External"/><Relationship Id="rId679" Type="http://schemas.openxmlformats.org/officeDocument/2006/relationships/hyperlink" Target="https://lpse.kalbarprov.go.id/eproc4/lelang/4960097/pengumumanlelang" TargetMode="External"/><Relationship Id="rId678" Type="http://schemas.openxmlformats.org/officeDocument/2006/relationships/hyperlink" Target="https://lpse.kalbarprov.go.id/eproc4/lelang/4962097/jadwal" TargetMode="External"/><Relationship Id="rId677" Type="http://schemas.openxmlformats.org/officeDocument/2006/relationships/hyperlink" Target="https://lpse.kalbarprov.go.id/eproc4/lelang/4962097/pengumumanlelang" TargetMode="External"/><Relationship Id="rId676" Type="http://schemas.openxmlformats.org/officeDocument/2006/relationships/hyperlink" Target="https://lpse.kalbarprov.go.id/eproc4/lelang/4963097/jadwal" TargetMode="External"/><Relationship Id="rId675" Type="http://schemas.openxmlformats.org/officeDocument/2006/relationships/hyperlink" Target="https://lpse.kalbarprov.go.id/eproc4/lelang/4963097/pengumumanlelang" TargetMode="External"/><Relationship Id="rId674" Type="http://schemas.openxmlformats.org/officeDocument/2006/relationships/hyperlink" Target="https://lpse.kalbarprov.go.id/eproc4/lelang/4973097/jadwal" TargetMode="External"/><Relationship Id="rId673" Type="http://schemas.openxmlformats.org/officeDocument/2006/relationships/hyperlink" Target="https://lpse.kalbarprov.go.id/eproc4/lelang/4973097/pengumumanlelang" TargetMode="External"/><Relationship Id="rId672" Type="http://schemas.openxmlformats.org/officeDocument/2006/relationships/hyperlink" Target="https://lpse.kalbarprov.go.id/eproc4/lelang/4974097/jadwal" TargetMode="External"/><Relationship Id="rId671" Type="http://schemas.openxmlformats.org/officeDocument/2006/relationships/hyperlink" Target="https://lpse.kalbarprov.go.id/eproc4/lelang/4974097/pengumumanlelang" TargetMode="External"/><Relationship Id="rId670" Type="http://schemas.openxmlformats.org/officeDocument/2006/relationships/hyperlink" Target="https://lpse.kalbarprov.go.id/eproc4/lelang/4975097/jadwal" TargetMode="External"/><Relationship Id="rId67" Type="http://schemas.openxmlformats.org/officeDocument/2006/relationships/hyperlink" Target="https://lpse.kalbarprov.go.id/eproc4/lelang/5553097/pengumumanlelang" TargetMode="External"/><Relationship Id="rId669" Type="http://schemas.openxmlformats.org/officeDocument/2006/relationships/hyperlink" Target="https://lpse.kalbarprov.go.id/eproc4/lelang/4975097/pengumumanlelang" TargetMode="External"/><Relationship Id="rId668" Type="http://schemas.openxmlformats.org/officeDocument/2006/relationships/hyperlink" Target="https://lpse.kalbarprov.go.id/eproc4/lelang/4976097/jadwal" TargetMode="External"/><Relationship Id="rId667" Type="http://schemas.openxmlformats.org/officeDocument/2006/relationships/hyperlink" Target="https://lpse.kalbarprov.go.id/eproc4/lelang/4976097/pengumumanlelang" TargetMode="External"/><Relationship Id="rId666" Type="http://schemas.openxmlformats.org/officeDocument/2006/relationships/hyperlink" Target="https://lpse.kalbarprov.go.id/eproc4/lelang/4977097/jadwal" TargetMode="External"/><Relationship Id="rId665" Type="http://schemas.openxmlformats.org/officeDocument/2006/relationships/hyperlink" Target="https://lpse.kalbarprov.go.id/eproc4/lelang/4977097/pengumumanlelang" TargetMode="External"/><Relationship Id="rId664" Type="http://schemas.openxmlformats.org/officeDocument/2006/relationships/hyperlink" Target="https://lpse.kalbarprov.go.id/eproc4/lelang/4978097/jadwal" TargetMode="External"/><Relationship Id="rId663" Type="http://schemas.openxmlformats.org/officeDocument/2006/relationships/hyperlink" Target="https://lpse.kalbarprov.go.id/eproc4/lelang/4978097/pengumumanlelang" TargetMode="External"/><Relationship Id="rId662" Type="http://schemas.openxmlformats.org/officeDocument/2006/relationships/hyperlink" Target="https://lpse.kalbarprov.go.id/eproc4/lelang/4980097/jadwal" TargetMode="External"/><Relationship Id="rId661" Type="http://schemas.openxmlformats.org/officeDocument/2006/relationships/hyperlink" Target="https://lpse.kalbarprov.go.id/eproc4/lelang/4980097/pengumumanlelang" TargetMode="External"/><Relationship Id="rId660" Type="http://schemas.openxmlformats.org/officeDocument/2006/relationships/hyperlink" Target="https://lpse.kalbarprov.go.id/eproc4/lelang/4981097/jadwal" TargetMode="External"/><Relationship Id="rId66" Type="http://schemas.openxmlformats.org/officeDocument/2006/relationships/hyperlink" Target="https://lpse.kalbarprov.go.id/eproc4/lelang/5558097/jadwal" TargetMode="External"/><Relationship Id="rId659" Type="http://schemas.openxmlformats.org/officeDocument/2006/relationships/hyperlink" Target="https://lpse.kalbarprov.go.id/eproc4/lelang/4981097/pengumumanlelang" TargetMode="External"/><Relationship Id="rId658" Type="http://schemas.openxmlformats.org/officeDocument/2006/relationships/hyperlink" Target="https://lpse.kalbarprov.go.id/eproc4/lelang/4984097/jadwal" TargetMode="External"/><Relationship Id="rId657" Type="http://schemas.openxmlformats.org/officeDocument/2006/relationships/hyperlink" Target="https://lpse.kalbarprov.go.id/eproc4/lelang/4984097/pengumumanlelang" TargetMode="External"/><Relationship Id="rId656" Type="http://schemas.openxmlformats.org/officeDocument/2006/relationships/hyperlink" Target="https://lpse.kalbarprov.go.id/eproc4/lelang/4986097/jadwal" TargetMode="External"/><Relationship Id="rId655" Type="http://schemas.openxmlformats.org/officeDocument/2006/relationships/hyperlink" Target="https://lpse.kalbarprov.go.id/eproc4/lelang/4986097/pengumumanlelang" TargetMode="External"/><Relationship Id="rId654" Type="http://schemas.openxmlformats.org/officeDocument/2006/relationships/hyperlink" Target="https://lpse.kalbarprov.go.id/eproc4/lelang/4997097/jadwal" TargetMode="External"/><Relationship Id="rId653" Type="http://schemas.openxmlformats.org/officeDocument/2006/relationships/hyperlink" Target="https://lpse.kalbarprov.go.id/eproc4/lelang/4997097/pengumumanlelang" TargetMode="External"/><Relationship Id="rId652" Type="http://schemas.openxmlformats.org/officeDocument/2006/relationships/hyperlink" Target="https://lpse.kalbarprov.go.id/eproc4/lelang/4999097/jadwal" TargetMode="External"/><Relationship Id="rId651" Type="http://schemas.openxmlformats.org/officeDocument/2006/relationships/hyperlink" Target="https://lpse.kalbarprov.go.id/eproc4/lelang/4999097/pengumumanlelang" TargetMode="External"/><Relationship Id="rId650" Type="http://schemas.openxmlformats.org/officeDocument/2006/relationships/hyperlink" Target="https://lpse.kalbarprov.go.id/eproc4/lelang/5000097/jadwal" TargetMode="External"/><Relationship Id="rId65" Type="http://schemas.openxmlformats.org/officeDocument/2006/relationships/hyperlink" Target="https://lpse.kalbarprov.go.id/eproc4/lelang/5558097/pengumumanlelang" TargetMode="External"/><Relationship Id="rId649" Type="http://schemas.openxmlformats.org/officeDocument/2006/relationships/hyperlink" Target="https://lpse.kalbarprov.go.id/eproc4/lelang/5000097/pengumumanlelang" TargetMode="External"/><Relationship Id="rId648" Type="http://schemas.openxmlformats.org/officeDocument/2006/relationships/hyperlink" Target="https://lpse.kalbarprov.go.id/eproc4/lelang/5001097/jadwal" TargetMode="External"/><Relationship Id="rId647" Type="http://schemas.openxmlformats.org/officeDocument/2006/relationships/hyperlink" Target="https://lpse.kalbarprov.go.id/eproc4/lelang/5001097/pengumumanlelang" TargetMode="External"/><Relationship Id="rId646" Type="http://schemas.openxmlformats.org/officeDocument/2006/relationships/hyperlink" Target="https://lpse.kalbarprov.go.id/eproc4/lelang/5007097/jadwal" TargetMode="External"/><Relationship Id="rId645" Type="http://schemas.openxmlformats.org/officeDocument/2006/relationships/hyperlink" Target="https://lpse.kalbarprov.go.id/eproc4/lelang/5007097/pengumumanlelang" TargetMode="External"/><Relationship Id="rId644" Type="http://schemas.openxmlformats.org/officeDocument/2006/relationships/hyperlink" Target="https://lpse.kalbarprov.go.id/eproc4/lelang/5008097/jadwal" TargetMode="External"/><Relationship Id="rId643" Type="http://schemas.openxmlformats.org/officeDocument/2006/relationships/hyperlink" Target="https://lpse.kalbarprov.go.id/eproc4/lelang/5008097/pengumumanlelang" TargetMode="External"/><Relationship Id="rId642" Type="http://schemas.openxmlformats.org/officeDocument/2006/relationships/hyperlink" Target="https://lpse.kalbarprov.go.id/eproc4/lelang/5009097/jadwal" TargetMode="External"/><Relationship Id="rId641" Type="http://schemas.openxmlformats.org/officeDocument/2006/relationships/hyperlink" Target="https://lpse.kalbarprov.go.id/eproc4/lelang/5009097/pengumumanlelang" TargetMode="External"/><Relationship Id="rId640" Type="http://schemas.openxmlformats.org/officeDocument/2006/relationships/hyperlink" Target="https://lpse.kalbarprov.go.id/eproc4/lelang/5010097/jadwal" TargetMode="External"/><Relationship Id="rId64" Type="http://schemas.openxmlformats.org/officeDocument/2006/relationships/hyperlink" Target="https://lpse.kalbarprov.go.id/eproc4/lelang/5563097/jadwal" TargetMode="External"/><Relationship Id="rId639" Type="http://schemas.openxmlformats.org/officeDocument/2006/relationships/hyperlink" Target="https://lpse.kalbarprov.go.id/eproc4/lelang/5010097/pengumumanlelang" TargetMode="External"/><Relationship Id="rId638" Type="http://schemas.openxmlformats.org/officeDocument/2006/relationships/hyperlink" Target="https://lpse.kalbarprov.go.id/eproc4/lelang/5012097/jadwal" TargetMode="External"/><Relationship Id="rId637" Type="http://schemas.openxmlformats.org/officeDocument/2006/relationships/hyperlink" Target="https://lpse.kalbarprov.go.id/eproc4/lelang/5012097/pengumumanlelang" TargetMode="External"/><Relationship Id="rId636" Type="http://schemas.openxmlformats.org/officeDocument/2006/relationships/hyperlink" Target="https://lpse.kalbarprov.go.id/eproc4/lelang/5013097/jadwal" TargetMode="External"/><Relationship Id="rId635" Type="http://schemas.openxmlformats.org/officeDocument/2006/relationships/hyperlink" Target="https://lpse.kalbarprov.go.id/eproc4/lelang/5013097/pengumumanlelang" TargetMode="External"/><Relationship Id="rId634" Type="http://schemas.openxmlformats.org/officeDocument/2006/relationships/hyperlink" Target="https://lpse.kalbarprov.go.id/eproc4/lelang/5014097/jadwal" TargetMode="External"/><Relationship Id="rId633" Type="http://schemas.openxmlformats.org/officeDocument/2006/relationships/hyperlink" Target="https://lpse.kalbarprov.go.id/eproc4/lelang/5014097/pengumumanlelang" TargetMode="External"/><Relationship Id="rId632" Type="http://schemas.openxmlformats.org/officeDocument/2006/relationships/hyperlink" Target="https://lpse.kalbarprov.go.id/eproc4/lelang/5015097/jadwal" TargetMode="External"/><Relationship Id="rId631" Type="http://schemas.openxmlformats.org/officeDocument/2006/relationships/hyperlink" Target="https://lpse.kalbarprov.go.id/eproc4/lelang/5015097/pengumumanlelang" TargetMode="External"/><Relationship Id="rId630" Type="http://schemas.openxmlformats.org/officeDocument/2006/relationships/hyperlink" Target="https://lpse.kalbarprov.go.id/eproc4/lelang/5021097/jadwal" TargetMode="External"/><Relationship Id="rId63" Type="http://schemas.openxmlformats.org/officeDocument/2006/relationships/hyperlink" Target="https://lpse.kalbarprov.go.id/eproc4/lelang/5563097/pengumumanlelang" TargetMode="External"/><Relationship Id="rId629" Type="http://schemas.openxmlformats.org/officeDocument/2006/relationships/hyperlink" Target="https://lpse.kalbarprov.go.id/eproc4/lelang/5021097/pengumumanlelang" TargetMode="External"/><Relationship Id="rId628" Type="http://schemas.openxmlformats.org/officeDocument/2006/relationships/hyperlink" Target="https://lpse.kalbarprov.go.id/eproc4/lelang/5023097/jadwal" TargetMode="External"/><Relationship Id="rId627" Type="http://schemas.openxmlformats.org/officeDocument/2006/relationships/hyperlink" Target="https://lpse.kalbarprov.go.id/eproc4/lelang/5023097/pengumumanlelang" TargetMode="External"/><Relationship Id="rId626" Type="http://schemas.openxmlformats.org/officeDocument/2006/relationships/hyperlink" Target="https://lpse.kalbarprov.go.id/eproc4/lelang/5027097/jadwal" TargetMode="External"/><Relationship Id="rId625" Type="http://schemas.openxmlformats.org/officeDocument/2006/relationships/hyperlink" Target="https://lpse.kalbarprov.go.id/eproc4/lelang/5027097/pengumumanlelang" TargetMode="External"/><Relationship Id="rId624" Type="http://schemas.openxmlformats.org/officeDocument/2006/relationships/hyperlink" Target="https://lpse.kalbarprov.go.id/eproc4/lelang/5029097/jadwal" TargetMode="External"/><Relationship Id="rId623" Type="http://schemas.openxmlformats.org/officeDocument/2006/relationships/hyperlink" Target="https://lpse.kalbarprov.go.id/eproc4/lelang/5029097/pengumumanlelang" TargetMode="External"/><Relationship Id="rId622" Type="http://schemas.openxmlformats.org/officeDocument/2006/relationships/hyperlink" Target="https://lpse.kalbarprov.go.id/eproc4/lelang/5030097/jadwal" TargetMode="External"/><Relationship Id="rId621" Type="http://schemas.openxmlformats.org/officeDocument/2006/relationships/hyperlink" Target="https://lpse.kalbarprov.go.id/eproc4/lelang/5030097/pengumumanlelang" TargetMode="External"/><Relationship Id="rId620" Type="http://schemas.openxmlformats.org/officeDocument/2006/relationships/hyperlink" Target="https://lpse.kalbarprov.go.id/eproc4/lelang/5032097/jadwal" TargetMode="External"/><Relationship Id="rId62" Type="http://schemas.openxmlformats.org/officeDocument/2006/relationships/hyperlink" Target="https://lpse.kalbarprov.go.id/eproc4/lelang/5564097/jadwal" TargetMode="External"/><Relationship Id="rId619" Type="http://schemas.openxmlformats.org/officeDocument/2006/relationships/hyperlink" Target="https://lpse.kalbarprov.go.id/eproc4/lelang/5032097/pengumumanlelang" TargetMode="External"/><Relationship Id="rId618" Type="http://schemas.openxmlformats.org/officeDocument/2006/relationships/hyperlink" Target="https://lpse.kalbarprov.go.id/eproc4/lelang/5034097/jadwal" TargetMode="External"/><Relationship Id="rId617" Type="http://schemas.openxmlformats.org/officeDocument/2006/relationships/hyperlink" Target="https://lpse.kalbarprov.go.id/eproc4/lelang/5034097/pengumumanlelang" TargetMode="External"/><Relationship Id="rId616" Type="http://schemas.openxmlformats.org/officeDocument/2006/relationships/hyperlink" Target="https://lpse.kalbarprov.go.id/eproc4/lelang/5036097/jadwal" TargetMode="External"/><Relationship Id="rId615" Type="http://schemas.openxmlformats.org/officeDocument/2006/relationships/hyperlink" Target="https://lpse.kalbarprov.go.id/eproc4/lelang/5036097/pengumumanlelang" TargetMode="External"/><Relationship Id="rId614" Type="http://schemas.openxmlformats.org/officeDocument/2006/relationships/hyperlink" Target="https://lpse.kalbarprov.go.id/eproc4/lelang/5038097/jadwal" TargetMode="External"/><Relationship Id="rId613" Type="http://schemas.openxmlformats.org/officeDocument/2006/relationships/hyperlink" Target="https://lpse.kalbarprov.go.id/eproc4/lelang/5038097/pengumumanlelang" TargetMode="External"/><Relationship Id="rId612" Type="http://schemas.openxmlformats.org/officeDocument/2006/relationships/hyperlink" Target="https://lpse.kalbarprov.go.id/eproc4/lelang/5039097/jadwal" TargetMode="External"/><Relationship Id="rId611" Type="http://schemas.openxmlformats.org/officeDocument/2006/relationships/hyperlink" Target="https://lpse.kalbarprov.go.id/eproc4/lelang/5039097/pengumumanlelang" TargetMode="External"/><Relationship Id="rId610" Type="http://schemas.openxmlformats.org/officeDocument/2006/relationships/hyperlink" Target="https://lpse.kalbarprov.go.id/eproc4/lelang/5040097/jadwal" TargetMode="External"/><Relationship Id="rId61" Type="http://schemas.openxmlformats.org/officeDocument/2006/relationships/hyperlink" Target="https://lpse.kalbarprov.go.id/eproc4/lelang/5564097/pengumumanlelang" TargetMode="External"/><Relationship Id="rId609" Type="http://schemas.openxmlformats.org/officeDocument/2006/relationships/hyperlink" Target="https://lpse.kalbarprov.go.id/eproc4/lelang/5040097/pengumumanlelang" TargetMode="External"/><Relationship Id="rId608" Type="http://schemas.openxmlformats.org/officeDocument/2006/relationships/hyperlink" Target="https://lpse.kalbarprov.go.id/eproc4/lelang/5041097/jadwal" TargetMode="External"/><Relationship Id="rId607" Type="http://schemas.openxmlformats.org/officeDocument/2006/relationships/hyperlink" Target="https://lpse.kalbarprov.go.id/eproc4/lelang/5041097/pengumumanlelang" TargetMode="External"/><Relationship Id="rId606" Type="http://schemas.openxmlformats.org/officeDocument/2006/relationships/hyperlink" Target="https://lpse.kalbarprov.go.id/eproc4/lelang/5042097/jadwal" TargetMode="External"/><Relationship Id="rId605" Type="http://schemas.openxmlformats.org/officeDocument/2006/relationships/hyperlink" Target="https://lpse.kalbarprov.go.id/eproc4/lelang/5042097/pengumumanlelang" TargetMode="External"/><Relationship Id="rId604" Type="http://schemas.openxmlformats.org/officeDocument/2006/relationships/hyperlink" Target="https://lpse.kalbarprov.go.id/eproc4/lelang/5043097/jadwal" TargetMode="External"/><Relationship Id="rId603" Type="http://schemas.openxmlformats.org/officeDocument/2006/relationships/hyperlink" Target="https://lpse.kalbarprov.go.id/eproc4/lelang/5043097/pengumumanlelang" TargetMode="External"/><Relationship Id="rId602" Type="http://schemas.openxmlformats.org/officeDocument/2006/relationships/hyperlink" Target="https://lpse.kalbarprov.go.id/eproc4/lelang/5049097/jadwal" TargetMode="External"/><Relationship Id="rId601" Type="http://schemas.openxmlformats.org/officeDocument/2006/relationships/hyperlink" Target="https://lpse.kalbarprov.go.id/eproc4/lelang/5049097/pengumumanlelang" TargetMode="External"/><Relationship Id="rId600" Type="http://schemas.openxmlformats.org/officeDocument/2006/relationships/hyperlink" Target="https://lpse.kalbarprov.go.id/eproc4/lelang/5055097/jadwal" TargetMode="External"/><Relationship Id="rId60" Type="http://schemas.openxmlformats.org/officeDocument/2006/relationships/hyperlink" Target="https://lpse.kalbarprov.go.id/eproc4/lelang/5567097/jadwal" TargetMode="External"/><Relationship Id="rId6" Type="http://schemas.openxmlformats.org/officeDocument/2006/relationships/hyperlink" Target="https://lpse.kalbarprov.go.id/eproc4/lelang/5662097/jadwal" TargetMode="External"/><Relationship Id="rId599" Type="http://schemas.openxmlformats.org/officeDocument/2006/relationships/hyperlink" Target="https://lpse.kalbarprov.go.id/eproc4/lelang/5055097/pengumumanlelang" TargetMode="External"/><Relationship Id="rId598" Type="http://schemas.openxmlformats.org/officeDocument/2006/relationships/hyperlink" Target="https://lpse.kalbarprov.go.id/eproc4/lelang/5056097/jadwal" TargetMode="External"/><Relationship Id="rId597" Type="http://schemas.openxmlformats.org/officeDocument/2006/relationships/hyperlink" Target="https://lpse.kalbarprov.go.id/eproc4/lelang/5056097/pengumumanlelang" TargetMode="External"/><Relationship Id="rId596" Type="http://schemas.openxmlformats.org/officeDocument/2006/relationships/hyperlink" Target="https://lpse.kalbarprov.go.id/eproc4/lelang/5057097/jadwal" TargetMode="External"/><Relationship Id="rId595" Type="http://schemas.openxmlformats.org/officeDocument/2006/relationships/hyperlink" Target="https://lpse.kalbarprov.go.id/eproc4/lelang/5057097/pengumumanlelang" TargetMode="External"/><Relationship Id="rId594" Type="http://schemas.openxmlformats.org/officeDocument/2006/relationships/hyperlink" Target="https://lpse.kalbarprov.go.id/eproc4/lelang/5058097/jadwal" TargetMode="External"/><Relationship Id="rId593" Type="http://schemas.openxmlformats.org/officeDocument/2006/relationships/hyperlink" Target="https://lpse.kalbarprov.go.id/eproc4/lelang/5058097/pengumumanlelang" TargetMode="External"/><Relationship Id="rId592" Type="http://schemas.openxmlformats.org/officeDocument/2006/relationships/hyperlink" Target="https://lpse.kalbarprov.go.id/eproc4/lelang/5059097/jadwal" TargetMode="External"/><Relationship Id="rId591" Type="http://schemas.openxmlformats.org/officeDocument/2006/relationships/hyperlink" Target="https://lpse.kalbarprov.go.id/eproc4/lelang/5059097/pengumumanlelang" TargetMode="External"/><Relationship Id="rId590" Type="http://schemas.openxmlformats.org/officeDocument/2006/relationships/hyperlink" Target="https://lpse.kalbarprov.go.id/eproc4/lelang/5060097/jadwal" TargetMode="External"/><Relationship Id="rId59" Type="http://schemas.openxmlformats.org/officeDocument/2006/relationships/hyperlink" Target="https://lpse.kalbarprov.go.id/eproc4/lelang/5567097/pengumumanlelang" TargetMode="External"/><Relationship Id="rId589" Type="http://schemas.openxmlformats.org/officeDocument/2006/relationships/hyperlink" Target="https://lpse.kalbarprov.go.id/eproc4/lelang/5060097/pengumumanlelang" TargetMode="External"/><Relationship Id="rId588" Type="http://schemas.openxmlformats.org/officeDocument/2006/relationships/hyperlink" Target="https://lpse.kalbarprov.go.id/eproc4/lelang/5062097/jadwal" TargetMode="External"/><Relationship Id="rId587" Type="http://schemas.openxmlformats.org/officeDocument/2006/relationships/hyperlink" Target="https://lpse.kalbarprov.go.id/eproc4/lelang/5062097/pengumumanlelang" TargetMode="External"/><Relationship Id="rId586" Type="http://schemas.openxmlformats.org/officeDocument/2006/relationships/hyperlink" Target="https://lpse.kalbarprov.go.id/eproc4/lelang/5063097/jadwal" TargetMode="External"/><Relationship Id="rId585" Type="http://schemas.openxmlformats.org/officeDocument/2006/relationships/hyperlink" Target="https://lpse.kalbarprov.go.id/eproc4/lelang/5063097/pengumumanlelang" TargetMode="External"/><Relationship Id="rId584" Type="http://schemas.openxmlformats.org/officeDocument/2006/relationships/hyperlink" Target="https://lpse.kalbarprov.go.id/eproc4/lelang/5064097/jadwal" TargetMode="External"/><Relationship Id="rId583" Type="http://schemas.openxmlformats.org/officeDocument/2006/relationships/hyperlink" Target="https://lpse.kalbarprov.go.id/eproc4/lelang/5064097/pengumumanlelang" TargetMode="External"/><Relationship Id="rId582" Type="http://schemas.openxmlformats.org/officeDocument/2006/relationships/hyperlink" Target="https://lpse.kalbarprov.go.id/eproc4/lelang/5065097/jadwal" TargetMode="External"/><Relationship Id="rId581" Type="http://schemas.openxmlformats.org/officeDocument/2006/relationships/hyperlink" Target="https://lpse.kalbarprov.go.id/eproc4/lelang/5065097/pengumumanlelang" TargetMode="External"/><Relationship Id="rId580" Type="http://schemas.openxmlformats.org/officeDocument/2006/relationships/hyperlink" Target="https://lpse.kalbarprov.go.id/eproc4/lelang/5068097/jadwal" TargetMode="External"/><Relationship Id="rId58" Type="http://schemas.openxmlformats.org/officeDocument/2006/relationships/hyperlink" Target="https://lpse.kalbarprov.go.id/eproc4/lelang/5582097/jadwal" TargetMode="External"/><Relationship Id="rId579" Type="http://schemas.openxmlformats.org/officeDocument/2006/relationships/hyperlink" Target="https://lpse.kalbarprov.go.id/eproc4/lelang/5068097/pengumumanlelang" TargetMode="External"/><Relationship Id="rId578" Type="http://schemas.openxmlformats.org/officeDocument/2006/relationships/hyperlink" Target="https://lpse.kalbarprov.go.id/eproc4/lelang/5069097/jadwal" TargetMode="External"/><Relationship Id="rId577" Type="http://schemas.openxmlformats.org/officeDocument/2006/relationships/hyperlink" Target="https://lpse.kalbarprov.go.id/eproc4/lelang/5069097/pengumumanlelang" TargetMode="External"/><Relationship Id="rId576" Type="http://schemas.openxmlformats.org/officeDocument/2006/relationships/hyperlink" Target="https://lpse.kalbarprov.go.id/eproc4/lelang/5070097/jadwal" TargetMode="External"/><Relationship Id="rId575" Type="http://schemas.openxmlformats.org/officeDocument/2006/relationships/hyperlink" Target="https://lpse.kalbarprov.go.id/eproc4/lelang/5070097/pengumumanlelang" TargetMode="External"/><Relationship Id="rId574" Type="http://schemas.openxmlformats.org/officeDocument/2006/relationships/hyperlink" Target="https://lpse.kalbarprov.go.id/eproc4/lelang/5077097/jadwal" TargetMode="External"/><Relationship Id="rId573" Type="http://schemas.openxmlformats.org/officeDocument/2006/relationships/hyperlink" Target="https://lpse.kalbarprov.go.id/eproc4/lelang/5077097/pengumumanlelang" TargetMode="External"/><Relationship Id="rId572" Type="http://schemas.openxmlformats.org/officeDocument/2006/relationships/hyperlink" Target="https://lpse.kalbarprov.go.id/eproc4/lelang/5080097/jadwal" TargetMode="External"/><Relationship Id="rId571" Type="http://schemas.openxmlformats.org/officeDocument/2006/relationships/hyperlink" Target="https://lpse.kalbarprov.go.id/eproc4/lelang/5080097/pengumumanlelang" TargetMode="External"/><Relationship Id="rId570" Type="http://schemas.openxmlformats.org/officeDocument/2006/relationships/hyperlink" Target="https://lpse.kalbarprov.go.id/eproc4/lelang/5081097/jadwal" TargetMode="External"/><Relationship Id="rId57" Type="http://schemas.openxmlformats.org/officeDocument/2006/relationships/hyperlink" Target="https://lpse.kalbarprov.go.id/eproc4/lelang/5582097/pengumumanlelang" TargetMode="External"/><Relationship Id="rId569" Type="http://schemas.openxmlformats.org/officeDocument/2006/relationships/hyperlink" Target="https://lpse.kalbarprov.go.id/eproc4/lelang/5081097/pengumumanlelang" TargetMode="External"/><Relationship Id="rId568" Type="http://schemas.openxmlformats.org/officeDocument/2006/relationships/hyperlink" Target="https://lpse.kalbarprov.go.id/eproc4/lelang/5082097/jadwal" TargetMode="External"/><Relationship Id="rId567" Type="http://schemas.openxmlformats.org/officeDocument/2006/relationships/hyperlink" Target="https://lpse.kalbarprov.go.id/eproc4/lelang/5082097/pengumumanlelang" TargetMode="External"/><Relationship Id="rId566" Type="http://schemas.openxmlformats.org/officeDocument/2006/relationships/hyperlink" Target="https://lpse.kalbarprov.go.id/eproc4/lelang/5083097/jadwal" TargetMode="External"/><Relationship Id="rId565" Type="http://schemas.openxmlformats.org/officeDocument/2006/relationships/hyperlink" Target="https://lpse.kalbarprov.go.id/eproc4/lelang/5083097/pengumumanlelang" TargetMode="External"/><Relationship Id="rId564" Type="http://schemas.openxmlformats.org/officeDocument/2006/relationships/hyperlink" Target="https://lpse.kalbarprov.go.id/eproc4/lelang/5084097/jadwal" TargetMode="External"/><Relationship Id="rId563" Type="http://schemas.openxmlformats.org/officeDocument/2006/relationships/hyperlink" Target="https://lpse.kalbarprov.go.id/eproc4/lelang/5084097/pengumumanlelang" TargetMode="External"/><Relationship Id="rId562" Type="http://schemas.openxmlformats.org/officeDocument/2006/relationships/hyperlink" Target="https://lpse.kalbarprov.go.id/eproc4/lelang/5085097/jadwal" TargetMode="External"/><Relationship Id="rId561" Type="http://schemas.openxmlformats.org/officeDocument/2006/relationships/hyperlink" Target="https://lpse.kalbarprov.go.id/eproc4/lelang/5085097/pengumumanlelang" TargetMode="External"/><Relationship Id="rId560" Type="http://schemas.openxmlformats.org/officeDocument/2006/relationships/hyperlink" Target="https://lpse.kalbarprov.go.id/eproc4/lelang/5086097/jadwal" TargetMode="External"/><Relationship Id="rId56" Type="http://schemas.openxmlformats.org/officeDocument/2006/relationships/hyperlink" Target="https://lpse.kalbarprov.go.id/eproc4/lelang/5583097/jadwal" TargetMode="External"/><Relationship Id="rId559" Type="http://schemas.openxmlformats.org/officeDocument/2006/relationships/hyperlink" Target="https://lpse.kalbarprov.go.id/eproc4/lelang/5086097/pengumumanlelang" TargetMode="External"/><Relationship Id="rId558" Type="http://schemas.openxmlformats.org/officeDocument/2006/relationships/hyperlink" Target="https://lpse.kalbarprov.go.id/eproc4/lelang/5096097/jadwal" TargetMode="External"/><Relationship Id="rId557" Type="http://schemas.openxmlformats.org/officeDocument/2006/relationships/hyperlink" Target="https://lpse.kalbarprov.go.id/eproc4/lelang/5096097/pengumumanlelang" TargetMode="External"/><Relationship Id="rId556" Type="http://schemas.openxmlformats.org/officeDocument/2006/relationships/hyperlink" Target="https://lpse.kalbarprov.go.id/eproc4/lelang/5098097/jadwal" TargetMode="External"/><Relationship Id="rId555" Type="http://schemas.openxmlformats.org/officeDocument/2006/relationships/hyperlink" Target="https://lpse.kalbarprov.go.id/eproc4/lelang/5098097/pengumumanlelang" TargetMode="External"/><Relationship Id="rId554" Type="http://schemas.openxmlformats.org/officeDocument/2006/relationships/hyperlink" Target="https://lpse.kalbarprov.go.id/eproc4/lelang/5099097/jadwal" TargetMode="External"/><Relationship Id="rId553" Type="http://schemas.openxmlformats.org/officeDocument/2006/relationships/hyperlink" Target="https://lpse.kalbarprov.go.id/eproc4/lelang/5099097/pengumumanlelang" TargetMode="External"/><Relationship Id="rId552" Type="http://schemas.openxmlformats.org/officeDocument/2006/relationships/hyperlink" Target="https://lpse.kalbarprov.go.id/eproc4/lelang/5100097/jadwal" TargetMode="External"/><Relationship Id="rId551" Type="http://schemas.openxmlformats.org/officeDocument/2006/relationships/hyperlink" Target="https://lpse.kalbarprov.go.id/eproc4/lelang/5100097/pengumumanlelang" TargetMode="External"/><Relationship Id="rId550" Type="http://schemas.openxmlformats.org/officeDocument/2006/relationships/hyperlink" Target="https://lpse.kalbarprov.go.id/eproc4/lelang/5101097/jadwal" TargetMode="External"/><Relationship Id="rId55" Type="http://schemas.openxmlformats.org/officeDocument/2006/relationships/hyperlink" Target="https://lpse.kalbarprov.go.id/eproc4/lelang/5583097/pengumumanlelang" TargetMode="External"/><Relationship Id="rId549" Type="http://schemas.openxmlformats.org/officeDocument/2006/relationships/hyperlink" Target="https://lpse.kalbarprov.go.id/eproc4/lelang/5101097/pengumumanlelang" TargetMode="External"/><Relationship Id="rId548" Type="http://schemas.openxmlformats.org/officeDocument/2006/relationships/hyperlink" Target="https://lpse.kalbarprov.go.id/eproc4/lelang/5102097/jadwal" TargetMode="External"/><Relationship Id="rId547" Type="http://schemas.openxmlformats.org/officeDocument/2006/relationships/hyperlink" Target="https://lpse.kalbarprov.go.id/eproc4/lelang/5102097/pengumumanlelang" TargetMode="External"/><Relationship Id="rId546" Type="http://schemas.openxmlformats.org/officeDocument/2006/relationships/hyperlink" Target="https://lpse.kalbarprov.go.id/eproc4/lelang/5103097/jadwal" TargetMode="External"/><Relationship Id="rId545" Type="http://schemas.openxmlformats.org/officeDocument/2006/relationships/hyperlink" Target="https://lpse.kalbarprov.go.id/eproc4/lelang/5103097/pengumumanlelang" TargetMode="External"/><Relationship Id="rId544" Type="http://schemas.openxmlformats.org/officeDocument/2006/relationships/hyperlink" Target="https://lpse.kalbarprov.go.id/eproc4/lelang/5104097/jadwal" TargetMode="External"/><Relationship Id="rId543" Type="http://schemas.openxmlformats.org/officeDocument/2006/relationships/hyperlink" Target="https://lpse.kalbarprov.go.id/eproc4/lelang/5104097/pengumumanlelang" TargetMode="External"/><Relationship Id="rId542" Type="http://schemas.openxmlformats.org/officeDocument/2006/relationships/hyperlink" Target="https://lpse.kalbarprov.go.id/eproc4/lelang/5105097/jadwal" TargetMode="External"/><Relationship Id="rId541" Type="http://schemas.openxmlformats.org/officeDocument/2006/relationships/hyperlink" Target="https://lpse.kalbarprov.go.id/eproc4/lelang/5105097/pengumumanlelang" TargetMode="External"/><Relationship Id="rId540" Type="http://schemas.openxmlformats.org/officeDocument/2006/relationships/hyperlink" Target="https://lpse.kalbarprov.go.id/eproc4/lelang/5106097/jadwal" TargetMode="External"/><Relationship Id="rId54" Type="http://schemas.openxmlformats.org/officeDocument/2006/relationships/hyperlink" Target="https://lpse.kalbarprov.go.id/eproc4/lelang/5584097/jadwal" TargetMode="External"/><Relationship Id="rId539" Type="http://schemas.openxmlformats.org/officeDocument/2006/relationships/hyperlink" Target="https://lpse.kalbarprov.go.id/eproc4/lelang/5106097/pengumumanlelang" TargetMode="External"/><Relationship Id="rId538" Type="http://schemas.openxmlformats.org/officeDocument/2006/relationships/hyperlink" Target="https://lpse.kalbarprov.go.id/eproc4/lelang/5107097/jadwal" TargetMode="External"/><Relationship Id="rId537" Type="http://schemas.openxmlformats.org/officeDocument/2006/relationships/hyperlink" Target="https://lpse.kalbarprov.go.id/eproc4/lelang/5107097/pengumumanlelang" TargetMode="External"/><Relationship Id="rId536" Type="http://schemas.openxmlformats.org/officeDocument/2006/relationships/hyperlink" Target="https://lpse.kalbarprov.go.id/eproc4/lelang/5108097/jadwal" TargetMode="External"/><Relationship Id="rId535" Type="http://schemas.openxmlformats.org/officeDocument/2006/relationships/hyperlink" Target="https://lpse.kalbarprov.go.id/eproc4/lelang/5108097/pengumumanlelang" TargetMode="External"/><Relationship Id="rId534" Type="http://schemas.openxmlformats.org/officeDocument/2006/relationships/hyperlink" Target="https://lpse.kalbarprov.go.id/eproc4/lelang/5109097/jadwal" TargetMode="External"/><Relationship Id="rId533" Type="http://schemas.openxmlformats.org/officeDocument/2006/relationships/hyperlink" Target="https://lpse.kalbarprov.go.id/eproc4/lelang/5109097/pengumumanlelang" TargetMode="External"/><Relationship Id="rId532" Type="http://schemas.openxmlformats.org/officeDocument/2006/relationships/hyperlink" Target="https://lpse.kalbarprov.go.id/eproc4/lelang/5113097/jadwal" TargetMode="External"/><Relationship Id="rId531" Type="http://schemas.openxmlformats.org/officeDocument/2006/relationships/hyperlink" Target="https://lpse.kalbarprov.go.id/eproc4/lelang/5113097/pengumumanlelang" TargetMode="External"/><Relationship Id="rId530" Type="http://schemas.openxmlformats.org/officeDocument/2006/relationships/hyperlink" Target="https://lpse.kalbarprov.go.id/eproc4/lelang/5115097/jadwal" TargetMode="External"/><Relationship Id="rId53" Type="http://schemas.openxmlformats.org/officeDocument/2006/relationships/hyperlink" Target="https://lpse.kalbarprov.go.id/eproc4/lelang/5584097/pengumumanlelang" TargetMode="External"/><Relationship Id="rId529" Type="http://schemas.openxmlformats.org/officeDocument/2006/relationships/hyperlink" Target="https://lpse.kalbarprov.go.id/eproc4/lelang/5115097/pengumumanlelang" TargetMode="External"/><Relationship Id="rId528" Type="http://schemas.openxmlformats.org/officeDocument/2006/relationships/hyperlink" Target="https://lpse.kalbarprov.go.id/eproc4/lelang/5116097/jadwal" TargetMode="External"/><Relationship Id="rId527" Type="http://schemas.openxmlformats.org/officeDocument/2006/relationships/hyperlink" Target="https://lpse.kalbarprov.go.id/eproc4/lelang/5116097/pengumumanlelang" TargetMode="External"/><Relationship Id="rId526" Type="http://schemas.openxmlformats.org/officeDocument/2006/relationships/hyperlink" Target="https://lpse.kalbarprov.go.id/eproc4/lelang/5119097/jadwal" TargetMode="External"/><Relationship Id="rId525" Type="http://schemas.openxmlformats.org/officeDocument/2006/relationships/hyperlink" Target="https://lpse.kalbarprov.go.id/eproc4/lelang/5119097/pengumumanlelang" TargetMode="External"/><Relationship Id="rId524" Type="http://schemas.openxmlformats.org/officeDocument/2006/relationships/hyperlink" Target="https://lpse.kalbarprov.go.id/eproc4/lelang/5122097/jadwal" TargetMode="External"/><Relationship Id="rId523" Type="http://schemas.openxmlformats.org/officeDocument/2006/relationships/hyperlink" Target="https://lpse.kalbarprov.go.id/eproc4/lelang/5122097/pengumumanlelang" TargetMode="External"/><Relationship Id="rId522" Type="http://schemas.openxmlformats.org/officeDocument/2006/relationships/hyperlink" Target="https://lpse.kalbarprov.go.id/eproc4/lelang/5123097/jadwal" TargetMode="External"/><Relationship Id="rId521" Type="http://schemas.openxmlformats.org/officeDocument/2006/relationships/hyperlink" Target="https://lpse.kalbarprov.go.id/eproc4/lelang/5123097/pengumumanlelang" TargetMode="External"/><Relationship Id="rId520" Type="http://schemas.openxmlformats.org/officeDocument/2006/relationships/hyperlink" Target="https://lpse.kalbarprov.go.id/eproc4/lelang/5124097/jadwal" TargetMode="External"/><Relationship Id="rId52" Type="http://schemas.openxmlformats.org/officeDocument/2006/relationships/hyperlink" Target="https://lpse.kalbarprov.go.id/eproc4/lelang/5585097/jadwal" TargetMode="External"/><Relationship Id="rId519" Type="http://schemas.openxmlformats.org/officeDocument/2006/relationships/hyperlink" Target="https://lpse.kalbarprov.go.id/eproc4/lelang/5124097/pengumumanlelang" TargetMode="External"/><Relationship Id="rId518" Type="http://schemas.openxmlformats.org/officeDocument/2006/relationships/hyperlink" Target="https://lpse.kalbarprov.go.id/eproc4/lelang/5127097/jadwal" TargetMode="External"/><Relationship Id="rId517" Type="http://schemas.openxmlformats.org/officeDocument/2006/relationships/hyperlink" Target="https://lpse.kalbarprov.go.id/eproc4/lelang/5127097/pengumumanlelang" TargetMode="External"/><Relationship Id="rId516" Type="http://schemas.openxmlformats.org/officeDocument/2006/relationships/hyperlink" Target="https://lpse.kalbarprov.go.id/eproc4/lelang/5130097/jadwal" TargetMode="External"/><Relationship Id="rId515" Type="http://schemas.openxmlformats.org/officeDocument/2006/relationships/hyperlink" Target="https://lpse.kalbarprov.go.id/eproc4/lelang/5130097/pengumumanlelang" TargetMode="External"/><Relationship Id="rId514" Type="http://schemas.openxmlformats.org/officeDocument/2006/relationships/hyperlink" Target="https://lpse.kalbarprov.go.id/eproc4/lelang/5132097/jadwal" TargetMode="External"/><Relationship Id="rId513" Type="http://schemas.openxmlformats.org/officeDocument/2006/relationships/hyperlink" Target="https://lpse.kalbarprov.go.id/eproc4/lelang/5132097/pengumumanlelang" TargetMode="External"/><Relationship Id="rId512" Type="http://schemas.openxmlformats.org/officeDocument/2006/relationships/hyperlink" Target="https://lpse.kalbarprov.go.id/eproc4/lelang/5133097/jadwal" TargetMode="External"/><Relationship Id="rId511" Type="http://schemas.openxmlformats.org/officeDocument/2006/relationships/hyperlink" Target="https://lpse.kalbarprov.go.id/eproc4/lelang/5133097/pengumumanlelang" TargetMode="External"/><Relationship Id="rId510" Type="http://schemas.openxmlformats.org/officeDocument/2006/relationships/hyperlink" Target="https://lpse.kalbarprov.go.id/eproc4/lelang/5134097/jadwal" TargetMode="External"/><Relationship Id="rId51" Type="http://schemas.openxmlformats.org/officeDocument/2006/relationships/hyperlink" Target="https://lpse.kalbarprov.go.id/eproc4/lelang/5585097/pengumumanlelang" TargetMode="External"/><Relationship Id="rId509" Type="http://schemas.openxmlformats.org/officeDocument/2006/relationships/hyperlink" Target="https://lpse.kalbarprov.go.id/eproc4/lelang/5134097/pengumumanlelang" TargetMode="External"/><Relationship Id="rId508" Type="http://schemas.openxmlformats.org/officeDocument/2006/relationships/hyperlink" Target="https://lpse.kalbarprov.go.id/eproc4/lelang/5135097/jadwal" TargetMode="External"/><Relationship Id="rId507" Type="http://schemas.openxmlformats.org/officeDocument/2006/relationships/hyperlink" Target="https://lpse.kalbarprov.go.id/eproc4/lelang/5135097/pengumumanlelang" TargetMode="External"/><Relationship Id="rId506" Type="http://schemas.openxmlformats.org/officeDocument/2006/relationships/hyperlink" Target="https://lpse.kalbarprov.go.id/eproc4/lelang/5137097/jadwal" TargetMode="External"/><Relationship Id="rId505" Type="http://schemas.openxmlformats.org/officeDocument/2006/relationships/hyperlink" Target="https://lpse.kalbarprov.go.id/eproc4/lelang/5137097/pengumumanlelang" TargetMode="External"/><Relationship Id="rId504" Type="http://schemas.openxmlformats.org/officeDocument/2006/relationships/hyperlink" Target="https://lpse.kalbarprov.go.id/eproc4/lelang/5138097/jadwal" TargetMode="External"/><Relationship Id="rId503" Type="http://schemas.openxmlformats.org/officeDocument/2006/relationships/hyperlink" Target="https://lpse.kalbarprov.go.id/eproc4/lelang/5138097/pengumumanlelang" TargetMode="External"/><Relationship Id="rId502" Type="http://schemas.openxmlformats.org/officeDocument/2006/relationships/hyperlink" Target="https://lpse.kalbarprov.go.id/eproc4/lelang/5139097/jadwal" TargetMode="External"/><Relationship Id="rId501" Type="http://schemas.openxmlformats.org/officeDocument/2006/relationships/hyperlink" Target="https://lpse.kalbarprov.go.id/eproc4/lelang/5139097/pengumumanlelang" TargetMode="External"/><Relationship Id="rId500" Type="http://schemas.openxmlformats.org/officeDocument/2006/relationships/hyperlink" Target="https://lpse.kalbarprov.go.id/eproc4/lelang/5140097/jadwal" TargetMode="External"/><Relationship Id="rId50" Type="http://schemas.openxmlformats.org/officeDocument/2006/relationships/hyperlink" Target="https://lpse.kalbarprov.go.id/eproc4/lelang/5588097/jadwal" TargetMode="External"/><Relationship Id="rId5" Type="http://schemas.openxmlformats.org/officeDocument/2006/relationships/hyperlink" Target="https://lpse.kalbarprov.go.id/eproc4/lelang/5662097/pengumumanlelang" TargetMode="External"/><Relationship Id="rId499" Type="http://schemas.openxmlformats.org/officeDocument/2006/relationships/hyperlink" Target="https://lpse.kalbarprov.go.id/eproc4/lelang/5140097/pengumumanlelang" TargetMode="External"/><Relationship Id="rId498" Type="http://schemas.openxmlformats.org/officeDocument/2006/relationships/hyperlink" Target="https://lpse.kalbarprov.go.id/eproc4/lelang/5141097/jadwal" TargetMode="External"/><Relationship Id="rId497" Type="http://schemas.openxmlformats.org/officeDocument/2006/relationships/hyperlink" Target="https://lpse.kalbarprov.go.id/eproc4/lelang/5141097/pengumumanlelang" TargetMode="External"/><Relationship Id="rId496" Type="http://schemas.openxmlformats.org/officeDocument/2006/relationships/hyperlink" Target="https://lpse.kalbarprov.go.id/eproc4/lelang/5146097/jadwal" TargetMode="External"/><Relationship Id="rId495" Type="http://schemas.openxmlformats.org/officeDocument/2006/relationships/hyperlink" Target="https://lpse.kalbarprov.go.id/eproc4/lelang/5146097/pengumumanlelang" TargetMode="External"/><Relationship Id="rId494" Type="http://schemas.openxmlformats.org/officeDocument/2006/relationships/hyperlink" Target="https://lpse.kalbarprov.go.id/eproc4/lelang/5150097/jadwal" TargetMode="External"/><Relationship Id="rId493" Type="http://schemas.openxmlformats.org/officeDocument/2006/relationships/hyperlink" Target="https://lpse.kalbarprov.go.id/eproc4/lelang/5150097/pengumumanlelang" TargetMode="External"/><Relationship Id="rId492" Type="http://schemas.openxmlformats.org/officeDocument/2006/relationships/hyperlink" Target="https://lpse.kalbarprov.go.id/eproc4/lelang/5151097/jadwal" TargetMode="External"/><Relationship Id="rId491" Type="http://schemas.openxmlformats.org/officeDocument/2006/relationships/hyperlink" Target="https://lpse.kalbarprov.go.id/eproc4/lelang/5151097/pengumumanlelang" TargetMode="External"/><Relationship Id="rId490" Type="http://schemas.openxmlformats.org/officeDocument/2006/relationships/hyperlink" Target="https://lpse.kalbarprov.go.id/eproc4/lelang/5152097/jadwal" TargetMode="External"/><Relationship Id="rId49" Type="http://schemas.openxmlformats.org/officeDocument/2006/relationships/hyperlink" Target="https://lpse.kalbarprov.go.id/eproc4/lelang/5588097/pengumumanlelang" TargetMode="External"/><Relationship Id="rId489" Type="http://schemas.openxmlformats.org/officeDocument/2006/relationships/hyperlink" Target="https://lpse.kalbarprov.go.id/eproc4/lelang/5152097/pengumumanlelang" TargetMode="External"/><Relationship Id="rId488" Type="http://schemas.openxmlformats.org/officeDocument/2006/relationships/hyperlink" Target="https://lpse.kalbarprov.go.id/eproc4/lelang/5158097/jadwal" TargetMode="External"/><Relationship Id="rId487" Type="http://schemas.openxmlformats.org/officeDocument/2006/relationships/hyperlink" Target="https://lpse.kalbarprov.go.id/eproc4/lelang/5158097/pengumumanlelang" TargetMode="External"/><Relationship Id="rId486" Type="http://schemas.openxmlformats.org/officeDocument/2006/relationships/hyperlink" Target="https://lpse.kalbarprov.go.id/eproc4/lelang/5159097/jadwal" TargetMode="External"/><Relationship Id="rId485" Type="http://schemas.openxmlformats.org/officeDocument/2006/relationships/hyperlink" Target="https://lpse.kalbarprov.go.id/eproc4/lelang/5159097/pengumumanlelang" TargetMode="External"/><Relationship Id="rId484" Type="http://schemas.openxmlformats.org/officeDocument/2006/relationships/hyperlink" Target="https://lpse.kalbarprov.go.id/eproc4/lelang/5160097/jadwal" TargetMode="External"/><Relationship Id="rId483" Type="http://schemas.openxmlformats.org/officeDocument/2006/relationships/hyperlink" Target="https://lpse.kalbarprov.go.id/eproc4/lelang/5160097/pengumumanlelang" TargetMode="External"/><Relationship Id="rId482" Type="http://schemas.openxmlformats.org/officeDocument/2006/relationships/hyperlink" Target="https://lpse.kalbarprov.go.id/eproc4/lelang/5162097/jadwal" TargetMode="External"/><Relationship Id="rId481" Type="http://schemas.openxmlformats.org/officeDocument/2006/relationships/hyperlink" Target="https://lpse.kalbarprov.go.id/eproc4/lelang/5162097/pengumumanlelang" TargetMode="External"/><Relationship Id="rId480" Type="http://schemas.openxmlformats.org/officeDocument/2006/relationships/hyperlink" Target="https://lpse.kalbarprov.go.id/eproc4/lelang/5169097/jadwal" TargetMode="External"/><Relationship Id="rId48" Type="http://schemas.openxmlformats.org/officeDocument/2006/relationships/hyperlink" Target="https://lpse.kalbarprov.go.id/eproc4/lelang/5597097/jadwal" TargetMode="External"/><Relationship Id="rId479" Type="http://schemas.openxmlformats.org/officeDocument/2006/relationships/hyperlink" Target="https://lpse.kalbarprov.go.id/eproc4/lelang/5169097/pengumumanlelang" TargetMode="External"/><Relationship Id="rId478" Type="http://schemas.openxmlformats.org/officeDocument/2006/relationships/hyperlink" Target="https://lpse.kalbarprov.go.id/eproc4/lelang/5170097/jadwal" TargetMode="External"/><Relationship Id="rId477" Type="http://schemas.openxmlformats.org/officeDocument/2006/relationships/hyperlink" Target="https://lpse.kalbarprov.go.id/eproc4/lelang/5170097/pengumumanlelang" TargetMode="External"/><Relationship Id="rId476" Type="http://schemas.openxmlformats.org/officeDocument/2006/relationships/hyperlink" Target="https://lpse.kalbarprov.go.id/eproc4/lelang/5172097/jadwal" TargetMode="External"/><Relationship Id="rId475" Type="http://schemas.openxmlformats.org/officeDocument/2006/relationships/hyperlink" Target="https://lpse.kalbarprov.go.id/eproc4/lelang/5172097/pengumumanlelang" TargetMode="External"/><Relationship Id="rId474" Type="http://schemas.openxmlformats.org/officeDocument/2006/relationships/hyperlink" Target="https://lpse.kalbarprov.go.id/eproc4/lelang/5175097/jadwal" TargetMode="External"/><Relationship Id="rId473" Type="http://schemas.openxmlformats.org/officeDocument/2006/relationships/hyperlink" Target="https://lpse.kalbarprov.go.id/eproc4/lelang/5175097/pengumumanlelang" TargetMode="External"/><Relationship Id="rId472" Type="http://schemas.openxmlformats.org/officeDocument/2006/relationships/hyperlink" Target="https://lpse.kalbarprov.go.id/eproc4/lelang/5176097/jadwal" TargetMode="External"/><Relationship Id="rId471" Type="http://schemas.openxmlformats.org/officeDocument/2006/relationships/hyperlink" Target="https://lpse.kalbarprov.go.id/eproc4/lelang/5176097/pengumumanlelang" TargetMode="External"/><Relationship Id="rId470" Type="http://schemas.openxmlformats.org/officeDocument/2006/relationships/hyperlink" Target="https://lpse.kalbarprov.go.id/eproc4/lelang/5181097/jadwal" TargetMode="External"/><Relationship Id="rId47" Type="http://schemas.openxmlformats.org/officeDocument/2006/relationships/hyperlink" Target="https://lpse.kalbarprov.go.id/eproc4/lelang/5597097/pengumumanlelang" TargetMode="External"/><Relationship Id="rId469" Type="http://schemas.openxmlformats.org/officeDocument/2006/relationships/hyperlink" Target="https://lpse.kalbarprov.go.id/eproc4/lelang/5181097/pengumumanlelang" TargetMode="External"/><Relationship Id="rId468" Type="http://schemas.openxmlformats.org/officeDocument/2006/relationships/hyperlink" Target="https://lpse.kalbarprov.go.id/eproc4/lelang/5191097/jadwal" TargetMode="External"/><Relationship Id="rId467" Type="http://schemas.openxmlformats.org/officeDocument/2006/relationships/hyperlink" Target="https://lpse.kalbarprov.go.id/eproc4/lelang/5191097/pengumumanlelang" TargetMode="External"/><Relationship Id="rId466" Type="http://schemas.openxmlformats.org/officeDocument/2006/relationships/hyperlink" Target="https://lpse.kalbarprov.go.id/eproc4/lelang/5192097/jadwal" TargetMode="External"/><Relationship Id="rId465" Type="http://schemas.openxmlformats.org/officeDocument/2006/relationships/hyperlink" Target="https://lpse.kalbarprov.go.id/eproc4/lelang/5192097/pengumumanlelang" TargetMode="External"/><Relationship Id="rId464" Type="http://schemas.openxmlformats.org/officeDocument/2006/relationships/hyperlink" Target="https://lpse.kalbarprov.go.id/eproc4/lelang/5193097/jadwal" TargetMode="External"/><Relationship Id="rId463" Type="http://schemas.openxmlformats.org/officeDocument/2006/relationships/hyperlink" Target="https://lpse.kalbarprov.go.id/eproc4/lelang/5193097/pengumumanlelang" TargetMode="External"/><Relationship Id="rId462" Type="http://schemas.openxmlformats.org/officeDocument/2006/relationships/hyperlink" Target="https://lpse.kalbarprov.go.id/eproc4/lelang/5194097/jadwal" TargetMode="External"/><Relationship Id="rId461" Type="http://schemas.openxmlformats.org/officeDocument/2006/relationships/hyperlink" Target="https://lpse.kalbarprov.go.id/eproc4/lelang/5194097/pengumumanlelang" TargetMode="External"/><Relationship Id="rId460" Type="http://schemas.openxmlformats.org/officeDocument/2006/relationships/hyperlink" Target="https://lpse.kalbarprov.go.id/eproc4/lelang/5198097/jadwal" TargetMode="External"/><Relationship Id="rId46" Type="http://schemas.openxmlformats.org/officeDocument/2006/relationships/hyperlink" Target="https://lpse.kalbarprov.go.id/eproc4/lelang/5603097/jadwal" TargetMode="External"/><Relationship Id="rId459" Type="http://schemas.openxmlformats.org/officeDocument/2006/relationships/hyperlink" Target="https://lpse.kalbarprov.go.id/eproc4/lelang/5198097/pengumumanlelang" TargetMode="External"/><Relationship Id="rId458" Type="http://schemas.openxmlformats.org/officeDocument/2006/relationships/hyperlink" Target="https://lpse.kalbarprov.go.id/eproc4/lelang/5199097/jadwal" TargetMode="External"/><Relationship Id="rId457" Type="http://schemas.openxmlformats.org/officeDocument/2006/relationships/hyperlink" Target="https://lpse.kalbarprov.go.id/eproc4/lelang/5199097/pengumumanlelang" TargetMode="External"/><Relationship Id="rId456" Type="http://schemas.openxmlformats.org/officeDocument/2006/relationships/hyperlink" Target="https://lpse.kalbarprov.go.id/eproc4/lelang/5200097/jadwal" TargetMode="External"/><Relationship Id="rId455" Type="http://schemas.openxmlformats.org/officeDocument/2006/relationships/hyperlink" Target="https://lpse.kalbarprov.go.id/eproc4/lelang/5200097/pengumumanlelang" TargetMode="External"/><Relationship Id="rId454" Type="http://schemas.openxmlformats.org/officeDocument/2006/relationships/hyperlink" Target="https://lpse.kalbarprov.go.id/eproc4/lelang/5206097/jadwal" TargetMode="External"/><Relationship Id="rId453" Type="http://schemas.openxmlformats.org/officeDocument/2006/relationships/hyperlink" Target="https://lpse.kalbarprov.go.id/eproc4/lelang/5206097/pengumumanlelang" TargetMode="External"/><Relationship Id="rId452" Type="http://schemas.openxmlformats.org/officeDocument/2006/relationships/hyperlink" Target="https://lpse.kalbarprov.go.id/eproc4/lelang/5208097/jadwal" TargetMode="External"/><Relationship Id="rId451" Type="http://schemas.openxmlformats.org/officeDocument/2006/relationships/hyperlink" Target="https://lpse.kalbarprov.go.id/eproc4/lelang/5208097/pengumumanlelang" TargetMode="External"/><Relationship Id="rId450" Type="http://schemas.openxmlformats.org/officeDocument/2006/relationships/hyperlink" Target="https://lpse.kalbarprov.go.id/eproc4/lelang/5209097/jadwal" TargetMode="External"/><Relationship Id="rId45" Type="http://schemas.openxmlformats.org/officeDocument/2006/relationships/hyperlink" Target="https://lpse.kalbarprov.go.id/eproc4/lelang/5603097/pengumumanlelang" TargetMode="External"/><Relationship Id="rId449" Type="http://schemas.openxmlformats.org/officeDocument/2006/relationships/hyperlink" Target="https://lpse.kalbarprov.go.id/eproc4/lelang/5209097/pengumumanlelang" TargetMode="External"/><Relationship Id="rId448" Type="http://schemas.openxmlformats.org/officeDocument/2006/relationships/hyperlink" Target="https://lpse.kalbarprov.go.id/eproc4/lelang/5210097/jadwal" TargetMode="External"/><Relationship Id="rId447" Type="http://schemas.openxmlformats.org/officeDocument/2006/relationships/hyperlink" Target="https://lpse.kalbarprov.go.id/eproc4/lelang/5210097/pengumumanlelang" TargetMode="External"/><Relationship Id="rId446" Type="http://schemas.openxmlformats.org/officeDocument/2006/relationships/hyperlink" Target="https://lpse.kalbarprov.go.id/eproc4/lelang/5211097/jadwal" TargetMode="External"/><Relationship Id="rId445" Type="http://schemas.openxmlformats.org/officeDocument/2006/relationships/hyperlink" Target="https://lpse.kalbarprov.go.id/eproc4/lelang/5211097/pengumumanlelang" TargetMode="External"/><Relationship Id="rId444" Type="http://schemas.openxmlformats.org/officeDocument/2006/relationships/hyperlink" Target="https://lpse.kalbarprov.go.id/eproc4/lelang/5212097/jadwal" TargetMode="External"/><Relationship Id="rId443" Type="http://schemas.openxmlformats.org/officeDocument/2006/relationships/hyperlink" Target="https://lpse.kalbarprov.go.id/eproc4/lelang/5212097/pengumumanlelang" TargetMode="External"/><Relationship Id="rId442" Type="http://schemas.openxmlformats.org/officeDocument/2006/relationships/hyperlink" Target="https://lpse.kalbarprov.go.id/eproc4/lelang/5213097/jadwal" TargetMode="External"/><Relationship Id="rId441" Type="http://schemas.openxmlformats.org/officeDocument/2006/relationships/hyperlink" Target="https://lpse.kalbarprov.go.id/eproc4/lelang/5213097/pengumumanlelang" TargetMode="External"/><Relationship Id="rId440" Type="http://schemas.openxmlformats.org/officeDocument/2006/relationships/hyperlink" Target="https://lpse.kalbarprov.go.id/eproc4/lelang/5214097/jadwal" TargetMode="External"/><Relationship Id="rId44" Type="http://schemas.openxmlformats.org/officeDocument/2006/relationships/hyperlink" Target="https://lpse.kalbarprov.go.id/eproc4/lelang/5604097/jadwal" TargetMode="External"/><Relationship Id="rId439" Type="http://schemas.openxmlformats.org/officeDocument/2006/relationships/hyperlink" Target="https://lpse.kalbarprov.go.id/eproc4/lelang/5214097/pengumumanlelang" TargetMode="External"/><Relationship Id="rId438" Type="http://schemas.openxmlformats.org/officeDocument/2006/relationships/hyperlink" Target="https://lpse.kalbarprov.go.id/eproc4/lelang/5215097/jadwal" TargetMode="External"/><Relationship Id="rId437" Type="http://schemas.openxmlformats.org/officeDocument/2006/relationships/hyperlink" Target="https://lpse.kalbarprov.go.id/eproc4/lelang/5215097/pengumumanlelang" TargetMode="External"/><Relationship Id="rId436" Type="http://schemas.openxmlformats.org/officeDocument/2006/relationships/hyperlink" Target="https://lpse.kalbarprov.go.id/eproc4/lelang/5216097/jadwal" TargetMode="External"/><Relationship Id="rId435" Type="http://schemas.openxmlformats.org/officeDocument/2006/relationships/hyperlink" Target="https://lpse.kalbarprov.go.id/eproc4/lelang/5216097/pengumumanlelang" TargetMode="External"/><Relationship Id="rId434" Type="http://schemas.openxmlformats.org/officeDocument/2006/relationships/hyperlink" Target="https://lpse.kalbarprov.go.id/eproc4/lelang/5217097/jadwal" TargetMode="External"/><Relationship Id="rId433" Type="http://schemas.openxmlformats.org/officeDocument/2006/relationships/hyperlink" Target="https://lpse.kalbarprov.go.id/eproc4/lelang/5217097/pengumumanlelang" TargetMode="External"/><Relationship Id="rId432" Type="http://schemas.openxmlformats.org/officeDocument/2006/relationships/hyperlink" Target="https://lpse.kalbarprov.go.id/eproc4/lelang/5218097/jadwal" TargetMode="External"/><Relationship Id="rId431" Type="http://schemas.openxmlformats.org/officeDocument/2006/relationships/hyperlink" Target="https://lpse.kalbarprov.go.id/eproc4/lelang/5218097/pengumumanlelang" TargetMode="External"/><Relationship Id="rId430" Type="http://schemas.openxmlformats.org/officeDocument/2006/relationships/hyperlink" Target="https://lpse.kalbarprov.go.id/eproc4/lelang/5221097/jadwal" TargetMode="External"/><Relationship Id="rId43" Type="http://schemas.openxmlformats.org/officeDocument/2006/relationships/hyperlink" Target="https://lpse.kalbarprov.go.id/eproc4/lelang/5604097/pengumumanlelang" TargetMode="External"/><Relationship Id="rId429" Type="http://schemas.openxmlformats.org/officeDocument/2006/relationships/hyperlink" Target="https://lpse.kalbarprov.go.id/eproc4/lelang/5221097/pengumumanlelang" TargetMode="External"/><Relationship Id="rId428" Type="http://schemas.openxmlformats.org/officeDocument/2006/relationships/hyperlink" Target="https://lpse.kalbarprov.go.id/eproc4/lelang/5223097/jadwal" TargetMode="External"/><Relationship Id="rId427" Type="http://schemas.openxmlformats.org/officeDocument/2006/relationships/hyperlink" Target="https://lpse.kalbarprov.go.id/eproc4/lelang/5223097/pengumumanlelang" TargetMode="External"/><Relationship Id="rId426" Type="http://schemas.openxmlformats.org/officeDocument/2006/relationships/hyperlink" Target="https://lpse.kalbarprov.go.id/eproc4/lelang/5226097/jadwal" TargetMode="External"/><Relationship Id="rId425" Type="http://schemas.openxmlformats.org/officeDocument/2006/relationships/hyperlink" Target="https://lpse.kalbarprov.go.id/eproc4/lelang/5226097/pengumumanlelang" TargetMode="External"/><Relationship Id="rId424" Type="http://schemas.openxmlformats.org/officeDocument/2006/relationships/hyperlink" Target="https://lpse.kalbarprov.go.id/eproc4/lelang/5232097/jadwal" TargetMode="External"/><Relationship Id="rId423" Type="http://schemas.openxmlformats.org/officeDocument/2006/relationships/hyperlink" Target="https://lpse.kalbarprov.go.id/eproc4/lelang/5232097/pengumumanlelang" TargetMode="External"/><Relationship Id="rId422" Type="http://schemas.openxmlformats.org/officeDocument/2006/relationships/hyperlink" Target="https://lpse.kalbarprov.go.id/eproc4/lelang/5233097/jadwal" TargetMode="External"/><Relationship Id="rId421" Type="http://schemas.openxmlformats.org/officeDocument/2006/relationships/hyperlink" Target="https://lpse.kalbarprov.go.id/eproc4/lelang/5233097/pengumumanlelang" TargetMode="External"/><Relationship Id="rId420" Type="http://schemas.openxmlformats.org/officeDocument/2006/relationships/hyperlink" Target="https://lpse.kalbarprov.go.id/eproc4/lelang/5234097/jadwal" TargetMode="External"/><Relationship Id="rId42" Type="http://schemas.openxmlformats.org/officeDocument/2006/relationships/hyperlink" Target="https://lpse.kalbarprov.go.id/eproc4/lelang/5605097/jadwal" TargetMode="External"/><Relationship Id="rId419" Type="http://schemas.openxmlformats.org/officeDocument/2006/relationships/hyperlink" Target="https://lpse.kalbarprov.go.id/eproc4/lelang/5234097/pengumumanlelang" TargetMode="External"/><Relationship Id="rId418" Type="http://schemas.openxmlformats.org/officeDocument/2006/relationships/hyperlink" Target="https://lpse.kalbarprov.go.id/eproc4/lelang/5235097/jadwal" TargetMode="External"/><Relationship Id="rId417" Type="http://schemas.openxmlformats.org/officeDocument/2006/relationships/hyperlink" Target="https://lpse.kalbarprov.go.id/eproc4/lelang/5235097/pengumumanlelang" TargetMode="External"/><Relationship Id="rId416" Type="http://schemas.openxmlformats.org/officeDocument/2006/relationships/hyperlink" Target="https://lpse.kalbarprov.go.id/eproc4/lelang/5236097/jadwal" TargetMode="External"/><Relationship Id="rId415" Type="http://schemas.openxmlformats.org/officeDocument/2006/relationships/hyperlink" Target="https://lpse.kalbarprov.go.id/eproc4/lelang/5236097/pengumumanlelang" TargetMode="External"/><Relationship Id="rId414" Type="http://schemas.openxmlformats.org/officeDocument/2006/relationships/hyperlink" Target="https://lpse.kalbarprov.go.id/eproc4/lelang/5238097/jadwal" TargetMode="External"/><Relationship Id="rId413" Type="http://schemas.openxmlformats.org/officeDocument/2006/relationships/hyperlink" Target="https://lpse.kalbarprov.go.id/eproc4/lelang/5238097/pengumumanlelang" TargetMode="External"/><Relationship Id="rId412" Type="http://schemas.openxmlformats.org/officeDocument/2006/relationships/hyperlink" Target="https://lpse.kalbarprov.go.id/eproc4/lelang/5241097/jadwal" TargetMode="External"/><Relationship Id="rId411" Type="http://schemas.openxmlformats.org/officeDocument/2006/relationships/hyperlink" Target="https://lpse.kalbarprov.go.id/eproc4/lelang/5241097/pengumumanlelang" TargetMode="External"/><Relationship Id="rId410" Type="http://schemas.openxmlformats.org/officeDocument/2006/relationships/hyperlink" Target="https://lpse.kalbarprov.go.id/eproc4/lelang/5244097/jadwal" TargetMode="External"/><Relationship Id="rId41" Type="http://schemas.openxmlformats.org/officeDocument/2006/relationships/hyperlink" Target="https://lpse.kalbarprov.go.id/eproc4/lelang/5605097/pengumumanlelang" TargetMode="External"/><Relationship Id="rId409" Type="http://schemas.openxmlformats.org/officeDocument/2006/relationships/hyperlink" Target="https://lpse.kalbarprov.go.id/eproc4/lelang/5244097/pengumumanlelang" TargetMode="External"/><Relationship Id="rId408" Type="http://schemas.openxmlformats.org/officeDocument/2006/relationships/hyperlink" Target="https://lpse.kalbarprov.go.id/eproc4/lelang/5249097/jadwal" TargetMode="External"/><Relationship Id="rId407" Type="http://schemas.openxmlformats.org/officeDocument/2006/relationships/hyperlink" Target="https://lpse.kalbarprov.go.id/eproc4/lelang/5249097/pengumumanlelang" TargetMode="External"/><Relationship Id="rId406" Type="http://schemas.openxmlformats.org/officeDocument/2006/relationships/hyperlink" Target="https://lpse.kalbarprov.go.id/eproc4/lelang/5250097/jadwal" TargetMode="External"/><Relationship Id="rId405" Type="http://schemas.openxmlformats.org/officeDocument/2006/relationships/hyperlink" Target="https://lpse.kalbarprov.go.id/eproc4/lelang/5250097/pengumumanlelang" TargetMode="External"/><Relationship Id="rId404" Type="http://schemas.openxmlformats.org/officeDocument/2006/relationships/hyperlink" Target="https://lpse.kalbarprov.go.id/eproc4/lelang/5251097/jadwal" TargetMode="External"/><Relationship Id="rId403" Type="http://schemas.openxmlformats.org/officeDocument/2006/relationships/hyperlink" Target="https://lpse.kalbarprov.go.id/eproc4/lelang/5251097/pengumumanlelang" TargetMode="External"/><Relationship Id="rId402" Type="http://schemas.openxmlformats.org/officeDocument/2006/relationships/hyperlink" Target="https://lpse.kalbarprov.go.id/eproc4/lelang/5253097/jadwal" TargetMode="External"/><Relationship Id="rId401" Type="http://schemas.openxmlformats.org/officeDocument/2006/relationships/hyperlink" Target="https://lpse.kalbarprov.go.id/eproc4/lelang/5253097/pengumumanlelang" TargetMode="External"/><Relationship Id="rId400" Type="http://schemas.openxmlformats.org/officeDocument/2006/relationships/hyperlink" Target="https://lpse.kalbarprov.go.id/eproc4/lelang/5254097/jadwal" TargetMode="External"/><Relationship Id="rId40" Type="http://schemas.openxmlformats.org/officeDocument/2006/relationships/hyperlink" Target="https://lpse.kalbarprov.go.id/eproc4/lelang/5606097/jadwal" TargetMode="External"/><Relationship Id="rId4" Type="http://schemas.openxmlformats.org/officeDocument/2006/relationships/hyperlink" Target="https://lpse.kalbarprov.go.id/eproc4/lelang/5670097/jadwal" TargetMode="External"/><Relationship Id="rId399" Type="http://schemas.openxmlformats.org/officeDocument/2006/relationships/hyperlink" Target="https://lpse.kalbarprov.go.id/eproc4/lelang/5254097/pengumumanlelang" TargetMode="External"/><Relationship Id="rId398" Type="http://schemas.openxmlformats.org/officeDocument/2006/relationships/hyperlink" Target="https://lpse.kalbarprov.go.id/eproc4/lelang/5257097/jadwal" TargetMode="External"/><Relationship Id="rId397" Type="http://schemas.openxmlformats.org/officeDocument/2006/relationships/hyperlink" Target="https://lpse.kalbarprov.go.id/eproc4/lelang/5257097/pengumumanlelang" TargetMode="External"/><Relationship Id="rId396" Type="http://schemas.openxmlformats.org/officeDocument/2006/relationships/hyperlink" Target="https://lpse.kalbarprov.go.id/eproc4/lelang/5259097/jadwal" TargetMode="External"/><Relationship Id="rId395" Type="http://schemas.openxmlformats.org/officeDocument/2006/relationships/hyperlink" Target="https://lpse.kalbarprov.go.id/eproc4/lelang/5259097/pengumumanlelang" TargetMode="External"/><Relationship Id="rId394" Type="http://schemas.openxmlformats.org/officeDocument/2006/relationships/hyperlink" Target="https://lpse.kalbarprov.go.id/eproc4/lelang/5263097/jadwal" TargetMode="External"/><Relationship Id="rId393" Type="http://schemas.openxmlformats.org/officeDocument/2006/relationships/hyperlink" Target="https://lpse.kalbarprov.go.id/eproc4/lelang/5263097/pengumumanlelang" TargetMode="External"/><Relationship Id="rId392" Type="http://schemas.openxmlformats.org/officeDocument/2006/relationships/hyperlink" Target="https://lpse.kalbarprov.go.id/eproc4/lelang/5267097/jadwal" TargetMode="External"/><Relationship Id="rId391" Type="http://schemas.openxmlformats.org/officeDocument/2006/relationships/hyperlink" Target="https://lpse.kalbarprov.go.id/eproc4/lelang/5267097/pengumumanlelang" TargetMode="External"/><Relationship Id="rId390" Type="http://schemas.openxmlformats.org/officeDocument/2006/relationships/hyperlink" Target="https://lpse.kalbarprov.go.id/eproc4/lelang/5268097/jadwal" TargetMode="External"/><Relationship Id="rId39" Type="http://schemas.openxmlformats.org/officeDocument/2006/relationships/hyperlink" Target="https://lpse.kalbarprov.go.id/eproc4/lelang/5606097/pengumumanlelang" TargetMode="External"/><Relationship Id="rId389" Type="http://schemas.openxmlformats.org/officeDocument/2006/relationships/hyperlink" Target="https://lpse.kalbarprov.go.id/eproc4/lelang/5268097/pengumumanlelang" TargetMode="External"/><Relationship Id="rId388" Type="http://schemas.openxmlformats.org/officeDocument/2006/relationships/hyperlink" Target="https://lpse.kalbarprov.go.id/eproc4/lelang/5269097/jadwal" TargetMode="External"/><Relationship Id="rId387" Type="http://schemas.openxmlformats.org/officeDocument/2006/relationships/hyperlink" Target="https://lpse.kalbarprov.go.id/eproc4/lelang/5269097/pengumumanlelang" TargetMode="External"/><Relationship Id="rId386" Type="http://schemas.openxmlformats.org/officeDocument/2006/relationships/hyperlink" Target="https://lpse.kalbarprov.go.id/eproc4/lelang/5275097/jadwal" TargetMode="External"/><Relationship Id="rId385" Type="http://schemas.openxmlformats.org/officeDocument/2006/relationships/hyperlink" Target="https://lpse.kalbarprov.go.id/eproc4/lelang/5275097/pengumumanlelang" TargetMode="External"/><Relationship Id="rId384" Type="http://schemas.openxmlformats.org/officeDocument/2006/relationships/hyperlink" Target="https://lpse.kalbarprov.go.id/eproc4/lelang/5279097/jadwal" TargetMode="External"/><Relationship Id="rId383" Type="http://schemas.openxmlformats.org/officeDocument/2006/relationships/hyperlink" Target="https://lpse.kalbarprov.go.id/eproc4/lelang/5279097/pengumumanlelang" TargetMode="External"/><Relationship Id="rId382" Type="http://schemas.openxmlformats.org/officeDocument/2006/relationships/hyperlink" Target="https://lpse.kalbarprov.go.id/eproc4/lelang/5281097/jadwal" TargetMode="External"/><Relationship Id="rId381" Type="http://schemas.openxmlformats.org/officeDocument/2006/relationships/hyperlink" Target="https://lpse.kalbarprov.go.id/eproc4/lelang/5281097/pengumumanlelang" TargetMode="External"/><Relationship Id="rId380" Type="http://schemas.openxmlformats.org/officeDocument/2006/relationships/hyperlink" Target="https://lpse.kalbarprov.go.id/eproc4/lelang/5285097/jadwal" TargetMode="External"/><Relationship Id="rId38" Type="http://schemas.openxmlformats.org/officeDocument/2006/relationships/hyperlink" Target="https://lpse.kalbarprov.go.id/eproc4/lelang/5607097/jadwal" TargetMode="External"/><Relationship Id="rId379" Type="http://schemas.openxmlformats.org/officeDocument/2006/relationships/hyperlink" Target="https://lpse.kalbarprov.go.id/eproc4/lelang/5285097/pengumumanlelang" TargetMode="External"/><Relationship Id="rId378" Type="http://schemas.openxmlformats.org/officeDocument/2006/relationships/hyperlink" Target="https://lpse.kalbarprov.go.id/eproc4/lelang/5288097/jadwal" TargetMode="External"/><Relationship Id="rId377" Type="http://schemas.openxmlformats.org/officeDocument/2006/relationships/hyperlink" Target="https://lpse.kalbarprov.go.id/eproc4/lelang/5288097/pengumumanlelang" TargetMode="External"/><Relationship Id="rId376" Type="http://schemas.openxmlformats.org/officeDocument/2006/relationships/hyperlink" Target="https://lpse.kalbarprov.go.id/eproc4/lelang/5289097/jadwal" TargetMode="External"/><Relationship Id="rId375" Type="http://schemas.openxmlformats.org/officeDocument/2006/relationships/hyperlink" Target="https://lpse.kalbarprov.go.id/eproc4/lelang/5289097/pengumumanlelang" TargetMode="External"/><Relationship Id="rId374" Type="http://schemas.openxmlformats.org/officeDocument/2006/relationships/hyperlink" Target="https://lpse.kalbarprov.go.id/eproc4/lelang/5291097/jadwal" TargetMode="External"/><Relationship Id="rId373" Type="http://schemas.openxmlformats.org/officeDocument/2006/relationships/hyperlink" Target="https://lpse.kalbarprov.go.id/eproc4/lelang/5291097/pengumumanlelang" TargetMode="External"/><Relationship Id="rId372" Type="http://schemas.openxmlformats.org/officeDocument/2006/relationships/hyperlink" Target="https://lpse.kalbarprov.go.id/eproc4/lelang/5292097/jadwal" TargetMode="External"/><Relationship Id="rId371" Type="http://schemas.openxmlformats.org/officeDocument/2006/relationships/hyperlink" Target="https://lpse.kalbarprov.go.id/eproc4/lelang/5292097/pengumumanlelang" TargetMode="External"/><Relationship Id="rId370" Type="http://schemas.openxmlformats.org/officeDocument/2006/relationships/hyperlink" Target="https://lpse.kalbarprov.go.id/eproc4/lelang/5314097/jadwal" TargetMode="External"/><Relationship Id="rId37" Type="http://schemas.openxmlformats.org/officeDocument/2006/relationships/hyperlink" Target="https://lpse.kalbarprov.go.id/eproc4/lelang/5607097/pengumumanlelang" TargetMode="External"/><Relationship Id="rId369" Type="http://schemas.openxmlformats.org/officeDocument/2006/relationships/hyperlink" Target="https://lpse.kalbarprov.go.id/eproc4/lelang/5314097/pengumumanlelang" TargetMode="External"/><Relationship Id="rId368" Type="http://schemas.openxmlformats.org/officeDocument/2006/relationships/hyperlink" Target="https://lpse.kalbarprov.go.id/eproc4/lelang/5316097/jadwal" TargetMode="External"/><Relationship Id="rId367" Type="http://schemas.openxmlformats.org/officeDocument/2006/relationships/hyperlink" Target="https://lpse.kalbarprov.go.id/eproc4/lelang/5316097/pengumumanlelang" TargetMode="External"/><Relationship Id="rId366" Type="http://schemas.openxmlformats.org/officeDocument/2006/relationships/hyperlink" Target="https://lpse.kalbarprov.go.id/eproc4/lelang/5318097/jadwal" TargetMode="External"/><Relationship Id="rId365" Type="http://schemas.openxmlformats.org/officeDocument/2006/relationships/hyperlink" Target="https://lpse.kalbarprov.go.id/eproc4/lelang/5318097/pengumumanlelang" TargetMode="External"/><Relationship Id="rId364" Type="http://schemas.openxmlformats.org/officeDocument/2006/relationships/hyperlink" Target="https://lpse.kalbarprov.go.id/eproc4/lelang/5319097/jadwal" TargetMode="External"/><Relationship Id="rId363" Type="http://schemas.openxmlformats.org/officeDocument/2006/relationships/hyperlink" Target="https://lpse.kalbarprov.go.id/eproc4/lelang/5319097/pengumumanlelang" TargetMode="External"/><Relationship Id="rId362" Type="http://schemas.openxmlformats.org/officeDocument/2006/relationships/hyperlink" Target="https://lpse.kalbarprov.go.id/eproc4/lelang/5320097/jadwal" TargetMode="External"/><Relationship Id="rId361" Type="http://schemas.openxmlformats.org/officeDocument/2006/relationships/hyperlink" Target="https://lpse.kalbarprov.go.id/eproc4/lelang/5320097/pengumumanlelang" TargetMode="External"/><Relationship Id="rId360" Type="http://schemas.openxmlformats.org/officeDocument/2006/relationships/hyperlink" Target="https://lpse.kalbarprov.go.id/eproc4/lelang/5324097/jadwal" TargetMode="External"/><Relationship Id="rId36" Type="http://schemas.openxmlformats.org/officeDocument/2006/relationships/hyperlink" Target="https://lpse.kalbarprov.go.id/eproc4/lelang/5609097/jadwal" TargetMode="External"/><Relationship Id="rId359" Type="http://schemas.openxmlformats.org/officeDocument/2006/relationships/hyperlink" Target="https://lpse.kalbarprov.go.id/eproc4/lelang/5324097/pengumumanlelang" TargetMode="External"/><Relationship Id="rId358" Type="http://schemas.openxmlformats.org/officeDocument/2006/relationships/hyperlink" Target="https://lpse.kalbarprov.go.id/eproc4/lelang/5325097/jadwal" TargetMode="External"/><Relationship Id="rId357" Type="http://schemas.openxmlformats.org/officeDocument/2006/relationships/hyperlink" Target="https://lpse.kalbarprov.go.id/eproc4/lelang/5325097/pengumumanlelang" TargetMode="External"/><Relationship Id="rId356" Type="http://schemas.openxmlformats.org/officeDocument/2006/relationships/hyperlink" Target="https://lpse.kalbarprov.go.id/eproc4/lelang/5326097/jadwal" TargetMode="External"/><Relationship Id="rId355" Type="http://schemas.openxmlformats.org/officeDocument/2006/relationships/hyperlink" Target="https://lpse.kalbarprov.go.id/eproc4/lelang/5326097/pengumumanlelang" TargetMode="External"/><Relationship Id="rId354" Type="http://schemas.openxmlformats.org/officeDocument/2006/relationships/hyperlink" Target="https://lpse.kalbarprov.go.id/eproc4/lelang/5327097/jadwal" TargetMode="External"/><Relationship Id="rId353" Type="http://schemas.openxmlformats.org/officeDocument/2006/relationships/hyperlink" Target="https://lpse.kalbarprov.go.id/eproc4/lelang/5327097/pengumumanlelang" TargetMode="External"/><Relationship Id="rId352" Type="http://schemas.openxmlformats.org/officeDocument/2006/relationships/hyperlink" Target="https://lpse.kalbarprov.go.id/eproc4/lelang/5329097/jadwal" TargetMode="External"/><Relationship Id="rId351" Type="http://schemas.openxmlformats.org/officeDocument/2006/relationships/hyperlink" Target="https://lpse.kalbarprov.go.id/eproc4/lelang/5329097/pengumumanlelang" TargetMode="External"/><Relationship Id="rId350" Type="http://schemas.openxmlformats.org/officeDocument/2006/relationships/hyperlink" Target="https://lpse.kalbarprov.go.id/eproc4/lelang/5331097/jadwal" TargetMode="External"/><Relationship Id="rId35" Type="http://schemas.openxmlformats.org/officeDocument/2006/relationships/hyperlink" Target="https://lpse.kalbarprov.go.id/eproc4/lelang/5609097/pengumumanlelang" TargetMode="External"/><Relationship Id="rId349" Type="http://schemas.openxmlformats.org/officeDocument/2006/relationships/hyperlink" Target="https://lpse.kalbarprov.go.id/eproc4/lelang/5331097/pengumumanlelang" TargetMode="External"/><Relationship Id="rId348" Type="http://schemas.openxmlformats.org/officeDocument/2006/relationships/hyperlink" Target="https://lpse.kalbarprov.go.id/eproc4/lelang/5332097/jadwal" TargetMode="External"/><Relationship Id="rId347" Type="http://schemas.openxmlformats.org/officeDocument/2006/relationships/hyperlink" Target="https://lpse.kalbarprov.go.id/eproc4/lelang/5332097/pengumumanlelang" TargetMode="External"/><Relationship Id="rId346" Type="http://schemas.openxmlformats.org/officeDocument/2006/relationships/hyperlink" Target="https://lpse.kalbarprov.go.id/eproc4/lelang/5333097/jadwal" TargetMode="External"/><Relationship Id="rId345" Type="http://schemas.openxmlformats.org/officeDocument/2006/relationships/hyperlink" Target="https://lpse.kalbarprov.go.id/eproc4/lelang/5333097/pengumumanlelang" TargetMode="External"/><Relationship Id="rId344" Type="http://schemas.openxmlformats.org/officeDocument/2006/relationships/hyperlink" Target="https://lpse.kalbarprov.go.id/eproc4/lelang/5334097/jadwal" TargetMode="External"/><Relationship Id="rId343" Type="http://schemas.openxmlformats.org/officeDocument/2006/relationships/hyperlink" Target="https://lpse.kalbarprov.go.id/eproc4/lelang/5334097/pengumumanlelang" TargetMode="External"/><Relationship Id="rId342" Type="http://schemas.openxmlformats.org/officeDocument/2006/relationships/hyperlink" Target="https://lpse.kalbarprov.go.id/eproc4/lelang/5335097/jadwal" TargetMode="External"/><Relationship Id="rId341" Type="http://schemas.openxmlformats.org/officeDocument/2006/relationships/hyperlink" Target="https://lpse.kalbarprov.go.id/eproc4/lelang/5335097/pengumumanlelang" TargetMode="External"/><Relationship Id="rId340" Type="http://schemas.openxmlformats.org/officeDocument/2006/relationships/hyperlink" Target="https://lpse.kalbarprov.go.id/eproc4/lelang/5336097/jadwal" TargetMode="External"/><Relationship Id="rId34" Type="http://schemas.openxmlformats.org/officeDocument/2006/relationships/hyperlink" Target="https://lpse.kalbarprov.go.id/eproc4/lelang/5610097/jadwal" TargetMode="External"/><Relationship Id="rId339" Type="http://schemas.openxmlformats.org/officeDocument/2006/relationships/hyperlink" Target="https://lpse.kalbarprov.go.id/eproc4/lelang/5336097/pengumumanlelang" TargetMode="External"/><Relationship Id="rId338" Type="http://schemas.openxmlformats.org/officeDocument/2006/relationships/hyperlink" Target="https://lpse.kalbarprov.go.id/eproc4/lelang/5339097/jadwal" TargetMode="External"/><Relationship Id="rId337" Type="http://schemas.openxmlformats.org/officeDocument/2006/relationships/hyperlink" Target="https://lpse.kalbarprov.go.id/eproc4/lelang/5339097/pengumumanlelang" TargetMode="External"/><Relationship Id="rId336" Type="http://schemas.openxmlformats.org/officeDocument/2006/relationships/hyperlink" Target="https://lpse.kalbarprov.go.id/eproc4/lelang/5341097/jadwal" TargetMode="External"/><Relationship Id="rId335" Type="http://schemas.openxmlformats.org/officeDocument/2006/relationships/hyperlink" Target="https://lpse.kalbarprov.go.id/eproc4/lelang/5341097/pengumumanlelang" TargetMode="External"/><Relationship Id="rId334" Type="http://schemas.openxmlformats.org/officeDocument/2006/relationships/hyperlink" Target="https://lpse.kalbarprov.go.id/eproc4/lelang/5343097/jadwal" TargetMode="External"/><Relationship Id="rId333" Type="http://schemas.openxmlformats.org/officeDocument/2006/relationships/hyperlink" Target="https://lpse.kalbarprov.go.id/eproc4/lelang/5343097/pengumumanlelang" TargetMode="External"/><Relationship Id="rId332" Type="http://schemas.openxmlformats.org/officeDocument/2006/relationships/hyperlink" Target="https://lpse.kalbarprov.go.id/eproc4/lelang/5346097/jadwal" TargetMode="External"/><Relationship Id="rId331" Type="http://schemas.openxmlformats.org/officeDocument/2006/relationships/hyperlink" Target="https://lpse.kalbarprov.go.id/eproc4/lelang/5346097/pengumumanlelang" TargetMode="External"/><Relationship Id="rId330" Type="http://schemas.openxmlformats.org/officeDocument/2006/relationships/hyperlink" Target="https://lpse.kalbarprov.go.id/eproc4/lelang/5347097/jadwal" TargetMode="External"/><Relationship Id="rId33" Type="http://schemas.openxmlformats.org/officeDocument/2006/relationships/hyperlink" Target="https://lpse.kalbarprov.go.id/eproc4/lelang/5610097/pengumumanlelang" TargetMode="External"/><Relationship Id="rId329" Type="http://schemas.openxmlformats.org/officeDocument/2006/relationships/hyperlink" Target="https://lpse.kalbarprov.go.id/eproc4/lelang/5347097/pengumumanlelang" TargetMode="External"/><Relationship Id="rId328" Type="http://schemas.openxmlformats.org/officeDocument/2006/relationships/hyperlink" Target="https://lpse.kalbarprov.go.id/eproc4/lelang/5351097/jadwal" TargetMode="External"/><Relationship Id="rId327" Type="http://schemas.openxmlformats.org/officeDocument/2006/relationships/hyperlink" Target="https://lpse.kalbarprov.go.id/eproc4/lelang/5351097/pengumumanlelang" TargetMode="External"/><Relationship Id="rId326" Type="http://schemas.openxmlformats.org/officeDocument/2006/relationships/hyperlink" Target="https://lpse.kalbarprov.go.id/eproc4/lelang/5352097/jadwal" TargetMode="External"/><Relationship Id="rId325" Type="http://schemas.openxmlformats.org/officeDocument/2006/relationships/hyperlink" Target="https://lpse.kalbarprov.go.id/eproc4/lelang/5352097/pengumumanlelang" TargetMode="External"/><Relationship Id="rId324" Type="http://schemas.openxmlformats.org/officeDocument/2006/relationships/hyperlink" Target="https://lpse.kalbarprov.go.id/eproc4/lelang/5353097/jadwal" TargetMode="External"/><Relationship Id="rId323" Type="http://schemas.openxmlformats.org/officeDocument/2006/relationships/hyperlink" Target="https://lpse.kalbarprov.go.id/eproc4/lelang/5353097/pengumumanlelang" TargetMode="External"/><Relationship Id="rId322" Type="http://schemas.openxmlformats.org/officeDocument/2006/relationships/hyperlink" Target="https://lpse.kalbarprov.go.id/eproc4/lelang/5356097/jadwal" TargetMode="External"/><Relationship Id="rId321" Type="http://schemas.openxmlformats.org/officeDocument/2006/relationships/hyperlink" Target="https://lpse.kalbarprov.go.id/eproc4/lelang/5356097/pengumumanlelang" TargetMode="External"/><Relationship Id="rId320" Type="http://schemas.openxmlformats.org/officeDocument/2006/relationships/hyperlink" Target="https://lpse.kalbarprov.go.id/eproc4/lelang/5364097/jadwal" TargetMode="External"/><Relationship Id="rId32" Type="http://schemas.openxmlformats.org/officeDocument/2006/relationships/hyperlink" Target="https://lpse.kalbarprov.go.id/eproc4/lelang/5611097/jadwal" TargetMode="External"/><Relationship Id="rId319" Type="http://schemas.openxmlformats.org/officeDocument/2006/relationships/hyperlink" Target="https://lpse.kalbarprov.go.id/eproc4/lelang/5364097/pengumumanlelang" TargetMode="External"/><Relationship Id="rId318" Type="http://schemas.openxmlformats.org/officeDocument/2006/relationships/hyperlink" Target="https://lpse.kalbarprov.go.id/eproc4/lelang/5375097/jadwal" TargetMode="External"/><Relationship Id="rId317" Type="http://schemas.openxmlformats.org/officeDocument/2006/relationships/hyperlink" Target="https://lpse.kalbarprov.go.id/eproc4/lelang/5375097/pengumumanlelang" TargetMode="External"/><Relationship Id="rId316" Type="http://schemas.openxmlformats.org/officeDocument/2006/relationships/hyperlink" Target="https://lpse.kalbarprov.go.id/eproc4/lelang/5377097/jadwal" TargetMode="External"/><Relationship Id="rId315" Type="http://schemas.openxmlformats.org/officeDocument/2006/relationships/hyperlink" Target="https://lpse.kalbarprov.go.id/eproc4/lelang/5377097/pengumumanlelang" TargetMode="External"/><Relationship Id="rId314" Type="http://schemas.openxmlformats.org/officeDocument/2006/relationships/hyperlink" Target="https://lpse.kalbarprov.go.id/eproc4/lelang/5378097/jadwal" TargetMode="External"/><Relationship Id="rId313" Type="http://schemas.openxmlformats.org/officeDocument/2006/relationships/hyperlink" Target="https://lpse.kalbarprov.go.id/eproc4/lelang/5378097/pengumumanlelang" TargetMode="External"/><Relationship Id="rId312" Type="http://schemas.openxmlformats.org/officeDocument/2006/relationships/hyperlink" Target="https://lpse.kalbarprov.go.id/eproc4/lelang/5383097/jadwal" TargetMode="External"/><Relationship Id="rId311" Type="http://schemas.openxmlformats.org/officeDocument/2006/relationships/hyperlink" Target="https://lpse.kalbarprov.go.id/eproc4/lelang/5383097/pengumumanlelang" TargetMode="External"/><Relationship Id="rId310" Type="http://schemas.openxmlformats.org/officeDocument/2006/relationships/hyperlink" Target="https://lpse.kalbarprov.go.id/eproc4/lelang/5385097/jadwal" TargetMode="External"/><Relationship Id="rId31" Type="http://schemas.openxmlformats.org/officeDocument/2006/relationships/hyperlink" Target="https://lpse.kalbarprov.go.id/eproc4/lelang/5611097/pengumumanlelang" TargetMode="External"/><Relationship Id="rId309" Type="http://schemas.openxmlformats.org/officeDocument/2006/relationships/hyperlink" Target="https://lpse.kalbarprov.go.id/eproc4/lelang/5385097/pengumumanlelang" TargetMode="External"/><Relationship Id="rId308" Type="http://schemas.openxmlformats.org/officeDocument/2006/relationships/hyperlink" Target="https://lpse.kalbarprov.go.id/eproc4/lelang/5386097/jadwal" TargetMode="External"/><Relationship Id="rId307" Type="http://schemas.openxmlformats.org/officeDocument/2006/relationships/hyperlink" Target="https://lpse.kalbarprov.go.id/eproc4/lelang/5386097/pengumumanlelang" TargetMode="External"/><Relationship Id="rId306" Type="http://schemas.openxmlformats.org/officeDocument/2006/relationships/hyperlink" Target="https://lpse.kalbarprov.go.id/eproc4/lelang/5392097/jadwal" TargetMode="External"/><Relationship Id="rId305" Type="http://schemas.openxmlformats.org/officeDocument/2006/relationships/hyperlink" Target="https://lpse.kalbarprov.go.id/eproc4/lelang/5392097/pengumumanlelang" TargetMode="External"/><Relationship Id="rId304" Type="http://schemas.openxmlformats.org/officeDocument/2006/relationships/hyperlink" Target="https://lpse.kalbarprov.go.id/eproc4/lelang/5393097/jadwal" TargetMode="External"/><Relationship Id="rId303" Type="http://schemas.openxmlformats.org/officeDocument/2006/relationships/hyperlink" Target="https://lpse.kalbarprov.go.id/eproc4/lelang/5393097/pengumumanlelang" TargetMode="External"/><Relationship Id="rId302" Type="http://schemas.openxmlformats.org/officeDocument/2006/relationships/hyperlink" Target="https://lpse.kalbarprov.go.id/eproc4/lelang/5394097/jadwal" TargetMode="External"/><Relationship Id="rId301" Type="http://schemas.openxmlformats.org/officeDocument/2006/relationships/hyperlink" Target="https://lpse.kalbarprov.go.id/eproc4/lelang/5394097/pengumumanlelang" TargetMode="External"/><Relationship Id="rId300" Type="http://schemas.openxmlformats.org/officeDocument/2006/relationships/hyperlink" Target="https://lpse.kalbarprov.go.id/eproc4/lelang/5395097/jadwal" TargetMode="External"/><Relationship Id="rId30" Type="http://schemas.openxmlformats.org/officeDocument/2006/relationships/hyperlink" Target="https://lpse.kalbarprov.go.id/eproc4/lelang/5618097/jadwal" TargetMode="External"/><Relationship Id="rId3" Type="http://schemas.openxmlformats.org/officeDocument/2006/relationships/hyperlink" Target="https://lpse.kalbarprov.go.id/eproc4/lelang/5670097/pengumumanlelang" TargetMode="External"/><Relationship Id="rId299" Type="http://schemas.openxmlformats.org/officeDocument/2006/relationships/hyperlink" Target="https://lpse.kalbarprov.go.id/eproc4/lelang/5395097/pengumumanlelang" TargetMode="External"/><Relationship Id="rId298" Type="http://schemas.openxmlformats.org/officeDocument/2006/relationships/hyperlink" Target="https://lpse.kalbarprov.go.id/eproc4/lelang/5396097/jadwal" TargetMode="External"/><Relationship Id="rId297" Type="http://schemas.openxmlformats.org/officeDocument/2006/relationships/hyperlink" Target="https://lpse.kalbarprov.go.id/eproc4/lelang/5396097/pengumumanlelang" TargetMode="External"/><Relationship Id="rId296" Type="http://schemas.openxmlformats.org/officeDocument/2006/relationships/hyperlink" Target="https://lpse.kalbarprov.go.id/eproc4/lelang/5397097/jadwal" TargetMode="External"/><Relationship Id="rId295" Type="http://schemas.openxmlformats.org/officeDocument/2006/relationships/hyperlink" Target="https://lpse.kalbarprov.go.id/eproc4/lelang/5397097/pengumumanlelang" TargetMode="External"/><Relationship Id="rId294" Type="http://schemas.openxmlformats.org/officeDocument/2006/relationships/hyperlink" Target="https://lpse.kalbarprov.go.id/eproc4/lelang/5399097/jadwal" TargetMode="External"/><Relationship Id="rId293" Type="http://schemas.openxmlformats.org/officeDocument/2006/relationships/hyperlink" Target="https://lpse.kalbarprov.go.id/eproc4/lelang/5399097/pengumumanlelang" TargetMode="External"/><Relationship Id="rId292" Type="http://schemas.openxmlformats.org/officeDocument/2006/relationships/hyperlink" Target="https://lpse.kalbarprov.go.id/eproc4/lelang/5400097/jadwal" TargetMode="External"/><Relationship Id="rId291" Type="http://schemas.openxmlformats.org/officeDocument/2006/relationships/hyperlink" Target="https://lpse.kalbarprov.go.id/eproc4/lelang/5400097/pengumumanlelang" TargetMode="External"/><Relationship Id="rId290" Type="http://schemas.openxmlformats.org/officeDocument/2006/relationships/hyperlink" Target="https://lpse.kalbarprov.go.id/eproc4/lelang/5404097/jadwal" TargetMode="External"/><Relationship Id="rId29" Type="http://schemas.openxmlformats.org/officeDocument/2006/relationships/hyperlink" Target="https://lpse.kalbarprov.go.id/eproc4/lelang/5618097/pengumumanlelang" TargetMode="External"/><Relationship Id="rId289" Type="http://schemas.openxmlformats.org/officeDocument/2006/relationships/hyperlink" Target="https://lpse.kalbarprov.go.id/eproc4/lelang/5404097/pengumumanlelang" TargetMode="External"/><Relationship Id="rId288" Type="http://schemas.openxmlformats.org/officeDocument/2006/relationships/hyperlink" Target="https://lpse.kalbarprov.go.id/eproc4/lelang/5405097/jadwal" TargetMode="External"/><Relationship Id="rId287" Type="http://schemas.openxmlformats.org/officeDocument/2006/relationships/hyperlink" Target="https://lpse.kalbarprov.go.id/eproc4/lelang/5405097/pengumumanlelang" TargetMode="External"/><Relationship Id="rId286" Type="http://schemas.openxmlformats.org/officeDocument/2006/relationships/hyperlink" Target="https://lpse.kalbarprov.go.id/eproc4/lelang/5406097/jadwal" TargetMode="External"/><Relationship Id="rId285" Type="http://schemas.openxmlformats.org/officeDocument/2006/relationships/hyperlink" Target="https://lpse.kalbarprov.go.id/eproc4/lelang/5406097/pengumumanlelang" TargetMode="External"/><Relationship Id="rId284" Type="http://schemas.openxmlformats.org/officeDocument/2006/relationships/hyperlink" Target="https://lpse.kalbarprov.go.id/eproc4/lelang/5407097/jadwal" TargetMode="External"/><Relationship Id="rId283" Type="http://schemas.openxmlformats.org/officeDocument/2006/relationships/hyperlink" Target="https://lpse.kalbarprov.go.id/eproc4/lelang/5407097/pengumumanlelang" TargetMode="External"/><Relationship Id="rId282" Type="http://schemas.openxmlformats.org/officeDocument/2006/relationships/hyperlink" Target="https://lpse.kalbarprov.go.id/eproc4/lelang/5409097/jadwal" TargetMode="External"/><Relationship Id="rId281" Type="http://schemas.openxmlformats.org/officeDocument/2006/relationships/hyperlink" Target="https://lpse.kalbarprov.go.id/eproc4/lelang/5409097/pengumumanlelang" TargetMode="External"/><Relationship Id="rId280" Type="http://schemas.openxmlformats.org/officeDocument/2006/relationships/hyperlink" Target="https://lpse.kalbarprov.go.id/eproc4/lelang/5411097/jadwal" TargetMode="External"/><Relationship Id="rId28" Type="http://schemas.openxmlformats.org/officeDocument/2006/relationships/hyperlink" Target="https://lpse.kalbarprov.go.id/eproc4/lelang/5619097/jadwal" TargetMode="External"/><Relationship Id="rId279" Type="http://schemas.openxmlformats.org/officeDocument/2006/relationships/hyperlink" Target="https://lpse.kalbarprov.go.id/eproc4/lelang/5411097/pengumumanlelang" TargetMode="External"/><Relationship Id="rId278" Type="http://schemas.openxmlformats.org/officeDocument/2006/relationships/hyperlink" Target="https://lpse.kalbarprov.go.id/eproc4/lelang/5412097/jadwal" TargetMode="External"/><Relationship Id="rId277" Type="http://schemas.openxmlformats.org/officeDocument/2006/relationships/hyperlink" Target="https://lpse.kalbarprov.go.id/eproc4/lelang/5412097/pengumumanlelang" TargetMode="External"/><Relationship Id="rId276" Type="http://schemas.openxmlformats.org/officeDocument/2006/relationships/hyperlink" Target="https://lpse.kalbarprov.go.id/eproc4/lelang/5413097/jadwal" TargetMode="External"/><Relationship Id="rId275" Type="http://schemas.openxmlformats.org/officeDocument/2006/relationships/hyperlink" Target="https://lpse.kalbarprov.go.id/eproc4/lelang/5413097/pengumumanlelang" TargetMode="External"/><Relationship Id="rId274" Type="http://schemas.openxmlformats.org/officeDocument/2006/relationships/hyperlink" Target="https://lpse.kalbarprov.go.id/eproc4/lelang/5415097/jadwal" TargetMode="External"/><Relationship Id="rId273" Type="http://schemas.openxmlformats.org/officeDocument/2006/relationships/hyperlink" Target="https://lpse.kalbarprov.go.id/eproc4/lelang/5415097/pengumumanlelang" TargetMode="External"/><Relationship Id="rId272" Type="http://schemas.openxmlformats.org/officeDocument/2006/relationships/hyperlink" Target="https://lpse.kalbarprov.go.id/eproc4/lelang/5416097/jadwal" TargetMode="External"/><Relationship Id="rId271" Type="http://schemas.openxmlformats.org/officeDocument/2006/relationships/hyperlink" Target="https://lpse.kalbarprov.go.id/eproc4/lelang/5416097/pengumumanlelang" TargetMode="External"/><Relationship Id="rId270" Type="http://schemas.openxmlformats.org/officeDocument/2006/relationships/hyperlink" Target="https://lpse.kalbarprov.go.id/eproc4/lelang/5417097/jadwal" TargetMode="External"/><Relationship Id="rId27" Type="http://schemas.openxmlformats.org/officeDocument/2006/relationships/hyperlink" Target="https://lpse.kalbarprov.go.id/eproc4/lelang/5619097/pengumumanlelang" TargetMode="External"/><Relationship Id="rId269" Type="http://schemas.openxmlformats.org/officeDocument/2006/relationships/hyperlink" Target="https://lpse.kalbarprov.go.id/eproc4/lelang/5417097/pengumumanlelang" TargetMode="External"/><Relationship Id="rId268" Type="http://schemas.openxmlformats.org/officeDocument/2006/relationships/hyperlink" Target="https://lpse.kalbarprov.go.id/eproc4/lelang/5418097/jadwal" TargetMode="External"/><Relationship Id="rId267" Type="http://schemas.openxmlformats.org/officeDocument/2006/relationships/hyperlink" Target="https://lpse.kalbarprov.go.id/eproc4/lelang/5418097/pengumumanlelang" TargetMode="External"/><Relationship Id="rId266" Type="http://schemas.openxmlformats.org/officeDocument/2006/relationships/hyperlink" Target="https://lpse.kalbarprov.go.id/eproc4/lelang/5419097/jadwal" TargetMode="External"/><Relationship Id="rId265" Type="http://schemas.openxmlformats.org/officeDocument/2006/relationships/hyperlink" Target="https://lpse.kalbarprov.go.id/eproc4/lelang/5419097/pengumumanlelang" TargetMode="External"/><Relationship Id="rId264" Type="http://schemas.openxmlformats.org/officeDocument/2006/relationships/hyperlink" Target="https://lpse.kalbarprov.go.id/eproc4/lelang/5422097/jadwal" TargetMode="External"/><Relationship Id="rId263" Type="http://schemas.openxmlformats.org/officeDocument/2006/relationships/hyperlink" Target="https://lpse.kalbarprov.go.id/eproc4/lelang/5422097/pengumumanlelang" TargetMode="External"/><Relationship Id="rId262" Type="http://schemas.openxmlformats.org/officeDocument/2006/relationships/hyperlink" Target="https://lpse.kalbarprov.go.id/eproc4/lelang/5425097/jadwal" TargetMode="External"/><Relationship Id="rId261" Type="http://schemas.openxmlformats.org/officeDocument/2006/relationships/hyperlink" Target="https://lpse.kalbarprov.go.id/eproc4/lelang/5425097/pengumumanlelang" TargetMode="External"/><Relationship Id="rId260" Type="http://schemas.openxmlformats.org/officeDocument/2006/relationships/hyperlink" Target="https://lpse.kalbarprov.go.id/eproc4/lelang/5426097/jadwal" TargetMode="External"/><Relationship Id="rId26" Type="http://schemas.openxmlformats.org/officeDocument/2006/relationships/hyperlink" Target="https://lpse.kalbarprov.go.id/eproc4/lelang/5623097/jadwal" TargetMode="External"/><Relationship Id="rId259" Type="http://schemas.openxmlformats.org/officeDocument/2006/relationships/hyperlink" Target="https://lpse.kalbarprov.go.id/eproc4/lelang/5426097/pengumumanlelang" TargetMode="External"/><Relationship Id="rId258" Type="http://schemas.openxmlformats.org/officeDocument/2006/relationships/hyperlink" Target="https://lpse.kalbarprov.go.id/eproc4/lelang/5427097/jadwal" TargetMode="External"/><Relationship Id="rId257" Type="http://schemas.openxmlformats.org/officeDocument/2006/relationships/hyperlink" Target="https://lpse.kalbarprov.go.id/eproc4/lelang/5427097/pengumumanlelang" TargetMode="External"/><Relationship Id="rId256" Type="http://schemas.openxmlformats.org/officeDocument/2006/relationships/hyperlink" Target="https://lpse.kalbarprov.go.id/eproc4/lelang/5428097/jadwal" TargetMode="External"/><Relationship Id="rId255" Type="http://schemas.openxmlformats.org/officeDocument/2006/relationships/hyperlink" Target="https://lpse.kalbarprov.go.id/eproc4/lelang/5428097/pengumumanlelang" TargetMode="External"/><Relationship Id="rId254" Type="http://schemas.openxmlformats.org/officeDocument/2006/relationships/hyperlink" Target="https://lpse.kalbarprov.go.id/eproc4/lelang/5430097/jadwal" TargetMode="External"/><Relationship Id="rId253" Type="http://schemas.openxmlformats.org/officeDocument/2006/relationships/hyperlink" Target="https://lpse.kalbarprov.go.id/eproc4/lelang/5430097/pengumumanlelang" TargetMode="External"/><Relationship Id="rId252" Type="http://schemas.openxmlformats.org/officeDocument/2006/relationships/hyperlink" Target="https://lpse.kalbarprov.go.id/eproc4/lelang/5431097/jadwal" TargetMode="External"/><Relationship Id="rId251" Type="http://schemas.openxmlformats.org/officeDocument/2006/relationships/hyperlink" Target="https://lpse.kalbarprov.go.id/eproc4/lelang/5431097/pengumumanlelang" TargetMode="External"/><Relationship Id="rId250" Type="http://schemas.openxmlformats.org/officeDocument/2006/relationships/hyperlink" Target="https://lpse.kalbarprov.go.id/eproc4/lelang/5432097/jadwal" TargetMode="External"/><Relationship Id="rId25" Type="http://schemas.openxmlformats.org/officeDocument/2006/relationships/hyperlink" Target="https://lpse.kalbarprov.go.id/eproc4/lelang/5623097/pengumumanlelang" TargetMode="External"/><Relationship Id="rId249" Type="http://schemas.openxmlformats.org/officeDocument/2006/relationships/hyperlink" Target="https://lpse.kalbarprov.go.id/eproc4/lelang/5432097/pengumumanlelang" TargetMode="External"/><Relationship Id="rId248" Type="http://schemas.openxmlformats.org/officeDocument/2006/relationships/hyperlink" Target="https://lpse.kalbarprov.go.id/eproc4/lelang/5433097/jadwal" TargetMode="External"/><Relationship Id="rId247" Type="http://schemas.openxmlformats.org/officeDocument/2006/relationships/hyperlink" Target="https://lpse.kalbarprov.go.id/eproc4/lelang/5433097/pengumumanlelang" TargetMode="External"/><Relationship Id="rId246" Type="http://schemas.openxmlformats.org/officeDocument/2006/relationships/hyperlink" Target="https://lpse.kalbarprov.go.id/eproc4/lelang/5434097/jadwal" TargetMode="External"/><Relationship Id="rId245" Type="http://schemas.openxmlformats.org/officeDocument/2006/relationships/hyperlink" Target="https://lpse.kalbarprov.go.id/eproc4/lelang/5434097/pengumumanlelang" TargetMode="External"/><Relationship Id="rId244" Type="http://schemas.openxmlformats.org/officeDocument/2006/relationships/hyperlink" Target="https://lpse.kalbarprov.go.id/eproc4/lelang/5435097/jadwal" TargetMode="External"/><Relationship Id="rId243" Type="http://schemas.openxmlformats.org/officeDocument/2006/relationships/hyperlink" Target="https://lpse.kalbarprov.go.id/eproc4/lelang/5435097/pengumumanlelang" TargetMode="External"/><Relationship Id="rId242" Type="http://schemas.openxmlformats.org/officeDocument/2006/relationships/hyperlink" Target="https://lpse.kalbarprov.go.id/eproc4/lelang/5436097/jadwal" TargetMode="External"/><Relationship Id="rId241" Type="http://schemas.openxmlformats.org/officeDocument/2006/relationships/hyperlink" Target="https://lpse.kalbarprov.go.id/eproc4/lelang/5436097/pengumumanlelang" TargetMode="External"/><Relationship Id="rId240" Type="http://schemas.openxmlformats.org/officeDocument/2006/relationships/hyperlink" Target="https://lpse.kalbarprov.go.id/eproc4/lelang/5437097/jadwal" TargetMode="External"/><Relationship Id="rId24" Type="http://schemas.openxmlformats.org/officeDocument/2006/relationships/hyperlink" Target="https://lpse.kalbarprov.go.id/eproc4/lelang/5624097/jadwal" TargetMode="External"/><Relationship Id="rId239" Type="http://schemas.openxmlformats.org/officeDocument/2006/relationships/hyperlink" Target="https://lpse.kalbarprov.go.id/eproc4/lelang/5437097/pengumumanlelang" TargetMode="External"/><Relationship Id="rId238" Type="http://schemas.openxmlformats.org/officeDocument/2006/relationships/hyperlink" Target="https://lpse.kalbarprov.go.id/eproc4/lelang/5438097/jadwal" TargetMode="External"/><Relationship Id="rId237" Type="http://schemas.openxmlformats.org/officeDocument/2006/relationships/hyperlink" Target="https://lpse.kalbarprov.go.id/eproc4/lelang/5438097/pengumumanlelang" TargetMode="External"/><Relationship Id="rId236" Type="http://schemas.openxmlformats.org/officeDocument/2006/relationships/hyperlink" Target="https://lpse.kalbarprov.go.id/eproc4/lelang/5439097/jadwal" TargetMode="External"/><Relationship Id="rId235" Type="http://schemas.openxmlformats.org/officeDocument/2006/relationships/hyperlink" Target="https://lpse.kalbarprov.go.id/eproc4/lelang/5439097/pengumumanlelang" TargetMode="External"/><Relationship Id="rId234" Type="http://schemas.openxmlformats.org/officeDocument/2006/relationships/hyperlink" Target="https://lpse.kalbarprov.go.id/eproc4/lelang/5440097/jadwal" TargetMode="External"/><Relationship Id="rId233" Type="http://schemas.openxmlformats.org/officeDocument/2006/relationships/hyperlink" Target="https://lpse.kalbarprov.go.id/eproc4/lelang/5440097/pengumumanlelang" TargetMode="External"/><Relationship Id="rId232" Type="http://schemas.openxmlformats.org/officeDocument/2006/relationships/hyperlink" Target="https://lpse.kalbarprov.go.id/eproc4/lelang/5441097/jadwal" TargetMode="External"/><Relationship Id="rId231" Type="http://schemas.openxmlformats.org/officeDocument/2006/relationships/hyperlink" Target="https://lpse.kalbarprov.go.id/eproc4/lelang/5441097/pengumumanlelang" TargetMode="External"/><Relationship Id="rId230" Type="http://schemas.openxmlformats.org/officeDocument/2006/relationships/hyperlink" Target="https://lpse.kalbarprov.go.id/eproc4/lelang/5443097/jadwal" TargetMode="External"/><Relationship Id="rId23" Type="http://schemas.openxmlformats.org/officeDocument/2006/relationships/hyperlink" Target="https://lpse.kalbarprov.go.id/eproc4/lelang/5624097/pengumumanlelang" TargetMode="External"/><Relationship Id="rId229" Type="http://schemas.openxmlformats.org/officeDocument/2006/relationships/hyperlink" Target="https://lpse.kalbarprov.go.id/eproc4/lelang/5443097/pengumumanlelang" TargetMode="External"/><Relationship Id="rId228" Type="http://schemas.openxmlformats.org/officeDocument/2006/relationships/hyperlink" Target="https://lpse.kalbarprov.go.id/eproc4/lelang/5444097/jadwal" TargetMode="External"/><Relationship Id="rId227" Type="http://schemas.openxmlformats.org/officeDocument/2006/relationships/hyperlink" Target="https://lpse.kalbarprov.go.id/eproc4/lelang/5444097/pengumumanlelang" TargetMode="External"/><Relationship Id="rId226" Type="http://schemas.openxmlformats.org/officeDocument/2006/relationships/hyperlink" Target="https://lpse.kalbarprov.go.id/eproc4/lelang/5445097/jadwal" TargetMode="External"/><Relationship Id="rId225" Type="http://schemas.openxmlformats.org/officeDocument/2006/relationships/hyperlink" Target="https://lpse.kalbarprov.go.id/eproc4/lelang/5445097/pengumumanlelang" TargetMode="External"/><Relationship Id="rId224" Type="http://schemas.openxmlformats.org/officeDocument/2006/relationships/hyperlink" Target="https://lpse.kalbarprov.go.id/eproc4/lelang/5446097/jadwal" TargetMode="External"/><Relationship Id="rId223" Type="http://schemas.openxmlformats.org/officeDocument/2006/relationships/hyperlink" Target="https://lpse.kalbarprov.go.id/eproc4/lelang/5446097/pengumumanlelang" TargetMode="External"/><Relationship Id="rId222" Type="http://schemas.openxmlformats.org/officeDocument/2006/relationships/hyperlink" Target="https://lpse.kalbarprov.go.id/eproc4/lelang/5448097/jadwal" TargetMode="External"/><Relationship Id="rId221" Type="http://schemas.openxmlformats.org/officeDocument/2006/relationships/hyperlink" Target="https://lpse.kalbarprov.go.id/eproc4/lelang/5448097/pengumumanlelang" TargetMode="External"/><Relationship Id="rId220" Type="http://schemas.openxmlformats.org/officeDocument/2006/relationships/hyperlink" Target="https://lpse.kalbarprov.go.id/eproc4/lelang/5449097/jadwal" TargetMode="External"/><Relationship Id="rId22" Type="http://schemas.openxmlformats.org/officeDocument/2006/relationships/hyperlink" Target="https://lpse.kalbarprov.go.id/eproc4/lelang/5628097/jadwal" TargetMode="External"/><Relationship Id="rId219" Type="http://schemas.openxmlformats.org/officeDocument/2006/relationships/hyperlink" Target="https://lpse.kalbarprov.go.id/eproc4/lelang/5449097/pengumumanlelang" TargetMode="External"/><Relationship Id="rId218" Type="http://schemas.openxmlformats.org/officeDocument/2006/relationships/hyperlink" Target="https://lpse.kalbarprov.go.id/eproc4/lelang/5450097/jadwal" TargetMode="External"/><Relationship Id="rId217" Type="http://schemas.openxmlformats.org/officeDocument/2006/relationships/hyperlink" Target="https://lpse.kalbarprov.go.id/eproc4/lelang/5450097/pengumumanlelang" TargetMode="External"/><Relationship Id="rId216" Type="http://schemas.openxmlformats.org/officeDocument/2006/relationships/hyperlink" Target="https://lpse.kalbarprov.go.id/eproc4/lelang/5451097/jadwal" TargetMode="External"/><Relationship Id="rId215" Type="http://schemas.openxmlformats.org/officeDocument/2006/relationships/hyperlink" Target="https://lpse.kalbarprov.go.id/eproc4/lelang/5451097/pengumumanlelang" TargetMode="External"/><Relationship Id="rId214" Type="http://schemas.openxmlformats.org/officeDocument/2006/relationships/hyperlink" Target="https://lpse.kalbarprov.go.id/eproc4/lelang/5454097/jadwal" TargetMode="External"/><Relationship Id="rId213" Type="http://schemas.openxmlformats.org/officeDocument/2006/relationships/hyperlink" Target="https://lpse.kalbarprov.go.id/eproc4/lelang/5454097/pengumumanlelang" TargetMode="External"/><Relationship Id="rId212" Type="http://schemas.openxmlformats.org/officeDocument/2006/relationships/hyperlink" Target="https://lpse.kalbarprov.go.id/eproc4/lelang/5455097/jadwal" TargetMode="External"/><Relationship Id="rId211" Type="http://schemas.openxmlformats.org/officeDocument/2006/relationships/hyperlink" Target="https://lpse.kalbarprov.go.id/eproc4/lelang/5455097/pengumumanlelang" TargetMode="External"/><Relationship Id="rId210" Type="http://schemas.openxmlformats.org/officeDocument/2006/relationships/hyperlink" Target="https://lpse.kalbarprov.go.id/eproc4/lelang/5456097/jadwal" TargetMode="External"/><Relationship Id="rId21" Type="http://schemas.openxmlformats.org/officeDocument/2006/relationships/hyperlink" Target="https://lpse.kalbarprov.go.id/eproc4/lelang/5628097/pengumumanlelang" TargetMode="External"/><Relationship Id="rId209" Type="http://schemas.openxmlformats.org/officeDocument/2006/relationships/hyperlink" Target="https://lpse.kalbarprov.go.id/eproc4/lelang/5456097/pengumumanlelang" TargetMode="External"/><Relationship Id="rId208" Type="http://schemas.openxmlformats.org/officeDocument/2006/relationships/hyperlink" Target="https://lpse.kalbarprov.go.id/eproc4/lelang/5457097/jadwal" TargetMode="External"/><Relationship Id="rId207" Type="http://schemas.openxmlformats.org/officeDocument/2006/relationships/hyperlink" Target="https://lpse.kalbarprov.go.id/eproc4/lelang/5457097/pengumumanlelang" TargetMode="External"/><Relationship Id="rId206" Type="http://schemas.openxmlformats.org/officeDocument/2006/relationships/hyperlink" Target="https://lpse.kalbarprov.go.id/eproc4/lelang/5458097/jadwal" TargetMode="External"/><Relationship Id="rId205" Type="http://schemas.openxmlformats.org/officeDocument/2006/relationships/hyperlink" Target="https://lpse.kalbarprov.go.id/eproc4/lelang/5458097/pengumumanlelang" TargetMode="External"/><Relationship Id="rId204" Type="http://schemas.openxmlformats.org/officeDocument/2006/relationships/hyperlink" Target="https://lpse.kalbarprov.go.id/eproc4/lelang/5459097/jadwal" TargetMode="External"/><Relationship Id="rId203" Type="http://schemas.openxmlformats.org/officeDocument/2006/relationships/hyperlink" Target="https://lpse.kalbarprov.go.id/eproc4/lelang/5459097/pengumumanlelang" TargetMode="External"/><Relationship Id="rId202" Type="http://schemas.openxmlformats.org/officeDocument/2006/relationships/hyperlink" Target="https://lpse.kalbarprov.go.id/eproc4/lelang/5460097/jadwal" TargetMode="External"/><Relationship Id="rId201" Type="http://schemas.openxmlformats.org/officeDocument/2006/relationships/hyperlink" Target="https://lpse.kalbarprov.go.id/eproc4/lelang/5460097/pengumumanlelang" TargetMode="External"/><Relationship Id="rId200" Type="http://schemas.openxmlformats.org/officeDocument/2006/relationships/hyperlink" Target="https://lpse.kalbarprov.go.id/eproc4/lelang/5461097/jadwal" TargetMode="External"/><Relationship Id="rId20" Type="http://schemas.openxmlformats.org/officeDocument/2006/relationships/hyperlink" Target="https://lpse.kalbarprov.go.id/eproc4/lelang/5631097/jadwal" TargetMode="External"/><Relationship Id="rId2" Type="http://schemas.openxmlformats.org/officeDocument/2006/relationships/hyperlink" Target="https://lpse.kalbarprov.go.id/eproc4/lelang/5671097/jadwal" TargetMode="External"/><Relationship Id="rId199" Type="http://schemas.openxmlformats.org/officeDocument/2006/relationships/hyperlink" Target="https://lpse.kalbarprov.go.id/eproc4/lelang/5461097/pengumumanlelang" TargetMode="External"/><Relationship Id="rId198" Type="http://schemas.openxmlformats.org/officeDocument/2006/relationships/hyperlink" Target="https://lpse.kalbarprov.go.id/eproc4/lelang/5462097/jadwal" TargetMode="External"/><Relationship Id="rId197" Type="http://schemas.openxmlformats.org/officeDocument/2006/relationships/hyperlink" Target="https://lpse.kalbarprov.go.id/eproc4/lelang/5462097/pengumumanlelang" TargetMode="External"/><Relationship Id="rId196" Type="http://schemas.openxmlformats.org/officeDocument/2006/relationships/hyperlink" Target="https://lpse.kalbarprov.go.id/eproc4/lelang/5463097/jadwal" TargetMode="External"/><Relationship Id="rId195" Type="http://schemas.openxmlformats.org/officeDocument/2006/relationships/hyperlink" Target="https://lpse.kalbarprov.go.id/eproc4/lelang/5463097/pengumumanlelang" TargetMode="External"/><Relationship Id="rId194" Type="http://schemas.openxmlformats.org/officeDocument/2006/relationships/hyperlink" Target="https://lpse.kalbarprov.go.id/eproc4/lelang/5464097/jadwal" TargetMode="External"/><Relationship Id="rId193" Type="http://schemas.openxmlformats.org/officeDocument/2006/relationships/hyperlink" Target="https://lpse.kalbarprov.go.id/eproc4/lelang/5464097/pengumumanlelang" TargetMode="External"/><Relationship Id="rId192" Type="http://schemas.openxmlformats.org/officeDocument/2006/relationships/hyperlink" Target="https://lpse.kalbarprov.go.id/eproc4/lelang/5468097/jadwal" TargetMode="External"/><Relationship Id="rId191" Type="http://schemas.openxmlformats.org/officeDocument/2006/relationships/hyperlink" Target="https://lpse.kalbarprov.go.id/eproc4/lelang/5468097/pengumumanlelang" TargetMode="External"/><Relationship Id="rId190" Type="http://schemas.openxmlformats.org/officeDocument/2006/relationships/hyperlink" Target="https://lpse.kalbarprov.go.id/eproc4/lelang/5470097/jadwal" TargetMode="External"/><Relationship Id="rId19" Type="http://schemas.openxmlformats.org/officeDocument/2006/relationships/hyperlink" Target="https://lpse.kalbarprov.go.id/eproc4/lelang/5631097/pengumumanlelang" TargetMode="External"/><Relationship Id="rId189" Type="http://schemas.openxmlformats.org/officeDocument/2006/relationships/hyperlink" Target="https://lpse.kalbarprov.go.id/eproc4/lelang/5470097/pengumumanlelang" TargetMode="External"/><Relationship Id="rId188" Type="http://schemas.openxmlformats.org/officeDocument/2006/relationships/hyperlink" Target="https://lpse.kalbarprov.go.id/eproc4/lelang/5471097/jadwal" TargetMode="External"/><Relationship Id="rId187" Type="http://schemas.openxmlformats.org/officeDocument/2006/relationships/hyperlink" Target="https://lpse.kalbarprov.go.id/eproc4/lelang/5471097/pengumumanlelang" TargetMode="External"/><Relationship Id="rId186" Type="http://schemas.openxmlformats.org/officeDocument/2006/relationships/hyperlink" Target="https://lpse.kalbarprov.go.id/eproc4/lelang/5472097/jadwal" TargetMode="External"/><Relationship Id="rId185" Type="http://schemas.openxmlformats.org/officeDocument/2006/relationships/hyperlink" Target="https://lpse.kalbarprov.go.id/eproc4/lelang/5472097/pengumumanlelang" TargetMode="External"/><Relationship Id="rId184" Type="http://schemas.openxmlformats.org/officeDocument/2006/relationships/hyperlink" Target="https://lpse.kalbarprov.go.id/eproc4/lelang/5473097/jadwal" TargetMode="External"/><Relationship Id="rId183" Type="http://schemas.openxmlformats.org/officeDocument/2006/relationships/hyperlink" Target="https://lpse.kalbarprov.go.id/eproc4/lelang/5473097/pengumumanlelang" TargetMode="External"/><Relationship Id="rId182" Type="http://schemas.openxmlformats.org/officeDocument/2006/relationships/hyperlink" Target="https://lpse.kalbarprov.go.id/eproc4/lelang/5474097/jadwal" TargetMode="External"/><Relationship Id="rId181" Type="http://schemas.openxmlformats.org/officeDocument/2006/relationships/hyperlink" Target="https://lpse.kalbarprov.go.id/eproc4/lelang/5474097/pengumumanlelang" TargetMode="External"/><Relationship Id="rId180" Type="http://schemas.openxmlformats.org/officeDocument/2006/relationships/hyperlink" Target="https://lpse.kalbarprov.go.id/eproc4/lelang/5475097/jadwal" TargetMode="External"/><Relationship Id="rId18" Type="http://schemas.openxmlformats.org/officeDocument/2006/relationships/hyperlink" Target="https://lpse.kalbarprov.go.id/eproc4/lelang/5634097/jadwal" TargetMode="External"/><Relationship Id="rId179" Type="http://schemas.openxmlformats.org/officeDocument/2006/relationships/hyperlink" Target="https://lpse.kalbarprov.go.id/eproc4/lelang/5475097/pengumumanlelang" TargetMode="External"/><Relationship Id="rId178" Type="http://schemas.openxmlformats.org/officeDocument/2006/relationships/hyperlink" Target="https://lpse.kalbarprov.go.id/eproc4/lelang/5476097/jadwal" TargetMode="External"/><Relationship Id="rId177" Type="http://schemas.openxmlformats.org/officeDocument/2006/relationships/hyperlink" Target="https://lpse.kalbarprov.go.id/eproc4/lelang/5476097/pengumumanlelang" TargetMode="External"/><Relationship Id="rId176" Type="http://schemas.openxmlformats.org/officeDocument/2006/relationships/hyperlink" Target="https://lpse.kalbarprov.go.id/eproc4/lelang/5477097/jadwal" TargetMode="External"/><Relationship Id="rId175" Type="http://schemas.openxmlformats.org/officeDocument/2006/relationships/hyperlink" Target="https://lpse.kalbarprov.go.id/eproc4/lelang/5477097/pengumumanlelang" TargetMode="External"/><Relationship Id="rId174" Type="http://schemas.openxmlformats.org/officeDocument/2006/relationships/hyperlink" Target="https://lpse.kalbarprov.go.id/eproc4/lelang/5481097/jadwal" TargetMode="External"/><Relationship Id="rId173" Type="http://schemas.openxmlformats.org/officeDocument/2006/relationships/hyperlink" Target="https://lpse.kalbarprov.go.id/eproc4/lelang/5481097/pengumumanlelang" TargetMode="External"/><Relationship Id="rId172" Type="http://schemas.openxmlformats.org/officeDocument/2006/relationships/hyperlink" Target="https://lpse.kalbarprov.go.id/eproc4/lelang/5482097/jadwal" TargetMode="External"/><Relationship Id="rId171" Type="http://schemas.openxmlformats.org/officeDocument/2006/relationships/hyperlink" Target="https://lpse.kalbarprov.go.id/eproc4/lelang/5482097/pengumumanlelang" TargetMode="External"/><Relationship Id="rId170" Type="http://schemas.openxmlformats.org/officeDocument/2006/relationships/hyperlink" Target="https://lpse.kalbarprov.go.id/eproc4/lelang/5484097/jadwal" TargetMode="External"/><Relationship Id="rId17" Type="http://schemas.openxmlformats.org/officeDocument/2006/relationships/hyperlink" Target="https://lpse.kalbarprov.go.id/eproc4/lelang/5634097/pengumumanlelang" TargetMode="External"/><Relationship Id="rId169" Type="http://schemas.openxmlformats.org/officeDocument/2006/relationships/hyperlink" Target="https://lpse.kalbarprov.go.id/eproc4/lelang/5484097/pengumumanlelang" TargetMode="External"/><Relationship Id="rId168" Type="http://schemas.openxmlformats.org/officeDocument/2006/relationships/hyperlink" Target="https://lpse.kalbarprov.go.id/eproc4/lelang/5486097/jadwal" TargetMode="External"/><Relationship Id="rId167" Type="http://schemas.openxmlformats.org/officeDocument/2006/relationships/hyperlink" Target="https://lpse.kalbarprov.go.id/eproc4/lelang/5486097/pengumumanlelang" TargetMode="External"/><Relationship Id="rId166" Type="http://schemas.openxmlformats.org/officeDocument/2006/relationships/hyperlink" Target="https://lpse.kalbarprov.go.id/eproc4/lelang/5487097/jadwal" TargetMode="External"/><Relationship Id="rId165" Type="http://schemas.openxmlformats.org/officeDocument/2006/relationships/hyperlink" Target="https://lpse.kalbarprov.go.id/eproc4/lelang/5487097/pengumumanlelang" TargetMode="External"/><Relationship Id="rId164" Type="http://schemas.openxmlformats.org/officeDocument/2006/relationships/hyperlink" Target="https://lpse.kalbarprov.go.id/eproc4/lelang/5488097/jadwal" TargetMode="External"/><Relationship Id="rId163" Type="http://schemas.openxmlformats.org/officeDocument/2006/relationships/hyperlink" Target="https://lpse.kalbarprov.go.id/eproc4/lelang/5488097/pengumumanlelang" TargetMode="External"/><Relationship Id="rId162" Type="http://schemas.openxmlformats.org/officeDocument/2006/relationships/hyperlink" Target="https://lpse.kalbarprov.go.id/eproc4/lelang/5490097/jadwal" TargetMode="External"/><Relationship Id="rId161" Type="http://schemas.openxmlformats.org/officeDocument/2006/relationships/hyperlink" Target="https://lpse.kalbarprov.go.id/eproc4/lelang/5490097/pengumumanlelang" TargetMode="External"/><Relationship Id="rId160" Type="http://schemas.openxmlformats.org/officeDocument/2006/relationships/hyperlink" Target="https://lpse.kalbarprov.go.id/eproc4/lelang/5491097/jadwal" TargetMode="External"/><Relationship Id="rId16" Type="http://schemas.openxmlformats.org/officeDocument/2006/relationships/hyperlink" Target="https://lpse.kalbarprov.go.id/eproc4/lelang/5635097/jadwal" TargetMode="External"/><Relationship Id="rId159" Type="http://schemas.openxmlformats.org/officeDocument/2006/relationships/hyperlink" Target="https://lpse.kalbarprov.go.id/eproc4/lelang/5491097/pengumumanlelang" TargetMode="External"/><Relationship Id="rId158" Type="http://schemas.openxmlformats.org/officeDocument/2006/relationships/hyperlink" Target="https://lpse.kalbarprov.go.id/eproc4/lelang/5492097/jadwal" TargetMode="External"/><Relationship Id="rId157" Type="http://schemas.openxmlformats.org/officeDocument/2006/relationships/hyperlink" Target="https://lpse.kalbarprov.go.id/eproc4/lelang/5492097/pengumumanlelang" TargetMode="External"/><Relationship Id="rId156" Type="http://schemas.openxmlformats.org/officeDocument/2006/relationships/hyperlink" Target="https://lpse.kalbarprov.go.id/eproc4/lelang/5493097/jadwal" TargetMode="External"/><Relationship Id="rId155" Type="http://schemas.openxmlformats.org/officeDocument/2006/relationships/hyperlink" Target="https://lpse.kalbarprov.go.id/eproc4/lelang/5493097/pengumumanlelang" TargetMode="External"/><Relationship Id="rId154" Type="http://schemas.openxmlformats.org/officeDocument/2006/relationships/hyperlink" Target="https://lpse.kalbarprov.go.id/eproc4/lelang/5494097/jadwal" TargetMode="External"/><Relationship Id="rId153" Type="http://schemas.openxmlformats.org/officeDocument/2006/relationships/hyperlink" Target="https://lpse.kalbarprov.go.id/eproc4/lelang/5494097/pengumumanlelang" TargetMode="External"/><Relationship Id="rId152" Type="http://schemas.openxmlformats.org/officeDocument/2006/relationships/hyperlink" Target="https://lpse.kalbarprov.go.id/eproc4/lelang/5495097/jadwal" TargetMode="External"/><Relationship Id="rId151" Type="http://schemas.openxmlformats.org/officeDocument/2006/relationships/hyperlink" Target="https://lpse.kalbarprov.go.id/eproc4/lelang/5495097/pengumumanlelang" TargetMode="External"/><Relationship Id="rId150" Type="http://schemas.openxmlformats.org/officeDocument/2006/relationships/hyperlink" Target="https://lpse.kalbarprov.go.id/eproc4/lelang/5496097/jadwal" TargetMode="External"/><Relationship Id="rId15" Type="http://schemas.openxmlformats.org/officeDocument/2006/relationships/hyperlink" Target="https://lpse.kalbarprov.go.id/eproc4/lelang/5635097/pengumumanlelang" TargetMode="External"/><Relationship Id="rId149" Type="http://schemas.openxmlformats.org/officeDocument/2006/relationships/hyperlink" Target="https://lpse.kalbarprov.go.id/eproc4/lelang/5496097/pengumumanlelang" TargetMode="External"/><Relationship Id="rId148" Type="http://schemas.openxmlformats.org/officeDocument/2006/relationships/hyperlink" Target="https://lpse.kalbarprov.go.id/eproc4/lelang/5498097/jadwal" TargetMode="External"/><Relationship Id="rId147" Type="http://schemas.openxmlformats.org/officeDocument/2006/relationships/hyperlink" Target="https://lpse.kalbarprov.go.id/eproc4/lelang/5498097/pengumumanlelang" TargetMode="External"/><Relationship Id="rId146" Type="http://schemas.openxmlformats.org/officeDocument/2006/relationships/hyperlink" Target="https://lpse.kalbarprov.go.id/eproc4/lelang/5499097/jadwal" TargetMode="External"/><Relationship Id="rId145" Type="http://schemas.openxmlformats.org/officeDocument/2006/relationships/hyperlink" Target="https://lpse.kalbarprov.go.id/eproc4/lelang/5499097/pengumumanlelang" TargetMode="External"/><Relationship Id="rId144" Type="http://schemas.openxmlformats.org/officeDocument/2006/relationships/hyperlink" Target="https://lpse.kalbarprov.go.id/eproc4/lelang/5500097/jadwal" TargetMode="External"/><Relationship Id="rId143" Type="http://schemas.openxmlformats.org/officeDocument/2006/relationships/hyperlink" Target="https://lpse.kalbarprov.go.id/eproc4/lelang/5500097/pengumumanlelang" TargetMode="External"/><Relationship Id="rId142" Type="http://schemas.openxmlformats.org/officeDocument/2006/relationships/hyperlink" Target="https://lpse.kalbarprov.go.id/eproc4/lelang/5503097/jadwal" TargetMode="External"/><Relationship Id="rId141" Type="http://schemas.openxmlformats.org/officeDocument/2006/relationships/hyperlink" Target="https://lpse.kalbarprov.go.id/eproc4/lelang/5503097/pengumumanlelang" TargetMode="External"/><Relationship Id="rId140" Type="http://schemas.openxmlformats.org/officeDocument/2006/relationships/hyperlink" Target="https://lpse.kalbarprov.go.id/eproc4/lelang/5504097/jadwal" TargetMode="External"/><Relationship Id="rId14" Type="http://schemas.openxmlformats.org/officeDocument/2006/relationships/hyperlink" Target="https://lpse.kalbarprov.go.id/eproc4/lelang/5636097/jadwal" TargetMode="External"/><Relationship Id="rId139" Type="http://schemas.openxmlformats.org/officeDocument/2006/relationships/hyperlink" Target="https://lpse.kalbarprov.go.id/eproc4/lelang/5504097/pengumumanlelang" TargetMode="External"/><Relationship Id="rId138" Type="http://schemas.openxmlformats.org/officeDocument/2006/relationships/hyperlink" Target="https://lpse.kalbarprov.go.id/eproc4/lelang/5505097/jadwal" TargetMode="External"/><Relationship Id="rId137" Type="http://schemas.openxmlformats.org/officeDocument/2006/relationships/hyperlink" Target="https://lpse.kalbarprov.go.id/eproc4/lelang/5505097/pengumumanlelang" TargetMode="External"/><Relationship Id="rId136" Type="http://schemas.openxmlformats.org/officeDocument/2006/relationships/hyperlink" Target="https://lpse.kalbarprov.go.id/eproc4/lelang/5507097/jadwal" TargetMode="External"/><Relationship Id="rId135" Type="http://schemas.openxmlformats.org/officeDocument/2006/relationships/hyperlink" Target="https://lpse.kalbarprov.go.id/eproc4/lelang/5507097/pengumumanlelang" TargetMode="External"/><Relationship Id="rId134" Type="http://schemas.openxmlformats.org/officeDocument/2006/relationships/hyperlink" Target="https://lpse.kalbarprov.go.id/eproc4/lelang/5508097/jadwal" TargetMode="External"/><Relationship Id="rId133" Type="http://schemas.openxmlformats.org/officeDocument/2006/relationships/hyperlink" Target="https://lpse.kalbarprov.go.id/eproc4/lelang/5508097/pengumumanlelang" TargetMode="External"/><Relationship Id="rId132" Type="http://schemas.openxmlformats.org/officeDocument/2006/relationships/hyperlink" Target="https://lpse.kalbarprov.go.id/eproc4/lelang/5509097/jadwal" TargetMode="External"/><Relationship Id="rId131" Type="http://schemas.openxmlformats.org/officeDocument/2006/relationships/hyperlink" Target="https://lpse.kalbarprov.go.id/eproc4/lelang/5509097/pengumumanlelang" TargetMode="External"/><Relationship Id="rId130" Type="http://schemas.openxmlformats.org/officeDocument/2006/relationships/hyperlink" Target="https://lpse.kalbarprov.go.id/eproc4/lelang/5512097/jadwal" TargetMode="External"/><Relationship Id="rId13" Type="http://schemas.openxmlformats.org/officeDocument/2006/relationships/hyperlink" Target="https://lpse.kalbarprov.go.id/eproc4/lelang/5636097/pengumumanlelang" TargetMode="External"/><Relationship Id="rId129" Type="http://schemas.openxmlformats.org/officeDocument/2006/relationships/hyperlink" Target="https://lpse.kalbarprov.go.id/eproc4/lelang/5512097/pengumumanlelang" TargetMode="External"/><Relationship Id="rId128" Type="http://schemas.openxmlformats.org/officeDocument/2006/relationships/hyperlink" Target="https://lpse.kalbarprov.go.id/eproc4/lelang/5513097/jadwal" TargetMode="External"/><Relationship Id="rId127" Type="http://schemas.openxmlformats.org/officeDocument/2006/relationships/hyperlink" Target="https://lpse.kalbarprov.go.id/eproc4/lelang/5513097/pengumumanlelang" TargetMode="External"/><Relationship Id="rId126" Type="http://schemas.openxmlformats.org/officeDocument/2006/relationships/hyperlink" Target="https://lpse.kalbarprov.go.id/eproc4/lelang/5514097/jadwal" TargetMode="External"/><Relationship Id="rId125" Type="http://schemas.openxmlformats.org/officeDocument/2006/relationships/hyperlink" Target="https://lpse.kalbarprov.go.id/eproc4/lelang/5514097/pengumumanlelang" TargetMode="External"/><Relationship Id="rId124" Type="http://schemas.openxmlformats.org/officeDocument/2006/relationships/hyperlink" Target="https://lpse.kalbarprov.go.id/eproc4/lelang/5516097/jadwal" TargetMode="External"/><Relationship Id="rId123" Type="http://schemas.openxmlformats.org/officeDocument/2006/relationships/hyperlink" Target="https://lpse.kalbarprov.go.id/eproc4/lelang/5516097/pengumumanlelang" TargetMode="External"/><Relationship Id="rId122" Type="http://schemas.openxmlformats.org/officeDocument/2006/relationships/hyperlink" Target="https://lpse.kalbarprov.go.id/eproc4/lelang/5517097/jadwal" TargetMode="External"/><Relationship Id="rId121" Type="http://schemas.openxmlformats.org/officeDocument/2006/relationships/hyperlink" Target="https://lpse.kalbarprov.go.id/eproc4/lelang/5517097/pengumumanlelang" TargetMode="External"/><Relationship Id="rId120" Type="http://schemas.openxmlformats.org/officeDocument/2006/relationships/hyperlink" Target="https://lpse.kalbarprov.go.id/eproc4/lelang/5518097/jadwal" TargetMode="External"/><Relationship Id="rId12" Type="http://schemas.openxmlformats.org/officeDocument/2006/relationships/hyperlink" Target="https://lpse.kalbarprov.go.id/eproc4/lelang/5639097/jadwal" TargetMode="External"/><Relationship Id="rId119" Type="http://schemas.openxmlformats.org/officeDocument/2006/relationships/hyperlink" Target="https://lpse.kalbarprov.go.id/eproc4/lelang/5518097/pengumumanlelang" TargetMode="External"/><Relationship Id="rId118" Type="http://schemas.openxmlformats.org/officeDocument/2006/relationships/hyperlink" Target="https://lpse.kalbarprov.go.id/eproc4/lelang/5519097/jadwal" TargetMode="External"/><Relationship Id="rId117" Type="http://schemas.openxmlformats.org/officeDocument/2006/relationships/hyperlink" Target="https://lpse.kalbarprov.go.id/eproc4/lelang/5519097/pengumumanlelang" TargetMode="External"/><Relationship Id="rId116" Type="http://schemas.openxmlformats.org/officeDocument/2006/relationships/hyperlink" Target="https://lpse.kalbarprov.go.id/eproc4/lelang/5520097/jadwal" TargetMode="External"/><Relationship Id="rId115" Type="http://schemas.openxmlformats.org/officeDocument/2006/relationships/hyperlink" Target="https://lpse.kalbarprov.go.id/eproc4/lelang/5520097/pengumumanlelang" TargetMode="External"/><Relationship Id="rId114" Type="http://schemas.openxmlformats.org/officeDocument/2006/relationships/hyperlink" Target="https://lpse.kalbarprov.go.id/eproc4/lelang/5521097/jadwal" TargetMode="External"/><Relationship Id="rId113" Type="http://schemas.openxmlformats.org/officeDocument/2006/relationships/hyperlink" Target="https://lpse.kalbarprov.go.id/eproc4/lelang/5521097/pengumumanlelang" TargetMode="External"/><Relationship Id="rId112" Type="http://schemas.openxmlformats.org/officeDocument/2006/relationships/hyperlink" Target="https://lpse.kalbarprov.go.id/eproc4/lelang/5522097/jadwal" TargetMode="External"/><Relationship Id="rId111" Type="http://schemas.openxmlformats.org/officeDocument/2006/relationships/hyperlink" Target="https://lpse.kalbarprov.go.id/eproc4/lelang/5522097/pengumumanlelang" TargetMode="External"/><Relationship Id="rId110" Type="http://schemas.openxmlformats.org/officeDocument/2006/relationships/hyperlink" Target="https://lpse.kalbarprov.go.id/eproc4/lelang/5523097/jadwal" TargetMode="External"/><Relationship Id="rId11" Type="http://schemas.openxmlformats.org/officeDocument/2006/relationships/hyperlink" Target="https://lpse.kalbarprov.go.id/eproc4/lelang/5639097/pengumumanlelang" TargetMode="External"/><Relationship Id="rId109" Type="http://schemas.openxmlformats.org/officeDocument/2006/relationships/hyperlink" Target="https://lpse.kalbarprov.go.id/eproc4/lelang/5523097/pengumumanlelang" TargetMode="External"/><Relationship Id="rId108" Type="http://schemas.openxmlformats.org/officeDocument/2006/relationships/hyperlink" Target="https://lpse.kalbarprov.go.id/eproc4/lelang/5524097/jadwal" TargetMode="External"/><Relationship Id="rId107" Type="http://schemas.openxmlformats.org/officeDocument/2006/relationships/hyperlink" Target="https://lpse.kalbarprov.go.id/eproc4/lelang/5524097/pengumumanlelang" TargetMode="External"/><Relationship Id="rId106" Type="http://schemas.openxmlformats.org/officeDocument/2006/relationships/hyperlink" Target="https://lpse.kalbarprov.go.id/eproc4/lelang/5525097/jadwal" TargetMode="External"/><Relationship Id="rId105" Type="http://schemas.openxmlformats.org/officeDocument/2006/relationships/hyperlink" Target="https://lpse.kalbarprov.go.id/eproc4/lelang/5525097/pengumumanlelang" TargetMode="External"/><Relationship Id="rId104" Type="http://schemas.openxmlformats.org/officeDocument/2006/relationships/hyperlink" Target="https://lpse.kalbarprov.go.id/eproc4/lelang/5526097/jadwal" TargetMode="External"/><Relationship Id="rId103" Type="http://schemas.openxmlformats.org/officeDocument/2006/relationships/hyperlink" Target="https://lpse.kalbarprov.go.id/eproc4/lelang/5526097/pengumumanlelang" TargetMode="External"/><Relationship Id="rId102" Type="http://schemas.openxmlformats.org/officeDocument/2006/relationships/hyperlink" Target="https://lpse.kalbarprov.go.id/eproc4/lelang/5527097/jadwal" TargetMode="External"/><Relationship Id="rId101" Type="http://schemas.openxmlformats.org/officeDocument/2006/relationships/hyperlink" Target="https://lpse.kalbarprov.go.id/eproc4/lelang/5527097/pengumumanlelang" TargetMode="External"/><Relationship Id="rId100" Type="http://schemas.openxmlformats.org/officeDocument/2006/relationships/hyperlink" Target="https://lpse.kalbarprov.go.id/eproc4/lelang/5528097/jadwal" TargetMode="External"/><Relationship Id="rId10" Type="http://schemas.openxmlformats.org/officeDocument/2006/relationships/hyperlink" Target="https://lpse.kalbarprov.go.id/eproc4/lelang/5643097/jadwal" TargetMode="External"/><Relationship Id="rId1" Type="http://schemas.openxmlformats.org/officeDocument/2006/relationships/hyperlink" Target="https://lpse.kalbarprov.go.id/eproc4/lelang/5671097/pengumumanlelan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F2410"/>
  <sheetViews>
    <sheetView workbookViewId="0">
      <selection activeCell="A1" sqref="A1:F2405"/>
    </sheetView>
  </sheetViews>
  <sheetFormatPr defaultColWidth="9" defaultRowHeight="15" outlineLevelCol="5"/>
  <sheetData>
    <row r="1" ht="165" spans="1:6">
      <c r="A1" s="8">
        <v>5671097</v>
      </c>
      <c r="B1" s="9" t="s">
        <v>0</v>
      </c>
      <c r="C1" s="8" t="s">
        <v>1</v>
      </c>
      <c r="D1" s="10" t="s">
        <v>2</v>
      </c>
      <c r="E1" s="8" t="s">
        <v>3</v>
      </c>
      <c r="F1" t="e">
        <f t="array" ref="F1">PROFEXHyperlinkAddress(B1:B1)</f>
        <v>#NAME?</v>
      </c>
    </row>
    <row r="2" spans="1:6">
      <c r="A2" s="11"/>
      <c r="B2" s="12"/>
      <c r="C2" s="11"/>
      <c r="D2" s="13"/>
      <c r="E2" s="11"/>
      <c r="F2" t="e">
        <f t="array" ref="F2">PROFEXHyperlinkAddress(B2:B2)</f>
        <v>#NAME?</v>
      </c>
    </row>
    <row r="3" ht="57.75" spans="1:6">
      <c r="A3" s="11"/>
      <c r="B3" s="14" t="s">
        <v>4</v>
      </c>
      <c r="C3" s="11"/>
      <c r="D3" s="13"/>
      <c r="E3" s="11"/>
      <c r="F3" t="e">
        <f t="array" ref="F3">PROFEXHyperlinkAddress(B3:B3)</f>
        <v>#NAME?</v>
      </c>
    </row>
    <row r="4" spans="1:6">
      <c r="A4" s="11"/>
      <c r="B4" s="12"/>
      <c r="C4" s="11"/>
      <c r="D4" s="13"/>
      <c r="E4" s="11"/>
      <c r="F4" t="e">
        <f t="array" ref="F4">PROFEXHyperlinkAddress(B4:B4)</f>
        <v>#NAME?</v>
      </c>
    </row>
    <row r="5" ht="25.5" spans="1:6">
      <c r="A5" s="15"/>
      <c r="B5" s="14" t="s">
        <v>5</v>
      </c>
      <c r="C5" s="15"/>
      <c r="D5" s="16"/>
      <c r="E5" s="15"/>
      <c r="F5" t="e">
        <f t="array" ref="F5">PROFEXHyperlinkAddress(B5:B5)</f>
        <v>#NAME?</v>
      </c>
    </row>
    <row r="6" ht="225" spans="1:6">
      <c r="A6" s="17">
        <v>5670097</v>
      </c>
      <c r="B6" s="18" t="s">
        <v>6</v>
      </c>
      <c r="C6" s="17" t="s">
        <v>1</v>
      </c>
      <c r="D6" s="19" t="s">
        <v>7</v>
      </c>
      <c r="E6" s="17" t="s">
        <v>8</v>
      </c>
      <c r="F6" t="e">
        <f t="array" ref="F6">PROFEXHyperlinkAddress(B6:B6)</f>
        <v>#NAME?</v>
      </c>
    </row>
    <row r="7" spans="1:6">
      <c r="A7" s="11"/>
      <c r="B7" s="12"/>
      <c r="C7" s="11"/>
      <c r="D7" s="13"/>
      <c r="E7" s="11"/>
      <c r="F7" t="e">
        <f t="array" ref="F7">PROFEXHyperlinkAddress(B7:B7)</f>
        <v>#NAME?</v>
      </c>
    </row>
    <row r="8" ht="57.75" spans="1:6">
      <c r="A8" s="11"/>
      <c r="B8" s="14" t="s">
        <v>4</v>
      </c>
      <c r="C8" s="11"/>
      <c r="D8" s="13"/>
      <c r="E8" s="11"/>
      <c r="F8" t="e">
        <f t="array" ref="F8">PROFEXHyperlinkAddress(B8:B8)</f>
        <v>#NAME?</v>
      </c>
    </row>
    <row r="9" spans="1:6">
      <c r="A9" s="11"/>
      <c r="B9" s="12"/>
      <c r="C9" s="11"/>
      <c r="D9" s="13"/>
      <c r="E9" s="11"/>
      <c r="F9" t="e">
        <f t="array" ref="F9">PROFEXHyperlinkAddress(B9:B9)</f>
        <v>#NAME?</v>
      </c>
    </row>
    <row r="10" ht="25.5" spans="1:6">
      <c r="A10" s="15"/>
      <c r="B10" s="14" t="s">
        <v>5</v>
      </c>
      <c r="C10" s="15"/>
      <c r="D10" s="16"/>
      <c r="E10" s="15"/>
      <c r="F10" t="e">
        <f t="array" ref="F10">PROFEXHyperlinkAddress(B10:B10)</f>
        <v>#NAME?</v>
      </c>
    </row>
    <row r="11" ht="135" spans="1:6">
      <c r="A11" s="17">
        <v>5662097</v>
      </c>
      <c r="B11" s="18" t="s">
        <v>9</v>
      </c>
      <c r="C11" s="17" t="s">
        <v>1</v>
      </c>
      <c r="D11" s="19" t="s">
        <v>2</v>
      </c>
      <c r="E11" s="17" t="s">
        <v>10</v>
      </c>
      <c r="F11" t="e">
        <f t="array" ref="F11">PROFEXHyperlinkAddress(B11:B11)</f>
        <v>#NAME?</v>
      </c>
    </row>
    <row r="12" spans="1:6">
      <c r="A12" s="11"/>
      <c r="B12" s="12"/>
      <c r="C12" s="11"/>
      <c r="D12" s="13"/>
      <c r="E12" s="11"/>
      <c r="F12" t="e">
        <f t="array" ref="F12">PROFEXHyperlinkAddress(B12:B12)</f>
        <v>#NAME?</v>
      </c>
    </row>
    <row r="13" ht="57.75" spans="1:6">
      <c r="A13" s="11"/>
      <c r="B13" s="14" t="s">
        <v>4</v>
      </c>
      <c r="C13" s="11"/>
      <c r="D13" s="13"/>
      <c r="E13" s="11"/>
      <c r="F13" t="e">
        <f t="array" ref="F13">PROFEXHyperlinkAddress(B13:B13)</f>
        <v>#NAME?</v>
      </c>
    </row>
    <row r="14" spans="1:6">
      <c r="A14" s="11"/>
      <c r="B14" s="12"/>
      <c r="C14" s="11"/>
      <c r="D14" s="13"/>
      <c r="E14" s="11"/>
      <c r="F14" t="e">
        <f t="array" ref="F14">PROFEXHyperlinkAddress(B14:B14)</f>
        <v>#NAME?</v>
      </c>
    </row>
    <row r="15" ht="25.5" spans="1:6">
      <c r="A15" s="15"/>
      <c r="B15" s="14" t="s">
        <v>5</v>
      </c>
      <c r="C15" s="15"/>
      <c r="D15" s="16"/>
      <c r="E15" s="15"/>
      <c r="F15" t="e">
        <f t="array" ref="F15">PROFEXHyperlinkAddress(B15:B15)</f>
        <v>#NAME?</v>
      </c>
    </row>
    <row r="16" ht="60" spans="1:6">
      <c r="A16" s="17">
        <v>5657097</v>
      </c>
      <c r="B16" s="18" t="s">
        <v>11</v>
      </c>
      <c r="C16" s="17" t="s">
        <v>1</v>
      </c>
      <c r="D16" s="19" t="s">
        <v>2</v>
      </c>
      <c r="E16" s="17" t="s">
        <v>12</v>
      </c>
      <c r="F16" t="e">
        <f t="array" ref="F16">PROFEXHyperlinkAddress(B16:B16)</f>
        <v>#NAME?</v>
      </c>
    </row>
    <row r="17" spans="1:6">
      <c r="A17" s="11"/>
      <c r="B17" s="12"/>
      <c r="C17" s="11"/>
      <c r="D17" s="13"/>
      <c r="E17" s="11"/>
      <c r="F17" t="e">
        <f t="array" ref="F17">PROFEXHyperlinkAddress(B17:B17)</f>
        <v>#NAME?</v>
      </c>
    </row>
    <row r="18" ht="57.75" spans="1:6">
      <c r="A18" s="11"/>
      <c r="B18" s="14" t="s">
        <v>4</v>
      </c>
      <c r="C18" s="11"/>
      <c r="D18" s="13"/>
      <c r="E18" s="11"/>
      <c r="F18" t="e">
        <f t="array" ref="F18">PROFEXHyperlinkAddress(B18:B18)</f>
        <v>#NAME?</v>
      </c>
    </row>
    <row r="19" spans="1:6">
      <c r="A19" s="11"/>
      <c r="B19" s="12"/>
      <c r="C19" s="11"/>
      <c r="D19" s="13"/>
      <c r="E19" s="11"/>
      <c r="F19" t="e">
        <f t="array" ref="F19">PROFEXHyperlinkAddress(B19:B19)</f>
        <v>#NAME?</v>
      </c>
    </row>
    <row r="20" ht="25.5" spans="1:6">
      <c r="A20" s="15"/>
      <c r="B20" s="14" t="s">
        <v>13</v>
      </c>
      <c r="C20" s="15"/>
      <c r="D20" s="16"/>
      <c r="E20" s="15"/>
      <c r="F20" t="e">
        <f t="array" ref="F20">PROFEXHyperlinkAddress(B20:B20)</f>
        <v>#NAME?</v>
      </c>
    </row>
    <row r="21" ht="105" spans="1:6">
      <c r="A21" s="17">
        <v>5643097</v>
      </c>
      <c r="B21" s="18" t="s">
        <v>14</v>
      </c>
      <c r="C21" s="17" t="s">
        <v>1</v>
      </c>
      <c r="D21" s="19" t="s">
        <v>2</v>
      </c>
      <c r="E21" s="17" t="s">
        <v>15</v>
      </c>
      <c r="F21" t="e">
        <f t="array" ref="F21">PROFEXHyperlinkAddress(B21:B21)</f>
        <v>#NAME?</v>
      </c>
    </row>
    <row r="22" spans="1:6">
      <c r="A22" s="11"/>
      <c r="B22" s="12"/>
      <c r="C22" s="11"/>
      <c r="D22" s="13"/>
      <c r="E22" s="11"/>
      <c r="F22" t="e">
        <f t="array" ref="F22">PROFEXHyperlinkAddress(B22:B22)</f>
        <v>#NAME?</v>
      </c>
    </row>
    <row r="23" ht="57.75" spans="1:6">
      <c r="A23" s="11"/>
      <c r="B23" s="14" t="s">
        <v>16</v>
      </c>
      <c r="C23" s="11"/>
      <c r="D23" s="13"/>
      <c r="E23" s="11"/>
      <c r="F23" t="e">
        <f t="array" ref="F23">PROFEXHyperlinkAddress(B23:B23)</f>
        <v>#NAME?</v>
      </c>
    </row>
    <row r="24" spans="1:6">
      <c r="A24" s="11"/>
      <c r="B24" s="12"/>
      <c r="C24" s="11"/>
      <c r="D24" s="13"/>
      <c r="E24" s="11"/>
      <c r="F24" t="e">
        <f t="array" ref="F24">PROFEXHyperlinkAddress(B24:B24)</f>
        <v>#NAME?</v>
      </c>
    </row>
    <row r="25" ht="25.5" spans="1:6">
      <c r="A25" s="15"/>
      <c r="B25" s="14" t="s">
        <v>17</v>
      </c>
      <c r="C25" s="15"/>
      <c r="D25" s="16"/>
      <c r="E25" s="15"/>
      <c r="F25" t="e">
        <f t="array" ref="F25">PROFEXHyperlinkAddress(B25:B25)</f>
        <v>#NAME?</v>
      </c>
    </row>
    <row r="26" ht="165" spans="1:6">
      <c r="A26" s="17">
        <v>5639097</v>
      </c>
      <c r="B26" s="18" t="s">
        <v>18</v>
      </c>
      <c r="C26" s="17" t="s">
        <v>1</v>
      </c>
      <c r="D26" s="19" t="s">
        <v>7</v>
      </c>
      <c r="E26" s="17" t="s">
        <v>10</v>
      </c>
      <c r="F26" t="e">
        <f t="array" ref="F26">PROFEXHyperlinkAddress(B26:B26)</f>
        <v>#NAME?</v>
      </c>
    </row>
    <row r="27" spans="1:6">
      <c r="A27" s="11"/>
      <c r="B27" s="12"/>
      <c r="C27" s="11"/>
      <c r="D27" s="13"/>
      <c r="E27" s="11"/>
      <c r="F27" t="e">
        <f t="array" ref="F27">PROFEXHyperlinkAddress(B27:B27)</f>
        <v>#NAME?</v>
      </c>
    </row>
    <row r="28" ht="57.75" spans="1:6">
      <c r="A28" s="11"/>
      <c r="B28" s="14" t="s">
        <v>4</v>
      </c>
      <c r="C28" s="11"/>
      <c r="D28" s="13"/>
      <c r="E28" s="11"/>
      <c r="F28" t="e">
        <f t="array" ref="F28">PROFEXHyperlinkAddress(B28:B28)</f>
        <v>#NAME?</v>
      </c>
    </row>
    <row r="29" spans="1:6">
      <c r="A29" s="11"/>
      <c r="B29" s="12"/>
      <c r="C29" s="11"/>
      <c r="D29" s="13"/>
      <c r="E29" s="11"/>
      <c r="F29" t="e">
        <f t="array" ref="F29">PROFEXHyperlinkAddress(B29:B29)</f>
        <v>#NAME?</v>
      </c>
    </row>
    <row r="30" ht="25.5" spans="1:6">
      <c r="A30" s="15"/>
      <c r="B30" s="14" t="s">
        <v>5</v>
      </c>
      <c r="C30" s="15"/>
      <c r="D30" s="16"/>
      <c r="E30" s="15"/>
      <c r="F30" t="e">
        <f t="array" ref="F30">PROFEXHyperlinkAddress(B30:B30)</f>
        <v>#NAME?</v>
      </c>
    </row>
    <row r="31" ht="315" spans="1:6">
      <c r="A31" s="17">
        <v>5636097</v>
      </c>
      <c r="B31" s="18" t="s">
        <v>19</v>
      </c>
      <c r="C31" s="17" t="s">
        <v>1</v>
      </c>
      <c r="D31" s="19" t="s">
        <v>2</v>
      </c>
      <c r="E31" s="17" t="s">
        <v>20</v>
      </c>
      <c r="F31" t="e">
        <f t="array" ref="F31">PROFEXHyperlinkAddress(B31:B31)</f>
        <v>#NAME?</v>
      </c>
    </row>
    <row r="32" spans="1:6">
      <c r="A32" s="11"/>
      <c r="B32" s="12"/>
      <c r="C32" s="11"/>
      <c r="D32" s="13"/>
      <c r="E32" s="11"/>
      <c r="F32" t="e">
        <f t="array" ref="F32">PROFEXHyperlinkAddress(B32:B32)</f>
        <v>#NAME?</v>
      </c>
    </row>
    <row r="33" ht="57.75" spans="1:6">
      <c r="A33" s="11"/>
      <c r="B33" s="14" t="s">
        <v>21</v>
      </c>
      <c r="C33" s="11"/>
      <c r="D33" s="13"/>
      <c r="E33" s="11"/>
      <c r="F33" t="e">
        <f t="array" ref="F33">PROFEXHyperlinkAddress(B33:B33)</f>
        <v>#NAME?</v>
      </c>
    </row>
    <row r="34" spans="1:6">
      <c r="A34" s="11"/>
      <c r="B34" s="12"/>
      <c r="C34" s="11"/>
      <c r="D34" s="13"/>
      <c r="E34" s="11"/>
      <c r="F34" t="e">
        <f t="array" ref="F34">PROFEXHyperlinkAddress(B34:B34)</f>
        <v>#NAME?</v>
      </c>
    </row>
    <row r="35" ht="25.5" spans="1:6">
      <c r="A35" s="15"/>
      <c r="B35" s="14" t="s">
        <v>5</v>
      </c>
      <c r="C35" s="15"/>
      <c r="D35" s="16"/>
      <c r="E35" s="15"/>
      <c r="F35" t="e">
        <f t="array" ref="F35">PROFEXHyperlinkAddress(B35:B35)</f>
        <v>#NAME?</v>
      </c>
    </row>
    <row r="36" ht="90" spans="1:6">
      <c r="A36" s="17">
        <v>5635097</v>
      </c>
      <c r="B36" s="18" t="s">
        <v>22</v>
      </c>
      <c r="C36" s="17" t="s">
        <v>1</v>
      </c>
      <c r="D36" s="19" t="s">
        <v>7</v>
      </c>
      <c r="E36" s="17" t="s">
        <v>12</v>
      </c>
      <c r="F36" t="e">
        <f t="array" ref="F36">PROFEXHyperlinkAddress(B36:B36)</f>
        <v>#NAME?</v>
      </c>
    </row>
    <row r="37" spans="1:6">
      <c r="A37" s="11"/>
      <c r="B37" s="12"/>
      <c r="C37" s="11"/>
      <c r="D37" s="13"/>
      <c r="E37" s="11"/>
      <c r="F37" t="e">
        <f t="array" ref="F37">PROFEXHyperlinkAddress(B37:B37)</f>
        <v>#NAME?</v>
      </c>
    </row>
    <row r="38" ht="57.75" spans="1:6">
      <c r="A38" s="11"/>
      <c r="B38" s="14" t="s">
        <v>16</v>
      </c>
      <c r="C38" s="11"/>
      <c r="D38" s="13"/>
      <c r="E38" s="11"/>
      <c r="F38" t="e">
        <f t="array" ref="F38">PROFEXHyperlinkAddress(B38:B38)</f>
        <v>#NAME?</v>
      </c>
    </row>
    <row r="39" spans="1:6">
      <c r="A39" s="11"/>
      <c r="B39" s="12"/>
      <c r="C39" s="11"/>
      <c r="D39" s="13"/>
      <c r="E39" s="11"/>
      <c r="F39" t="e">
        <f t="array" ref="F39">PROFEXHyperlinkAddress(B39:B39)</f>
        <v>#NAME?</v>
      </c>
    </row>
    <row r="40" ht="25.5" spans="1:6">
      <c r="A40" s="15"/>
      <c r="B40" s="14" t="s">
        <v>5</v>
      </c>
      <c r="C40" s="15"/>
      <c r="D40" s="16"/>
      <c r="E40" s="15"/>
      <c r="F40" t="e">
        <f t="array" ref="F40">PROFEXHyperlinkAddress(B40:B40)</f>
        <v>#NAME?</v>
      </c>
    </row>
    <row r="41" ht="180" spans="1:6">
      <c r="A41" s="17">
        <v>5634097</v>
      </c>
      <c r="B41" s="18" t="s">
        <v>23</v>
      </c>
      <c r="C41" s="17" t="s">
        <v>1</v>
      </c>
      <c r="D41" s="19" t="s">
        <v>2</v>
      </c>
      <c r="E41" s="17" t="s">
        <v>24</v>
      </c>
      <c r="F41" t="e">
        <f t="array" ref="F41">PROFEXHyperlinkAddress(B41:B41)</f>
        <v>#NAME?</v>
      </c>
    </row>
    <row r="42" spans="1:6">
      <c r="A42" s="11"/>
      <c r="B42" s="12"/>
      <c r="C42" s="11"/>
      <c r="D42" s="13"/>
      <c r="E42" s="11"/>
      <c r="F42" t="e">
        <f t="array" ref="F42">PROFEXHyperlinkAddress(B42:B42)</f>
        <v>#NAME?</v>
      </c>
    </row>
    <row r="43" ht="57.75" spans="1:6">
      <c r="A43" s="11"/>
      <c r="B43" s="14" t="s">
        <v>21</v>
      </c>
      <c r="C43" s="11"/>
      <c r="D43" s="13"/>
      <c r="E43" s="11"/>
      <c r="F43" t="e">
        <f t="array" ref="F43">PROFEXHyperlinkAddress(B43:B43)</f>
        <v>#NAME?</v>
      </c>
    </row>
    <row r="44" spans="1:6">
      <c r="A44" s="11"/>
      <c r="B44" s="12"/>
      <c r="C44" s="11"/>
      <c r="D44" s="13"/>
      <c r="E44" s="11"/>
      <c r="F44" t="e">
        <f t="array" ref="F44">PROFEXHyperlinkAddress(B44:B44)</f>
        <v>#NAME?</v>
      </c>
    </row>
    <row r="45" ht="25.5" spans="1:6">
      <c r="A45" s="15"/>
      <c r="B45" s="14" t="s">
        <v>5</v>
      </c>
      <c r="C45" s="15"/>
      <c r="D45" s="16"/>
      <c r="E45" s="15"/>
      <c r="F45" t="e">
        <f t="array" ref="F45">PROFEXHyperlinkAddress(B45:B45)</f>
        <v>#NAME?</v>
      </c>
    </row>
    <row r="46" ht="135" spans="1:6">
      <c r="A46" s="17">
        <v>5631097</v>
      </c>
      <c r="B46" s="18" t="s">
        <v>25</v>
      </c>
      <c r="C46" s="17" t="s">
        <v>1</v>
      </c>
      <c r="D46" s="19" t="s">
        <v>2</v>
      </c>
      <c r="E46" s="17" t="s">
        <v>26</v>
      </c>
      <c r="F46" t="e">
        <f t="array" ref="F46">PROFEXHyperlinkAddress(B46:B46)</f>
        <v>#NAME?</v>
      </c>
    </row>
    <row r="47" spans="1:6">
      <c r="A47" s="11"/>
      <c r="B47" s="12"/>
      <c r="C47" s="11"/>
      <c r="D47" s="13"/>
      <c r="E47" s="11"/>
      <c r="F47" t="e">
        <f t="array" ref="F47">PROFEXHyperlinkAddress(B47:B47)</f>
        <v>#NAME?</v>
      </c>
    </row>
    <row r="48" ht="57.75" spans="1:6">
      <c r="A48" s="11"/>
      <c r="B48" s="14" t="s">
        <v>21</v>
      </c>
      <c r="C48" s="11"/>
      <c r="D48" s="13"/>
      <c r="E48" s="11"/>
      <c r="F48" t="e">
        <f t="array" ref="F48">PROFEXHyperlinkAddress(B48:B48)</f>
        <v>#NAME?</v>
      </c>
    </row>
    <row r="49" spans="1:6">
      <c r="A49" s="11"/>
      <c r="B49" s="12"/>
      <c r="C49" s="11"/>
      <c r="D49" s="13"/>
      <c r="E49" s="11"/>
      <c r="F49" t="e">
        <f t="array" ref="F49">PROFEXHyperlinkAddress(B49:B49)</f>
        <v>#NAME?</v>
      </c>
    </row>
    <row r="50" ht="25.5" spans="1:6">
      <c r="A50" s="15"/>
      <c r="B50" s="14" t="s">
        <v>5</v>
      </c>
      <c r="C50" s="15"/>
      <c r="D50" s="16"/>
      <c r="E50" s="15"/>
      <c r="F50" t="e">
        <f t="array" ref="F50">PROFEXHyperlinkAddress(B50:B50)</f>
        <v>#NAME?</v>
      </c>
    </row>
    <row r="51" ht="150" spans="1:6">
      <c r="A51" s="17">
        <v>5628097</v>
      </c>
      <c r="B51" s="18" t="s">
        <v>27</v>
      </c>
      <c r="C51" s="17" t="s">
        <v>1</v>
      </c>
      <c r="D51" s="19" t="s">
        <v>2</v>
      </c>
      <c r="E51" s="17" t="s">
        <v>28</v>
      </c>
      <c r="F51" t="e">
        <f t="array" ref="F51">PROFEXHyperlinkAddress(B51:B51)</f>
        <v>#NAME?</v>
      </c>
    </row>
    <row r="52" spans="1:6">
      <c r="A52" s="11"/>
      <c r="B52" s="12"/>
      <c r="C52" s="11"/>
      <c r="D52" s="13"/>
      <c r="E52" s="11"/>
      <c r="F52" t="e">
        <f t="array" ref="F52">PROFEXHyperlinkAddress(B52:B52)</f>
        <v>#NAME?</v>
      </c>
    </row>
    <row r="53" ht="57.75" spans="1:6">
      <c r="A53" s="11"/>
      <c r="B53" s="14" t="s">
        <v>21</v>
      </c>
      <c r="C53" s="11"/>
      <c r="D53" s="13"/>
      <c r="E53" s="11"/>
      <c r="F53" t="e">
        <f t="array" ref="F53">PROFEXHyperlinkAddress(B53:B53)</f>
        <v>#NAME?</v>
      </c>
    </row>
    <row r="54" spans="1:6">
      <c r="A54" s="11"/>
      <c r="B54" s="12"/>
      <c r="C54" s="11"/>
      <c r="D54" s="13"/>
      <c r="E54" s="11"/>
      <c r="F54" t="e">
        <f t="array" ref="F54">PROFEXHyperlinkAddress(B54:B54)</f>
        <v>#NAME?</v>
      </c>
    </row>
    <row r="55" ht="25.5" spans="1:6">
      <c r="A55" s="15"/>
      <c r="B55" s="14" t="s">
        <v>29</v>
      </c>
      <c r="C55" s="15"/>
      <c r="D55" s="16"/>
      <c r="E55" s="15"/>
      <c r="F55" t="e">
        <f t="array" ref="F55">PROFEXHyperlinkAddress(B55:B55)</f>
        <v>#NAME?</v>
      </c>
    </row>
    <row r="56" ht="135" spans="1:6">
      <c r="A56" s="17">
        <v>5624097</v>
      </c>
      <c r="B56" s="18" t="s">
        <v>30</v>
      </c>
      <c r="C56" s="17" t="s">
        <v>1</v>
      </c>
      <c r="D56" s="19" t="s">
        <v>7</v>
      </c>
      <c r="E56" s="17" t="s">
        <v>15</v>
      </c>
      <c r="F56" t="e">
        <f t="array" ref="F56">PROFEXHyperlinkAddress(B56:B56)</f>
        <v>#NAME?</v>
      </c>
    </row>
    <row r="57" spans="1:6">
      <c r="A57" s="11"/>
      <c r="B57" s="12"/>
      <c r="C57" s="11"/>
      <c r="D57" s="13"/>
      <c r="E57" s="11"/>
      <c r="F57" t="e">
        <f t="array" ref="F57">PROFEXHyperlinkAddress(B57:B57)</f>
        <v>#NAME?</v>
      </c>
    </row>
    <row r="58" ht="57.75" spans="1:6">
      <c r="A58" s="11"/>
      <c r="B58" s="14" t="s">
        <v>4</v>
      </c>
      <c r="C58" s="11"/>
      <c r="D58" s="13"/>
      <c r="E58" s="11"/>
      <c r="F58" t="e">
        <f t="array" ref="F58">PROFEXHyperlinkAddress(B58:B58)</f>
        <v>#NAME?</v>
      </c>
    </row>
    <row r="59" spans="1:6">
      <c r="A59" s="11"/>
      <c r="B59" s="12"/>
      <c r="C59" s="11"/>
      <c r="D59" s="13"/>
      <c r="E59" s="11"/>
      <c r="F59" t="e">
        <f t="array" ref="F59">PROFEXHyperlinkAddress(B59:B59)</f>
        <v>#NAME?</v>
      </c>
    </row>
    <row r="60" ht="25.5" spans="1:6">
      <c r="A60" s="15"/>
      <c r="B60" s="14" t="s">
        <v>5</v>
      </c>
      <c r="C60" s="15"/>
      <c r="D60" s="16"/>
      <c r="E60" s="15"/>
      <c r="F60" t="e">
        <f t="array" ref="F60">PROFEXHyperlinkAddress(B60:B60)</f>
        <v>#NAME?</v>
      </c>
    </row>
    <row r="61" ht="135" spans="1:6">
      <c r="A61" s="17">
        <v>5623097</v>
      </c>
      <c r="B61" s="18" t="s">
        <v>31</v>
      </c>
      <c r="C61" s="17" t="s">
        <v>1</v>
      </c>
      <c r="D61" s="19" t="s">
        <v>2</v>
      </c>
      <c r="E61" s="17" t="s">
        <v>32</v>
      </c>
      <c r="F61" t="e">
        <f t="array" ref="F61">PROFEXHyperlinkAddress(B61:B61)</f>
        <v>#NAME?</v>
      </c>
    </row>
    <row r="62" spans="1:6">
      <c r="A62" s="11"/>
      <c r="B62" s="12"/>
      <c r="C62" s="11"/>
      <c r="D62" s="13"/>
      <c r="E62" s="11"/>
      <c r="F62" t="e">
        <f t="array" ref="F62">PROFEXHyperlinkAddress(B62:B62)</f>
        <v>#NAME?</v>
      </c>
    </row>
    <row r="63" ht="57.75" spans="1:6">
      <c r="A63" s="11"/>
      <c r="B63" s="14" t="s">
        <v>16</v>
      </c>
      <c r="C63" s="11"/>
      <c r="D63" s="13"/>
      <c r="E63" s="11"/>
      <c r="F63" t="e">
        <f t="array" ref="F63">PROFEXHyperlinkAddress(B63:B63)</f>
        <v>#NAME?</v>
      </c>
    </row>
    <row r="64" spans="1:6">
      <c r="A64" s="11"/>
      <c r="B64" s="12"/>
      <c r="C64" s="11"/>
      <c r="D64" s="13"/>
      <c r="E64" s="11"/>
      <c r="F64" t="e">
        <f t="array" ref="F64">PROFEXHyperlinkAddress(B64:B64)</f>
        <v>#NAME?</v>
      </c>
    </row>
    <row r="65" ht="25.5" spans="1:6">
      <c r="A65" s="15"/>
      <c r="B65" s="14" t="s">
        <v>33</v>
      </c>
      <c r="C65" s="15"/>
      <c r="D65" s="16"/>
      <c r="E65" s="15"/>
      <c r="F65" t="e">
        <f t="array" ref="F65">PROFEXHyperlinkAddress(B65:B65)</f>
        <v>#NAME?</v>
      </c>
    </row>
    <row r="66" ht="135" spans="1:6">
      <c r="A66" s="17">
        <v>5619097</v>
      </c>
      <c r="B66" s="18" t="s">
        <v>34</v>
      </c>
      <c r="C66" s="17" t="s">
        <v>1</v>
      </c>
      <c r="D66" s="19" t="s">
        <v>2</v>
      </c>
      <c r="E66" s="17" t="s">
        <v>35</v>
      </c>
      <c r="F66" t="e">
        <f t="array" ref="F66">PROFEXHyperlinkAddress(B66:B66)</f>
        <v>#NAME?</v>
      </c>
    </row>
    <row r="67" spans="1:6">
      <c r="A67" s="11"/>
      <c r="B67" s="12"/>
      <c r="C67" s="11"/>
      <c r="D67" s="13"/>
      <c r="E67" s="11"/>
      <c r="F67" t="e">
        <f t="array" ref="F67">PROFEXHyperlinkAddress(B67:B67)</f>
        <v>#NAME?</v>
      </c>
    </row>
    <row r="68" ht="57.75" spans="1:6">
      <c r="A68" s="11"/>
      <c r="B68" s="14" t="s">
        <v>16</v>
      </c>
      <c r="C68" s="11"/>
      <c r="D68" s="13"/>
      <c r="E68" s="11"/>
      <c r="F68" t="e">
        <f t="array" ref="F68">PROFEXHyperlinkAddress(B68:B68)</f>
        <v>#NAME?</v>
      </c>
    </row>
    <row r="69" spans="1:6">
      <c r="A69" s="11"/>
      <c r="B69" s="12"/>
      <c r="C69" s="11"/>
      <c r="D69" s="13"/>
      <c r="E69" s="11"/>
      <c r="F69" t="e">
        <f t="array" ref="F69">PROFEXHyperlinkAddress(B69:B69)</f>
        <v>#NAME?</v>
      </c>
    </row>
    <row r="70" ht="25.5" spans="1:6">
      <c r="A70" s="15"/>
      <c r="B70" s="14" t="s">
        <v>36</v>
      </c>
      <c r="C70" s="15"/>
      <c r="D70" s="16"/>
      <c r="E70" s="15"/>
      <c r="F70" t="e">
        <f t="array" ref="F70">PROFEXHyperlinkAddress(B70:B70)</f>
        <v>#NAME?</v>
      </c>
    </row>
    <row r="71" ht="165" spans="1:6">
      <c r="A71" s="17">
        <v>5618097</v>
      </c>
      <c r="B71" s="18" t="s">
        <v>37</v>
      </c>
      <c r="C71" s="17" t="s">
        <v>1</v>
      </c>
      <c r="D71" s="19" t="s">
        <v>7</v>
      </c>
      <c r="E71" s="17" t="s">
        <v>10</v>
      </c>
      <c r="F71" t="e">
        <f t="array" ref="F71">PROFEXHyperlinkAddress(B71:B71)</f>
        <v>#NAME?</v>
      </c>
    </row>
    <row r="72" spans="1:6">
      <c r="A72" s="11"/>
      <c r="B72" s="12"/>
      <c r="C72" s="11"/>
      <c r="D72" s="13"/>
      <c r="E72" s="11"/>
      <c r="F72" t="e">
        <f t="array" ref="F72">PROFEXHyperlinkAddress(B72:B72)</f>
        <v>#NAME?</v>
      </c>
    </row>
    <row r="73" ht="57.75" spans="1:6">
      <c r="A73" s="11"/>
      <c r="B73" s="14" t="s">
        <v>4</v>
      </c>
      <c r="C73" s="11"/>
      <c r="D73" s="13"/>
      <c r="E73" s="11"/>
      <c r="F73" t="e">
        <f t="array" ref="F73">PROFEXHyperlinkAddress(B73:B73)</f>
        <v>#NAME?</v>
      </c>
    </row>
    <row r="74" spans="1:6">
      <c r="A74" s="11"/>
      <c r="B74" s="12"/>
      <c r="C74" s="11"/>
      <c r="D74" s="13"/>
      <c r="E74" s="11"/>
      <c r="F74" t="e">
        <f t="array" ref="F74">PROFEXHyperlinkAddress(B74:B74)</f>
        <v>#NAME?</v>
      </c>
    </row>
    <row r="75" ht="25.5" spans="1:6">
      <c r="A75" s="15"/>
      <c r="B75" s="14" t="s">
        <v>5</v>
      </c>
      <c r="C75" s="15"/>
      <c r="D75" s="16"/>
      <c r="E75" s="15"/>
      <c r="F75" t="e">
        <f t="array" ref="F75">PROFEXHyperlinkAddress(B75:B75)</f>
        <v>#NAME?</v>
      </c>
    </row>
    <row r="76" ht="255" spans="1:6">
      <c r="A76" s="17">
        <v>5611097</v>
      </c>
      <c r="B76" s="18" t="s">
        <v>38</v>
      </c>
      <c r="C76" s="17" t="s">
        <v>1</v>
      </c>
      <c r="D76" s="19" t="s">
        <v>7</v>
      </c>
      <c r="E76" s="17" t="s">
        <v>39</v>
      </c>
      <c r="F76" t="e">
        <f t="array" ref="F76">PROFEXHyperlinkAddress(B76:B76)</f>
        <v>#NAME?</v>
      </c>
    </row>
    <row r="77" spans="1:6">
      <c r="A77" s="11"/>
      <c r="B77" s="12"/>
      <c r="C77" s="11"/>
      <c r="D77" s="13"/>
      <c r="E77" s="11"/>
      <c r="F77" t="e">
        <f t="array" ref="F77">PROFEXHyperlinkAddress(B77:B77)</f>
        <v>#NAME?</v>
      </c>
    </row>
    <row r="78" ht="57.75" spans="1:6">
      <c r="A78" s="11"/>
      <c r="B78" s="14" t="s">
        <v>16</v>
      </c>
      <c r="C78" s="11"/>
      <c r="D78" s="13"/>
      <c r="E78" s="11"/>
      <c r="F78" t="e">
        <f t="array" ref="F78">PROFEXHyperlinkAddress(B78:B78)</f>
        <v>#NAME?</v>
      </c>
    </row>
    <row r="79" spans="1:6">
      <c r="A79" s="11"/>
      <c r="B79" s="12"/>
      <c r="C79" s="11"/>
      <c r="D79" s="13"/>
      <c r="E79" s="11"/>
      <c r="F79" t="e">
        <f t="array" ref="F79">PROFEXHyperlinkAddress(B79:B79)</f>
        <v>#NAME?</v>
      </c>
    </row>
    <row r="80" ht="25.5" spans="1:6">
      <c r="A80" s="15"/>
      <c r="B80" s="14" t="s">
        <v>5</v>
      </c>
      <c r="C80" s="15"/>
      <c r="D80" s="16"/>
      <c r="E80" s="15"/>
      <c r="F80" t="e">
        <f t="array" ref="F80">PROFEXHyperlinkAddress(B80:B80)</f>
        <v>#NAME?</v>
      </c>
    </row>
    <row r="81" ht="225" spans="1:6">
      <c r="A81" s="17">
        <v>5610097</v>
      </c>
      <c r="B81" s="18" t="s">
        <v>40</v>
      </c>
      <c r="C81" s="17" t="s">
        <v>1</v>
      </c>
      <c r="D81" s="19" t="s">
        <v>7</v>
      </c>
      <c r="E81" s="17" t="s">
        <v>3</v>
      </c>
      <c r="F81" t="e">
        <f t="array" ref="F81">PROFEXHyperlinkAddress(B81:B81)</f>
        <v>#NAME?</v>
      </c>
    </row>
    <row r="82" spans="1:6">
      <c r="A82" s="11"/>
      <c r="B82" s="12"/>
      <c r="C82" s="11"/>
      <c r="D82" s="13"/>
      <c r="E82" s="11"/>
      <c r="F82" t="e">
        <f t="array" ref="F82">PROFEXHyperlinkAddress(B82:B82)</f>
        <v>#NAME?</v>
      </c>
    </row>
    <row r="83" ht="57.75" spans="1:6">
      <c r="A83" s="11"/>
      <c r="B83" s="14" t="s">
        <v>16</v>
      </c>
      <c r="C83" s="11"/>
      <c r="D83" s="13"/>
      <c r="E83" s="11"/>
      <c r="F83" t="e">
        <f t="array" ref="F83">PROFEXHyperlinkAddress(B83:B83)</f>
        <v>#NAME?</v>
      </c>
    </row>
    <row r="84" spans="1:6">
      <c r="A84" s="11"/>
      <c r="B84" s="12"/>
      <c r="C84" s="11"/>
      <c r="D84" s="13"/>
      <c r="E84" s="11"/>
      <c r="F84" t="e">
        <f t="array" ref="F84">PROFEXHyperlinkAddress(B84:B84)</f>
        <v>#NAME?</v>
      </c>
    </row>
    <row r="85" ht="25.5" spans="1:6">
      <c r="A85" s="15"/>
      <c r="B85" s="14" t="s">
        <v>5</v>
      </c>
      <c r="C85" s="15"/>
      <c r="D85" s="16"/>
      <c r="E85" s="15"/>
      <c r="F85" t="e">
        <f t="array" ref="F85">PROFEXHyperlinkAddress(B85:B85)</f>
        <v>#NAME?</v>
      </c>
    </row>
    <row r="86" ht="120" spans="1:6">
      <c r="A86" s="17">
        <v>5609097</v>
      </c>
      <c r="B86" s="18" t="s">
        <v>41</v>
      </c>
      <c r="C86" s="17" t="s">
        <v>1</v>
      </c>
      <c r="D86" s="19" t="s">
        <v>2</v>
      </c>
      <c r="E86" s="17" t="s">
        <v>42</v>
      </c>
      <c r="F86" t="e">
        <f t="array" ref="F86">PROFEXHyperlinkAddress(B86:B86)</f>
        <v>#NAME?</v>
      </c>
    </row>
    <row r="87" spans="1:6">
      <c r="A87" s="11"/>
      <c r="B87" s="12"/>
      <c r="C87" s="11"/>
      <c r="D87" s="13"/>
      <c r="E87" s="11"/>
      <c r="F87" t="e">
        <f t="array" ref="F87">PROFEXHyperlinkAddress(B87:B87)</f>
        <v>#NAME?</v>
      </c>
    </row>
    <row r="88" ht="57.75" spans="1:6">
      <c r="A88" s="11"/>
      <c r="B88" s="14" t="s">
        <v>4</v>
      </c>
      <c r="C88" s="11"/>
      <c r="D88" s="13"/>
      <c r="E88" s="11"/>
      <c r="F88" t="e">
        <f t="array" ref="F88">PROFEXHyperlinkAddress(B88:B88)</f>
        <v>#NAME?</v>
      </c>
    </row>
    <row r="89" spans="1:6">
      <c r="A89" s="11"/>
      <c r="B89" s="12"/>
      <c r="C89" s="11"/>
      <c r="D89" s="13"/>
      <c r="E89" s="11"/>
      <c r="F89" t="e">
        <f t="array" ref="F89">PROFEXHyperlinkAddress(B89:B89)</f>
        <v>#NAME?</v>
      </c>
    </row>
    <row r="90" ht="25.5" spans="1:6">
      <c r="A90" s="15"/>
      <c r="B90" s="14" t="s">
        <v>43</v>
      </c>
      <c r="C90" s="15"/>
      <c r="D90" s="16"/>
      <c r="E90" s="15"/>
      <c r="F90" t="e">
        <f t="array" ref="F90">PROFEXHyperlinkAddress(B90:B90)</f>
        <v>#NAME?</v>
      </c>
    </row>
    <row r="91" ht="345" spans="1:6">
      <c r="A91" s="17">
        <v>5607097</v>
      </c>
      <c r="B91" s="18" t="s">
        <v>44</v>
      </c>
      <c r="C91" s="17" t="s">
        <v>1</v>
      </c>
      <c r="D91" s="19" t="s">
        <v>7</v>
      </c>
      <c r="E91" s="17" t="s">
        <v>20</v>
      </c>
      <c r="F91" t="e">
        <f t="array" ref="F91">PROFEXHyperlinkAddress(B91:B91)</f>
        <v>#NAME?</v>
      </c>
    </row>
    <row r="92" spans="1:6">
      <c r="A92" s="11"/>
      <c r="B92" s="12"/>
      <c r="C92" s="11"/>
      <c r="D92" s="13"/>
      <c r="E92" s="11"/>
      <c r="F92" t="e">
        <f t="array" ref="F92">PROFEXHyperlinkAddress(B92:B92)</f>
        <v>#NAME?</v>
      </c>
    </row>
    <row r="93" ht="57.75" spans="1:6">
      <c r="A93" s="11"/>
      <c r="B93" s="14" t="s">
        <v>21</v>
      </c>
      <c r="C93" s="11"/>
      <c r="D93" s="13"/>
      <c r="E93" s="11"/>
      <c r="F93" t="e">
        <f t="array" ref="F93">PROFEXHyperlinkAddress(B93:B93)</f>
        <v>#NAME?</v>
      </c>
    </row>
    <row r="94" spans="1:6">
      <c r="A94" s="11"/>
      <c r="B94" s="12"/>
      <c r="C94" s="11"/>
      <c r="D94" s="13"/>
      <c r="E94" s="11"/>
      <c r="F94" t="e">
        <f t="array" ref="F94">PROFEXHyperlinkAddress(B94:B94)</f>
        <v>#NAME?</v>
      </c>
    </row>
    <row r="95" ht="25.5" spans="1:6">
      <c r="A95" s="15"/>
      <c r="B95" s="14" t="s">
        <v>5</v>
      </c>
      <c r="C95" s="15"/>
      <c r="D95" s="16"/>
      <c r="E95" s="15"/>
      <c r="F95" t="e">
        <f t="array" ref="F95">PROFEXHyperlinkAddress(B95:B95)</f>
        <v>#NAME?</v>
      </c>
    </row>
    <row r="96" ht="240" spans="1:6">
      <c r="A96" s="17">
        <v>5606097</v>
      </c>
      <c r="B96" s="18" t="s">
        <v>45</v>
      </c>
      <c r="C96" s="17" t="s">
        <v>1</v>
      </c>
      <c r="D96" s="19" t="s">
        <v>2</v>
      </c>
      <c r="E96" s="17" t="s">
        <v>46</v>
      </c>
      <c r="F96" t="e">
        <f t="array" ref="F96">PROFEXHyperlinkAddress(B96:B96)</f>
        <v>#NAME?</v>
      </c>
    </row>
    <row r="97" spans="1:6">
      <c r="A97" s="11"/>
      <c r="B97" s="12"/>
      <c r="C97" s="11"/>
      <c r="D97" s="13"/>
      <c r="E97" s="11"/>
      <c r="F97" t="e">
        <f t="array" ref="F97">PROFEXHyperlinkAddress(B97:B97)</f>
        <v>#NAME?</v>
      </c>
    </row>
    <row r="98" ht="57.75" spans="1:6">
      <c r="A98" s="11"/>
      <c r="B98" s="14" t="s">
        <v>21</v>
      </c>
      <c r="C98" s="11"/>
      <c r="D98" s="13"/>
      <c r="E98" s="11"/>
      <c r="F98" t="e">
        <f t="array" ref="F98">PROFEXHyperlinkAddress(B98:B98)</f>
        <v>#NAME?</v>
      </c>
    </row>
    <row r="99" spans="1:6">
      <c r="A99" s="11"/>
      <c r="B99" s="12"/>
      <c r="C99" s="11"/>
      <c r="D99" s="13"/>
      <c r="E99" s="11"/>
      <c r="F99" t="e">
        <f t="array" ref="F99">PROFEXHyperlinkAddress(B99:B99)</f>
        <v>#NAME?</v>
      </c>
    </row>
    <row r="100" ht="25.5" spans="1:6">
      <c r="A100" s="15"/>
      <c r="B100" s="14" t="s">
        <v>5</v>
      </c>
      <c r="C100" s="15"/>
      <c r="D100" s="16"/>
      <c r="E100" s="15"/>
      <c r="F100" t="e">
        <f t="array" ref="F100">PROFEXHyperlinkAddress(B100:B100)</f>
        <v>#NAME?</v>
      </c>
    </row>
    <row r="101" ht="180" spans="1:6">
      <c r="A101" s="17">
        <v>5605097</v>
      </c>
      <c r="B101" s="18" t="s">
        <v>47</v>
      </c>
      <c r="C101" s="17" t="s">
        <v>1</v>
      </c>
      <c r="D101" s="19" t="s">
        <v>7</v>
      </c>
      <c r="E101" s="17" t="s">
        <v>48</v>
      </c>
      <c r="F101" t="e">
        <f t="array" ref="F101">PROFEXHyperlinkAddress(B101:B101)</f>
        <v>#NAME?</v>
      </c>
    </row>
    <row r="102" spans="1:6">
      <c r="A102" s="11"/>
      <c r="B102" s="12"/>
      <c r="C102" s="11"/>
      <c r="D102" s="13"/>
      <c r="E102" s="11"/>
      <c r="F102" t="e">
        <f t="array" ref="F102">PROFEXHyperlinkAddress(B102:B102)</f>
        <v>#NAME?</v>
      </c>
    </row>
    <row r="103" ht="57.75" spans="1:6">
      <c r="A103" s="11"/>
      <c r="B103" s="14" t="s">
        <v>21</v>
      </c>
      <c r="C103" s="11"/>
      <c r="D103" s="13"/>
      <c r="E103" s="11"/>
      <c r="F103" t="e">
        <f t="array" ref="F103">PROFEXHyperlinkAddress(B103:B103)</f>
        <v>#NAME?</v>
      </c>
    </row>
    <row r="104" spans="1:6">
      <c r="A104" s="11"/>
      <c r="B104" s="12"/>
      <c r="C104" s="11"/>
      <c r="D104" s="13"/>
      <c r="E104" s="11"/>
      <c r="F104" t="e">
        <f t="array" ref="F104">PROFEXHyperlinkAddress(B104:B104)</f>
        <v>#NAME?</v>
      </c>
    </row>
    <row r="105" ht="25.5" spans="1:6">
      <c r="A105" s="15"/>
      <c r="B105" s="14" t="s">
        <v>5</v>
      </c>
      <c r="C105" s="15"/>
      <c r="D105" s="16"/>
      <c r="E105" s="15"/>
      <c r="F105" t="e">
        <f t="array" ref="F105">PROFEXHyperlinkAddress(B105:B105)</f>
        <v>#NAME?</v>
      </c>
    </row>
    <row r="106" ht="180" spans="1:6">
      <c r="A106" s="17">
        <v>5604097</v>
      </c>
      <c r="B106" s="18" t="s">
        <v>49</v>
      </c>
      <c r="C106" s="17" t="s">
        <v>1</v>
      </c>
      <c r="D106" s="19" t="s">
        <v>7</v>
      </c>
      <c r="E106" s="17" t="s">
        <v>48</v>
      </c>
      <c r="F106" t="e">
        <f t="array" ref="F106">PROFEXHyperlinkAddress(B106:B106)</f>
        <v>#NAME?</v>
      </c>
    </row>
    <row r="107" spans="1:6">
      <c r="A107" s="11"/>
      <c r="B107" s="12"/>
      <c r="C107" s="11"/>
      <c r="D107" s="13"/>
      <c r="E107" s="11"/>
      <c r="F107" t="e">
        <f t="array" ref="F107">PROFEXHyperlinkAddress(B107:B107)</f>
        <v>#NAME?</v>
      </c>
    </row>
    <row r="108" ht="57.75" spans="1:6">
      <c r="A108" s="11"/>
      <c r="B108" s="14" t="s">
        <v>21</v>
      </c>
      <c r="C108" s="11"/>
      <c r="D108" s="13"/>
      <c r="E108" s="11"/>
      <c r="F108" t="e">
        <f t="array" ref="F108">PROFEXHyperlinkAddress(B108:B108)</f>
        <v>#NAME?</v>
      </c>
    </row>
    <row r="109" spans="1:6">
      <c r="A109" s="11"/>
      <c r="B109" s="12"/>
      <c r="C109" s="11"/>
      <c r="D109" s="13"/>
      <c r="E109" s="11"/>
      <c r="F109" t="e">
        <f t="array" ref="F109">PROFEXHyperlinkAddress(B109:B109)</f>
        <v>#NAME?</v>
      </c>
    </row>
    <row r="110" ht="25.5" spans="1:6">
      <c r="A110" s="15"/>
      <c r="B110" s="14" t="s">
        <v>5</v>
      </c>
      <c r="C110" s="15"/>
      <c r="D110" s="16"/>
      <c r="E110" s="15"/>
      <c r="F110" t="e">
        <f t="array" ref="F110">PROFEXHyperlinkAddress(B110:B110)</f>
        <v>#NAME?</v>
      </c>
    </row>
    <row r="111" ht="90" spans="1:6">
      <c r="A111" s="17">
        <v>5603097</v>
      </c>
      <c r="B111" s="18" t="s">
        <v>50</v>
      </c>
      <c r="C111" s="17" t="s">
        <v>1</v>
      </c>
      <c r="D111" s="19" t="s">
        <v>2</v>
      </c>
      <c r="E111" s="17" t="s">
        <v>51</v>
      </c>
      <c r="F111" t="e">
        <f t="array" ref="F111">PROFEXHyperlinkAddress(B111:B111)</f>
        <v>#NAME?</v>
      </c>
    </row>
    <row r="112" spans="1:6">
      <c r="A112" s="11"/>
      <c r="B112" s="12"/>
      <c r="C112" s="11"/>
      <c r="D112" s="13"/>
      <c r="E112" s="11"/>
      <c r="F112" t="e">
        <f t="array" ref="F112">PROFEXHyperlinkAddress(B112:B112)</f>
        <v>#NAME?</v>
      </c>
    </row>
    <row r="113" ht="57.75" spans="1:6">
      <c r="A113" s="11"/>
      <c r="B113" s="14" t="s">
        <v>21</v>
      </c>
      <c r="C113" s="11"/>
      <c r="D113" s="13"/>
      <c r="E113" s="11"/>
      <c r="F113" t="e">
        <f t="array" ref="F113">PROFEXHyperlinkAddress(B113:B113)</f>
        <v>#NAME?</v>
      </c>
    </row>
    <row r="114" spans="1:6">
      <c r="A114" s="11"/>
      <c r="B114" s="12"/>
      <c r="C114" s="11"/>
      <c r="D114" s="13"/>
      <c r="E114" s="11"/>
      <c r="F114" t="e">
        <f t="array" ref="F114">PROFEXHyperlinkAddress(B114:B114)</f>
        <v>#NAME?</v>
      </c>
    </row>
    <row r="115" ht="25.5" spans="1:6">
      <c r="A115" s="15"/>
      <c r="B115" s="14" t="s">
        <v>5</v>
      </c>
      <c r="C115" s="15"/>
      <c r="D115" s="16"/>
      <c r="E115" s="15"/>
      <c r="F115" t="e">
        <f t="array" ref="F115">PROFEXHyperlinkAddress(B115:B115)</f>
        <v>#NAME?</v>
      </c>
    </row>
    <row r="116" ht="150" spans="1:6">
      <c r="A116" s="17">
        <v>5597097</v>
      </c>
      <c r="B116" s="18" t="s">
        <v>52</v>
      </c>
      <c r="C116" s="17" t="s">
        <v>1</v>
      </c>
      <c r="D116" s="19" t="s">
        <v>7</v>
      </c>
      <c r="E116" s="17" t="s">
        <v>53</v>
      </c>
      <c r="F116" t="e">
        <f t="array" ref="F116">PROFEXHyperlinkAddress(B116:B116)</f>
        <v>#NAME?</v>
      </c>
    </row>
    <row r="117" spans="1:6">
      <c r="A117" s="11"/>
      <c r="B117" s="12"/>
      <c r="C117" s="11"/>
      <c r="D117" s="13"/>
      <c r="E117" s="11"/>
      <c r="F117" t="e">
        <f t="array" ref="F117">PROFEXHyperlinkAddress(B117:B117)</f>
        <v>#NAME?</v>
      </c>
    </row>
    <row r="118" ht="57.75" spans="1:6">
      <c r="A118" s="11"/>
      <c r="B118" s="14" t="s">
        <v>54</v>
      </c>
      <c r="C118" s="11"/>
      <c r="D118" s="13"/>
      <c r="E118" s="11"/>
      <c r="F118" t="e">
        <f t="array" ref="F118">PROFEXHyperlinkAddress(B118:B118)</f>
        <v>#NAME?</v>
      </c>
    </row>
    <row r="119" spans="1:6">
      <c r="A119" s="11"/>
      <c r="B119" s="12"/>
      <c r="C119" s="11"/>
      <c r="D119" s="13"/>
      <c r="E119" s="11"/>
      <c r="F119" t="e">
        <f t="array" ref="F119">PROFEXHyperlinkAddress(B119:B119)</f>
        <v>#NAME?</v>
      </c>
    </row>
    <row r="120" ht="25.5" spans="1:6">
      <c r="A120" s="15"/>
      <c r="B120" s="14" t="s">
        <v>5</v>
      </c>
      <c r="C120" s="15"/>
      <c r="D120" s="16"/>
      <c r="E120" s="15"/>
      <c r="F120" t="e">
        <f t="array" ref="F120">PROFEXHyperlinkAddress(B120:B120)</f>
        <v>#NAME?</v>
      </c>
    </row>
    <row r="121" ht="375" spans="1:6">
      <c r="A121" s="17">
        <v>5588097</v>
      </c>
      <c r="B121" s="18" t="s">
        <v>55</v>
      </c>
      <c r="C121" s="17" t="s">
        <v>1</v>
      </c>
      <c r="D121" s="19" t="s">
        <v>2</v>
      </c>
      <c r="E121" s="17" t="s">
        <v>56</v>
      </c>
      <c r="F121" t="e">
        <f t="array" ref="F121">PROFEXHyperlinkAddress(B121:B121)</f>
        <v>#NAME?</v>
      </c>
    </row>
    <row r="122" spans="1:6">
      <c r="A122" s="11"/>
      <c r="B122" s="12"/>
      <c r="C122" s="11"/>
      <c r="D122" s="13"/>
      <c r="E122" s="11"/>
      <c r="F122" t="e">
        <f t="array" ref="F122">PROFEXHyperlinkAddress(B122:B122)</f>
        <v>#NAME?</v>
      </c>
    </row>
    <row r="123" ht="57.75" spans="1:6">
      <c r="A123" s="11"/>
      <c r="B123" s="14" t="s">
        <v>16</v>
      </c>
      <c r="C123" s="11"/>
      <c r="D123" s="13"/>
      <c r="E123" s="11"/>
      <c r="F123" t="e">
        <f t="array" ref="F123">PROFEXHyperlinkAddress(B123:B123)</f>
        <v>#NAME?</v>
      </c>
    </row>
    <row r="124" spans="1:6">
      <c r="A124" s="11"/>
      <c r="B124" s="12"/>
      <c r="C124" s="11"/>
      <c r="D124" s="13"/>
      <c r="E124" s="11"/>
      <c r="F124" t="e">
        <f t="array" ref="F124">PROFEXHyperlinkAddress(B124:B124)</f>
        <v>#NAME?</v>
      </c>
    </row>
    <row r="125" ht="25.5" spans="1:6">
      <c r="A125" s="15"/>
      <c r="B125" s="14" t="s">
        <v>57</v>
      </c>
      <c r="C125" s="15"/>
      <c r="D125" s="16"/>
      <c r="E125" s="15"/>
      <c r="F125" t="e">
        <f t="array" ref="F125">PROFEXHyperlinkAddress(B125:B125)</f>
        <v>#NAME?</v>
      </c>
    </row>
    <row r="126" ht="409.5" spans="1:6">
      <c r="A126" s="17">
        <v>5585097</v>
      </c>
      <c r="B126" s="18" t="s">
        <v>58</v>
      </c>
      <c r="C126" s="17" t="s">
        <v>1</v>
      </c>
      <c r="D126" s="19" t="s">
        <v>2</v>
      </c>
      <c r="E126" s="17" t="s">
        <v>59</v>
      </c>
      <c r="F126" t="e">
        <f t="array" ref="F126">PROFEXHyperlinkAddress(B126:B126)</f>
        <v>#NAME?</v>
      </c>
    </row>
    <row r="127" spans="1:6">
      <c r="A127" s="11"/>
      <c r="B127" s="12"/>
      <c r="C127" s="11"/>
      <c r="D127" s="13"/>
      <c r="E127" s="11"/>
      <c r="F127" t="e">
        <f t="array" ref="F127">PROFEXHyperlinkAddress(B127:B127)</f>
        <v>#NAME?</v>
      </c>
    </row>
    <row r="128" ht="57.75" spans="1:6">
      <c r="A128" s="11"/>
      <c r="B128" s="14" t="s">
        <v>16</v>
      </c>
      <c r="C128" s="11"/>
      <c r="D128" s="13"/>
      <c r="E128" s="11"/>
      <c r="F128" t="e">
        <f t="array" ref="F128">PROFEXHyperlinkAddress(B128:B128)</f>
        <v>#NAME?</v>
      </c>
    </row>
    <row r="129" spans="1:6">
      <c r="A129" s="11"/>
      <c r="B129" s="12"/>
      <c r="C129" s="11"/>
      <c r="D129" s="13"/>
      <c r="E129" s="11"/>
      <c r="F129" t="e">
        <f t="array" ref="F129">PROFEXHyperlinkAddress(B129:B129)</f>
        <v>#NAME?</v>
      </c>
    </row>
    <row r="130" ht="25.5" spans="1:6">
      <c r="A130" s="15"/>
      <c r="B130" s="14" t="s">
        <v>60</v>
      </c>
      <c r="C130" s="15"/>
      <c r="D130" s="16"/>
      <c r="E130" s="15"/>
      <c r="F130" t="e">
        <f t="array" ref="F130">PROFEXHyperlinkAddress(B130:B130)</f>
        <v>#NAME?</v>
      </c>
    </row>
    <row r="131" ht="240" spans="1:6">
      <c r="A131" s="17">
        <v>5584097</v>
      </c>
      <c r="B131" s="18" t="s">
        <v>61</v>
      </c>
      <c r="C131" s="17" t="s">
        <v>1</v>
      </c>
      <c r="D131" s="19" t="s">
        <v>2</v>
      </c>
      <c r="E131" s="17" t="s">
        <v>62</v>
      </c>
      <c r="F131" t="e">
        <f t="array" ref="F131">PROFEXHyperlinkAddress(B131:B131)</f>
        <v>#NAME?</v>
      </c>
    </row>
    <row r="132" spans="1:6">
      <c r="A132" s="11"/>
      <c r="B132" s="12"/>
      <c r="C132" s="11"/>
      <c r="D132" s="13"/>
      <c r="E132" s="11"/>
      <c r="F132" t="e">
        <f t="array" ref="F132">PROFEXHyperlinkAddress(B132:B132)</f>
        <v>#NAME?</v>
      </c>
    </row>
    <row r="133" ht="57.75" spans="1:6">
      <c r="A133" s="11"/>
      <c r="B133" s="14" t="s">
        <v>16</v>
      </c>
      <c r="C133" s="11"/>
      <c r="D133" s="13"/>
      <c r="E133" s="11"/>
      <c r="F133" t="e">
        <f t="array" ref="F133">PROFEXHyperlinkAddress(B133:B133)</f>
        <v>#NAME?</v>
      </c>
    </row>
    <row r="134" spans="1:6">
      <c r="A134" s="11"/>
      <c r="B134" s="12"/>
      <c r="C134" s="11"/>
      <c r="D134" s="13"/>
      <c r="E134" s="11"/>
      <c r="F134" t="e">
        <f t="array" ref="F134">PROFEXHyperlinkAddress(B134:B134)</f>
        <v>#NAME?</v>
      </c>
    </row>
    <row r="135" ht="25.5" spans="1:6">
      <c r="A135" s="15"/>
      <c r="B135" s="14" t="s">
        <v>63</v>
      </c>
      <c r="C135" s="15"/>
      <c r="D135" s="16"/>
      <c r="E135" s="15"/>
      <c r="F135" t="e">
        <f t="array" ref="F135">PROFEXHyperlinkAddress(B135:B135)</f>
        <v>#NAME?</v>
      </c>
    </row>
    <row r="136" ht="135" spans="1:6">
      <c r="A136" s="17">
        <v>5583097</v>
      </c>
      <c r="B136" s="18" t="s">
        <v>64</v>
      </c>
      <c r="C136" s="17" t="s">
        <v>1</v>
      </c>
      <c r="D136" s="19" t="s">
        <v>7</v>
      </c>
      <c r="E136" s="17" t="s">
        <v>35</v>
      </c>
      <c r="F136" t="e">
        <f t="array" ref="F136">PROFEXHyperlinkAddress(B136:B136)</f>
        <v>#NAME?</v>
      </c>
    </row>
    <row r="137" spans="1:6">
      <c r="A137" s="11"/>
      <c r="B137" s="12"/>
      <c r="C137" s="11"/>
      <c r="D137" s="13"/>
      <c r="E137" s="11"/>
      <c r="F137" t="e">
        <f t="array" ref="F137">PROFEXHyperlinkAddress(B137:B137)</f>
        <v>#NAME?</v>
      </c>
    </row>
    <row r="138" ht="57.75" spans="1:6">
      <c r="A138" s="11"/>
      <c r="B138" s="14" t="s">
        <v>16</v>
      </c>
      <c r="C138" s="11"/>
      <c r="D138" s="13"/>
      <c r="E138" s="11"/>
      <c r="F138" t="e">
        <f t="array" ref="F138">PROFEXHyperlinkAddress(B138:B138)</f>
        <v>#NAME?</v>
      </c>
    </row>
    <row r="139" spans="1:6">
      <c r="A139" s="11"/>
      <c r="B139" s="12"/>
      <c r="C139" s="11"/>
      <c r="D139" s="13"/>
      <c r="E139" s="11"/>
      <c r="F139" t="e">
        <f t="array" ref="F139">PROFEXHyperlinkAddress(B139:B139)</f>
        <v>#NAME?</v>
      </c>
    </row>
    <row r="140" ht="25.5" spans="1:6">
      <c r="A140" s="15"/>
      <c r="B140" s="14" t="s">
        <v>5</v>
      </c>
      <c r="C140" s="15"/>
      <c r="D140" s="16"/>
      <c r="E140" s="15"/>
      <c r="F140" t="e">
        <f t="array" ref="F140">PROFEXHyperlinkAddress(B140:B140)</f>
        <v>#NAME?</v>
      </c>
    </row>
    <row r="141" ht="195" spans="1:6">
      <c r="A141" s="17">
        <v>5582097</v>
      </c>
      <c r="B141" s="18" t="s">
        <v>65</v>
      </c>
      <c r="C141" s="17" t="s">
        <v>1</v>
      </c>
      <c r="D141" s="19" t="s">
        <v>7</v>
      </c>
      <c r="E141" s="17" t="s">
        <v>3</v>
      </c>
      <c r="F141" t="e">
        <f t="array" ref="F141">PROFEXHyperlinkAddress(B141:B141)</f>
        <v>#NAME?</v>
      </c>
    </row>
    <row r="142" spans="1:6">
      <c r="A142" s="11"/>
      <c r="B142" s="12"/>
      <c r="C142" s="11"/>
      <c r="D142" s="13"/>
      <c r="E142" s="11"/>
      <c r="F142" t="e">
        <f t="array" ref="F142">PROFEXHyperlinkAddress(B142:B142)</f>
        <v>#NAME?</v>
      </c>
    </row>
    <row r="143" ht="57.75" spans="1:6">
      <c r="A143" s="11"/>
      <c r="B143" s="14" t="s">
        <v>16</v>
      </c>
      <c r="C143" s="11"/>
      <c r="D143" s="13"/>
      <c r="E143" s="11"/>
      <c r="F143" t="e">
        <f t="array" ref="F143">PROFEXHyperlinkAddress(B143:B143)</f>
        <v>#NAME?</v>
      </c>
    </row>
    <row r="144" spans="1:6">
      <c r="A144" s="11"/>
      <c r="B144" s="12"/>
      <c r="C144" s="11"/>
      <c r="D144" s="13"/>
      <c r="E144" s="11"/>
      <c r="F144" t="e">
        <f t="array" ref="F144">PROFEXHyperlinkAddress(B144:B144)</f>
        <v>#NAME?</v>
      </c>
    </row>
    <row r="145" ht="25.5" spans="1:6">
      <c r="A145" s="15"/>
      <c r="B145" s="14" t="s">
        <v>5</v>
      </c>
      <c r="C145" s="15"/>
      <c r="D145" s="16"/>
      <c r="E145" s="15"/>
      <c r="F145" t="e">
        <f t="array" ref="F145">PROFEXHyperlinkAddress(B145:B145)</f>
        <v>#NAME?</v>
      </c>
    </row>
    <row r="146" ht="105" spans="1:6">
      <c r="A146" s="17">
        <v>5567097</v>
      </c>
      <c r="B146" s="18" t="s">
        <v>66</v>
      </c>
      <c r="C146" s="17" t="s">
        <v>1</v>
      </c>
      <c r="D146" s="19" t="s">
        <v>2</v>
      </c>
      <c r="E146" s="17" t="s">
        <v>67</v>
      </c>
      <c r="F146" t="e">
        <f t="array" ref="F146">PROFEXHyperlinkAddress(B146:B146)</f>
        <v>#NAME?</v>
      </c>
    </row>
    <row r="147" spans="1:6">
      <c r="A147" s="11"/>
      <c r="B147" s="12"/>
      <c r="C147" s="11"/>
      <c r="D147" s="13"/>
      <c r="E147" s="11"/>
      <c r="F147" t="e">
        <f t="array" ref="F147">PROFEXHyperlinkAddress(B147:B147)</f>
        <v>#NAME?</v>
      </c>
    </row>
    <row r="148" ht="57.75" spans="1:6">
      <c r="A148" s="11"/>
      <c r="B148" s="14" t="s">
        <v>21</v>
      </c>
      <c r="C148" s="11"/>
      <c r="D148" s="13"/>
      <c r="E148" s="11"/>
      <c r="F148" t="e">
        <f t="array" ref="F148">PROFEXHyperlinkAddress(B148:B148)</f>
        <v>#NAME?</v>
      </c>
    </row>
    <row r="149" spans="1:6">
      <c r="A149" s="11"/>
      <c r="B149" s="12"/>
      <c r="C149" s="11"/>
      <c r="D149" s="13"/>
      <c r="E149" s="11"/>
      <c r="F149" t="e">
        <f t="array" ref="F149">PROFEXHyperlinkAddress(B149:B149)</f>
        <v>#NAME?</v>
      </c>
    </row>
    <row r="150" ht="25.5" spans="1:6">
      <c r="A150" s="15"/>
      <c r="B150" s="14" t="s">
        <v>5</v>
      </c>
      <c r="C150" s="15"/>
      <c r="D150" s="16"/>
      <c r="E150" s="15"/>
      <c r="F150" t="e">
        <f t="array" ref="F150">PROFEXHyperlinkAddress(B150:B150)</f>
        <v>#NAME?</v>
      </c>
    </row>
    <row r="151" ht="120" spans="1:6">
      <c r="A151" s="17">
        <v>5564097</v>
      </c>
      <c r="B151" s="18" t="s">
        <v>68</v>
      </c>
      <c r="C151" s="17" t="s">
        <v>1</v>
      </c>
      <c r="D151" s="19" t="s">
        <v>7</v>
      </c>
      <c r="E151" s="17" t="s">
        <v>53</v>
      </c>
      <c r="F151" t="e">
        <f t="array" ref="F151">PROFEXHyperlinkAddress(B151:B151)</f>
        <v>#NAME?</v>
      </c>
    </row>
    <row r="152" spans="1:6">
      <c r="A152" s="11"/>
      <c r="B152" s="12"/>
      <c r="C152" s="11"/>
      <c r="D152" s="13"/>
      <c r="E152" s="11"/>
      <c r="F152" t="e">
        <f t="array" ref="F152">PROFEXHyperlinkAddress(B152:B152)</f>
        <v>#NAME?</v>
      </c>
    </row>
    <row r="153" ht="57.75" spans="1:6">
      <c r="A153" s="11"/>
      <c r="B153" s="14" t="s">
        <v>54</v>
      </c>
      <c r="C153" s="11"/>
      <c r="D153" s="13"/>
      <c r="E153" s="11"/>
      <c r="F153" t="e">
        <f t="array" ref="F153">PROFEXHyperlinkAddress(B153:B153)</f>
        <v>#NAME?</v>
      </c>
    </row>
    <row r="154" spans="1:6">
      <c r="A154" s="11"/>
      <c r="B154" s="12"/>
      <c r="C154" s="11"/>
      <c r="D154" s="13"/>
      <c r="E154" s="11"/>
      <c r="F154" t="e">
        <f t="array" ref="F154">PROFEXHyperlinkAddress(B154:B154)</f>
        <v>#NAME?</v>
      </c>
    </row>
    <row r="155" ht="25.5" spans="1:6">
      <c r="A155" s="15"/>
      <c r="B155" s="14" t="s">
        <v>5</v>
      </c>
      <c r="C155" s="15"/>
      <c r="D155" s="16"/>
      <c r="E155" s="15"/>
      <c r="F155" t="e">
        <f t="array" ref="F155">PROFEXHyperlinkAddress(B155:B155)</f>
        <v>#NAME?</v>
      </c>
    </row>
    <row r="156" ht="90" spans="1:6">
      <c r="A156" s="17">
        <v>5563097</v>
      </c>
      <c r="B156" s="18" t="s">
        <v>69</v>
      </c>
      <c r="C156" s="17" t="s">
        <v>1</v>
      </c>
      <c r="D156" s="19" t="s">
        <v>2</v>
      </c>
      <c r="E156" s="17" t="s">
        <v>70</v>
      </c>
      <c r="F156" t="e">
        <f t="array" ref="F156">PROFEXHyperlinkAddress(B156:B156)</f>
        <v>#NAME?</v>
      </c>
    </row>
    <row r="157" spans="1:6">
      <c r="A157" s="11"/>
      <c r="B157" s="12"/>
      <c r="C157" s="11"/>
      <c r="D157" s="13"/>
      <c r="E157" s="11"/>
      <c r="F157" t="e">
        <f t="array" ref="F157">PROFEXHyperlinkAddress(B157:B157)</f>
        <v>#NAME?</v>
      </c>
    </row>
    <row r="158" ht="57.75" spans="1:6">
      <c r="A158" s="11"/>
      <c r="B158" s="14" t="s">
        <v>16</v>
      </c>
      <c r="C158" s="11"/>
      <c r="D158" s="13"/>
      <c r="E158" s="11"/>
      <c r="F158" t="e">
        <f t="array" ref="F158">PROFEXHyperlinkAddress(B158:B158)</f>
        <v>#NAME?</v>
      </c>
    </row>
    <row r="159" spans="1:6">
      <c r="A159" s="11"/>
      <c r="B159" s="12"/>
      <c r="C159" s="11"/>
      <c r="D159" s="13"/>
      <c r="E159" s="11"/>
      <c r="F159" t="e">
        <f t="array" ref="F159">PROFEXHyperlinkAddress(B159:B159)</f>
        <v>#NAME?</v>
      </c>
    </row>
    <row r="160" ht="25.5" spans="1:6">
      <c r="A160" s="15"/>
      <c r="B160" s="14" t="s">
        <v>5</v>
      </c>
      <c r="C160" s="15"/>
      <c r="D160" s="16"/>
      <c r="E160" s="15"/>
      <c r="F160" t="e">
        <f t="array" ref="F160">PROFEXHyperlinkAddress(B160:B160)</f>
        <v>#NAME?</v>
      </c>
    </row>
    <row r="161" ht="60" spans="1:6">
      <c r="A161" s="17">
        <v>5558097</v>
      </c>
      <c r="B161" s="18" t="s">
        <v>71</v>
      </c>
      <c r="C161" s="17" t="s">
        <v>1</v>
      </c>
      <c r="D161" s="19" t="s">
        <v>2</v>
      </c>
      <c r="E161" s="17" t="s">
        <v>72</v>
      </c>
      <c r="F161" t="e">
        <f t="array" ref="F161">PROFEXHyperlinkAddress(B161:B161)</f>
        <v>#NAME?</v>
      </c>
    </row>
    <row r="162" spans="1:6">
      <c r="A162" s="11"/>
      <c r="B162" s="12"/>
      <c r="C162" s="11"/>
      <c r="D162" s="13"/>
      <c r="E162" s="11"/>
      <c r="F162" t="e">
        <f t="array" ref="F162">PROFEXHyperlinkAddress(B162:B162)</f>
        <v>#NAME?</v>
      </c>
    </row>
    <row r="163" ht="57.75" spans="1:6">
      <c r="A163" s="11"/>
      <c r="B163" s="14" t="s">
        <v>16</v>
      </c>
      <c r="C163" s="11"/>
      <c r="D163" s="13"/>
      <c r="E163" s="11"/>
      <c r="F163" t="e">
        <f t="array" ref="F163">PROFEXHyperlinkAddress(B163:B163)</f>
        <v>#NAME?</v>
      </c>
    </row>
    <row r="164" spans="1:6">
      <c r="A164" s="11"/>
      <c r="B164" s="12"/>
      <c r="C164" s="11"/>
      <c r="D164" s="13"/>
      <c r="E164" s="11"/>
      <c r="F164" t="e">
        <f t="array" ref="F164">PROFEXHyperlinkAddress(B164:B164)</f>
        <v>#NAME?</v>
      </c>
    </row>
    <row r="165" ht="25.5" spans="1:6">
      <c r="A165" s="15"/>
      <c r="B165" s="14" t="s">
        <v>5</v>
      </c>
      <c r="C165" s="15"/>
      <c r="D165" s="16"/>
      <c r="E165" s="15"/>
      <c r="F165" t="e">
        <f t="array" ref="F165">PROFEXHyperlinkAddress(B165:B165)</f>
        <v>#NAME?</v>
      </c>
    </row>
    <row r="166" ht="285" spans="1:6">
      <c r="A166" s="17">
        <v>5553097</v>
      </c>
      <c r="B166" s="18" t="s">
        <v>73</v>
      </c>
      <c r="C166" s="17" t="s">
        <v>1</v>
      </c>
      <c r="D166" s="19" t="s">
        <v>7</v>
      </c>
      <c r="E166" s="17" t="s">
        <v>74</v>
      </c>
      <c r="F166" t="e">
        <f t="array" ref="F166">PROFEXHyperlinkAddress(B166:B166)</f>
        <v>#NAME?</v>
      </c>
    </row>
    <row r="167" spans="1:6">
      <c r="A167" s="11"/>
      <c r="B167" s="12"/>
      <c r="C167" s="11"/>
      <c r="D167" s="13"/>
      <c r="E167" s="11"/>
      <c r="F167" t="e">
        <f t="array" ref="F167">PROFEXHyperlinkAddress(B167:B167)</f>
        <v>#NAME?</v>
      </c>
    </row>
    <row r="168" ht="57.75" spans="1:6">
      <c r="A168" s="11"/>
      <c r="B168" s="14" t="s">
        <v>16</v>
      </c>
      <c r="C168" s="11"/>
      <c r="D168" s="13"/>
      <c r="E168" s="11"/>
      <c r="F168" t="e">
        <f t="array" ref="F168">PROFEXHyperlinkAddress(B168:B168)</f>
        <v>#NAME?</v>
      </c>
    </row>
    <row r="169" spans="1:6">
      <c r="A169" s="11"/>
      <c r="B169" s="12"/>
      <c r="C169" s="11"/>
      <c r="D169" s="13"/>
      <c r="E169" s="11"/>
      <c r="F169" t="e">
        <f t="array" ref="F169">PROFEXHyperlinkAddress(B169:B169)</f>
        <v>#NAME?</v>
      </c>
    </row>
    <row r="170" ht="25.5" spans="1:6">
      <c r="A170" s="15"/>
      <c r="B170" s="14" t="s">
        <v>5</v>
      </c>
      <c r="C170" s="15"/>
      <c r="D170" s="16"/>
      <c r="E170" s="15"/>
      <c r="F170" t="e">
        <f t="array" ref="F170">PROFEXHyperlinkAddress(B170:B170)</f>
        <v>#NAME?</v>
      </c>
    </row>
    <row r="171" ht="150" spans="1:6">
      <c r="A171" s="17">
        <v>5549097</v>
      </c>
      <c r="B171" s="18" t="s">
        <v>75</v>
      </c>
      <c r="C171" s="17" t="s">
        <v>1</v>
      </c>
      <c r="D171" s="19" t="s">
        <v>76</v>
      </c>
      <c r="E171" s="17" t="s">
        <v>77</v>
      </c>
      <c r="F171" t="e">
        <f t="array" ref="F171">PROFEXHyperlinkAddress(B171:B171)</f>
        <v>#NAME?</v>
      </c>
    </row>
    <row r="172" spans="1:6">
      <c r="A172" s="11"/>
      <c r="B172" s="12"/>
      <c r="C172" s="11"/>
      <c r="D172" s="13"/>
      <c r="E172" s="11"/>
      <c r="F172" t="e">
        <f t="array" ref="F172">PROFEXHyperlinkAddress(B172:B172)</f>
        <v>#NAME?</v>
      </c>
    </row>
    <row r="173" ht="49.5" spans="1:6">
      <c r="A173" s="11"/>
      <c r="B173" s="14" t="s">
        <v>78</v>
      </c>
      <c r="C173" s="11"/>
      <c r="D173" s="13"/>
      <c r="E173" s="11"/>
      <c r="F173" t="e">
        <f t="array" ref="F173">PROFEXHyperlinkAddress(B173:B173)</f>
        <v>#NAME?</v>
      </c>
    </row>
    <row r="174" spans="1:6">
      <c r="A174" s="11"/>
      <c r="B174" s="12"/>
      <c r="C174" s="11"/>
      <c r="D174" s="13"/>
      <c r="E174" s="11"/>
      <c r="F174" t="e">
        <f t="array" ref="F174">PROFEXHyperlinkAddress(B174:B174)</f>
        <v>#NAME?</v>
      </c>
    </row>
    <row r="175" ht="25.5" spans="1:6">
      <c r="A175" s="15"/>
      <c r="B175" s="14" t="s">
        <v>5</v>
      </c>
      <c r="C175" s="15"/>
      <c r="D175" s="16"/>
      <c r="E175" s="15"/>
      <c r="F175" t="e">
        <f t="array" ref="F175">PROFEXHyperlinkAddress(B175:B175)</f>
        <v>#NAME?</v>
      </c>
    </row>
    <row r="176" ht="120" spans="1:6">
      <c r="A176" s="17">
        <v>5547097</v>
      </c>
      <c r="B176" s="18" t="s">
        <v>79</v>
      </c>
      <c r="C176" s="17" t="s">
        <v>1</v>
      </c>
      <c r="D176" s="19" t="s">
        <v>76</v>
      </c>
      <c r="E176" s="17" t="s">
        <v>80</v>
      </c>
      <c r="F176" t="e">
        <f t="array" ref="F176">PROFEXHyperlinkAddress(B176:B176)</f>
        <v>#NAME?</v>
      </c>
    </row>
    <row r="177" spans="1:6">
      <c r="A177" s="11"/>
      <c r="B177" s="12"/>
      <c r="C177" s="11"/>
      <c r="D177" s="13"/>
      <c r="E177" s="11"/>
      <c r="F177" t="e">
        <f t="array" ref="F177">PROFEXHyperlinkAddress(B177:B177)</f>
        <v>#NAME?</v>
      </c>
    </row>
    <row r="178" ht="49.5" spans="1:6">
      <c r="A178" s="11"/>
      <c r="B178" s="14" t="s">
        <v>78</v>
      </c>
      <c r="C178" s="11"/>
      <c r="D178" s="13"/>
      <c r="E178" s="11"/>
      <c r="F178" t="e">
        <f t="array" ref="F178">PROFEXHyperlinkAddress(B178:B178)</f>
        <v>#NAME?</v>
      </c>
    </row>
    <row r="179" spans="1:6">
      <c r="A179" s="11"/>
      <c r="B179" s="12"/>
      <c r="C179" s="11"/>
      <c r="D179" s="13"/>
      <c r="E179" s="11"/>
      <c r="F179" t="e">
        <f t="array" ref="F179">PROFEXHyperlinkAddress(B179:B179)</f>
        <v>#NAME?</v>
      </c>
    </row>
    <row r="180" ht="25.5" spans="1:6">
      <c r="A180" s="15"/>
      <c r="B180" s="14" t="s">
        <v>5</v>
      </c>
      <c r="C180" s="15"/>
      <c r="D180" s="16"/>
      <c r="E180" s="15"/>
      <c r="F180" t="e">
        <f t="array" ref="F180">PROFEXHyperlinkAddress(B180:B180)</f>
        <v>#NAME?</v>
      </c>
    </row>
    <row r="181" ht="135" spans="1:6">
      <c r="A181" s="17">
        <v>5546097</v>
      </c>
      <c r="B181" s="18" t="s">
        <v>81</v>
      </c>
      <c r="C181" s="17" t="s">
        <v>1</v>
      </c>
      <c r="D181" s="19" t="s">
        <v>76</v>
      </c>
      <c r="E181" s="17" t="s">
        <v>80</v>
      </c>
      <c r="F181" t="e">
        <f t="array" ref="F181">PROFEXHyperlinkAddress(B181:B181)</f>
        <v>#NAME?</v>
      </c>
    </row>
    <row r="182" spans="1:6">
      <c r="A182" s="11"/>
      <c r="B182" s="12"/>
      <c r="C182" s="11"/>
      <c r="D182" s="13"/>
      <c r="E182" s="11"/>
      <c r="F182" t="e">
        <f t="array" ref="F182">PROFEXHyperlinkAddress(B182:B182)</f>
        <v>#NAME?</v>
      </c>
    </row>
    <row r="183" ht="49.5" spans="1:6">
      <c r="A183" s="11"/>
      <c r="B183" s="14" t="s">
        <v>78</v>
      </c>
      <c r="C183" s="11"/>
      <c r="D183" s="13"/>
      <c r="E183" s="11"/>
      <c r="F183" t="e">
        <f t="array" ref="F183">PROFEXHyperlinkAddress(B183:B183)</f>
        <v>#NAME?</v>
      </c>
    </row>
    <row r="184" spans="1:6">
      <c r="A184" s="11"/>
      <c r="B184" s="12"/>
      <c r="C184" s="11"/>
      <c r="D184" s="13"/>
      <c r="E184" s="11"/>
      <c r="F184" t="e">
        <f t="array" ref="F184">PROFEXHyperlinkAddress(B184:B184)</f>
        <v>#NAME?</v>
      </c>
    </row>
    <row r="185" ht="25.5" spans="1:6">
      <c r="A185" s="15"/>
      <c r="B185" s="14" t="s">
        <v>5</v>
      </c>
      <c r="C185" s="15"/>
      <c r="D185" s="16"/>
      <c r="E185" s="15"/>
      <c r="F185" t="e">
        <f t="array" ref="F185">PROFEXHyperlinkAddress(B185:B185)</f>
        <v>#NAME?</v>
      </c>
    </row>
    <row r="186" ht="195" spans="1:6">
      <c r="A186" s="17">
        <v>5545097</v>
      </c>
      <c r="B186" s="18" t="s">
        <v>82</v>
      </c>
      <c r="C186" s="17" t="s">
        <v>1</v>
      </c>
      <c r="D186" s="19" t="s">
        <v>76</v>
      </c>
      <c r="E186" s="17" t="s">
        <v>83</v>
      </c>
      <c r="F186" t="e">
        <f t="array" ref="F186">PROFEXHyperlinkAddress(B186:B186)</f>
        <v>#NAME?</v>
      </c>
    </row>
    <row r="187" spans="1:6">
      <c r="A187" s="11"/>
      <c r="B187" s="12"/>
      <c r="C187" s="11"/>
      <c r="D187" s="13"/>
      <c r="E187" s="11"/>
      <c r="F187" t="e">
        <f t="array" ref="F187">PROFEXHyperlinkAddress(B187:B187)</f>
        <v>#NAME?</v>
      </c>
    </row>
    <row r="188" ht="49.5" spans="1:6">
      <c r="A188" s="11"/>
      <c r="B188" s="14" t="s">
        <v>78</v>
      </c>
      <c r="C188" s="11"/>
      <c r="D188" s="13"/>
      <c r="E188" s="11"/>
      <c r="F188" t="e">
        <f t="array" ref="F188">PROFEXHyperlinkAddress(B188:B188)</f>
        <v>#NAME?</v>
      </c>
    </row>
    <row r="189" spans="1:6">
      <c r="A189" s="11"/>
      <c r="B189" s="12"/>
      <c r="C189" s="11"/>
      <c r="D189" s="13"/>
      <c r="E189" s="11"/>
      <c r="F189" t="e">
        <f t="array" ref="F189">PROFEXHyperlinkAddress(B189:B189)</f>
        <v>#NAME?</v>
      </c>
    </row>
    <row r="190" ht="25.5" spans="1:6">
      <c r="A190" s="15"/>
      <c r="B190" s="14" t="s">
        <v>5</v>
      </c>
      <c r="C190" s="15"/>
      <c r="D190" s="16"/>
      <c r="E190" s="15"/>
      <c r="F190" t="e">
        <f t="array" ref="F190">PROFEXHyperlinkAddress(B190:B190)</f>
        <v>#NAME?</v>
      </c>
    </row>
    <row r="191" ht="150" spans="1:6">
      <c r="A191" s="17">
        <v>5544097</v>
      </c>
      <c r="B191" s="18" t="s">
        <v>84</v>
      </c>
      <c r="C191" s="17" t="s">
        <v>1</v>
      </c>
      <c r="D191" s="19" t="s">
        <v>76</v>
      </c>
      <c r="E191" s="17" t="s">
        <v>85</v>
      </c>
      <c r="F191" t="e">
        <f t="array" ref="F191">PROFEXHyperlinkAddress(B191:B191)</f>
        <v>#NAME?</v>
      </c>
    </row>
    <row r="192" spans="1:6">
      <c r="A192" s="11"/>
      <c r="B192" s="12"/>
      <c r="C192" s="11"/>
      <c r="D192" s="13"/>
      <c r="E192" s="11"/>
      <c r="F192" t="e">
        <f t="array" ref="F192">PROFEXHyperlinkAddress(B192:B192)</f>
        <v>#NAME?</v>
      </c>
    </row>
    <row r="193" ht="49.5" spans="1:6">
      <c r="A193" s="11"/>
      <c r="B193" s="14" t="s">
        <v>78</v>
      </c>
      <c r="C193" s="11"/>
      <c r="D193" s="13"/>
      <c r="E193" s="11"/>
      <c r="F193" t="e">
        <f t="array" ref="F193">PROFEXHyperlinkAddress(B193:B193)</f>
        <v>#NAME?</v>
      </c>
    </row>
    <row r="194" spans="1:6">
      <c r="A194" s="11"/>
      <c r="B194" s="12"/>
      <c r="C194" s="11"/>
      <c r="D194" s="13"/>
      <c r="E194" s="11"/>
      <c r="F194" t="e">
        <f t="array" ref="F194">PROFEXHyperlinkAddress(B194:B194)</f>
        <v>#NAME?</v>
      </c>
    </row>
    <row r="195" ht="25.5" spans="1:6">
      <c r="A195" s="15"/>
      <c r="B195" s="14" t="s">
        <v>5</v>
      </c>
      <c r="C195" s="15"/>
      <c r="D195" s="16"/>
      <c r="E195" s="15"/>
      <c r="F195" t="e">
        <f t="array" ref="F195">PROFEXHyperlinkAddress(B195:B195)</f>
        <v>#NAME?</v>
      </c>
    </row>
    <row r="196" ht="180" spans="1:6">
      <c r="A196" s="17">
        <v>5541097</v>
      </c>
      <c r="B196" s="18" t="s">
        <v>86</v>
      </c>
      <c r="C196" s="17" t="s">
        <v>1</v>
      </c>
      <c r="D196" s="19" t="s">
        <v>76</v>
      </c>
      <c r="E196" s="17" t="s">
        <v>85</v>
      </c>
      <c r="F196" t="e">
        <f t="array" ref="F196">PROFEXHyperlinkAddress(B196:B196)</f>
        <v>#NAME?</v>
      </c>
    </row>
    <row r="197" spans="1:6">
      <c r="A197" s="11"/>
      <c r="B197" s="12"/>
      <c r="C197" s="11"/>
      <c r="D197" s="13"/>
      <c r="E197" s="11"/>
      <c r="F197" t="e">
        <f t="array" ref="F197">PROFEXHyperlinkAddress(B197:B197)</f>
        <v>#NAME?</v>
      </c>
    </row>
    <row r="198" ht="49.5" spans="1:6">
      <c r="A198" s="11"/>
      <c r="B198" s="14" t="s">
        <v>78</v>
      </c>
      <c r="C198" s="11"/>
      <c r="D198" s="13"/>
      <c r="E198" s="11"/>
      <c r="F198" t="e">
        <f t="array" ref="F198">PROFEXHyperlinkAddress(B198:B198)</f>
        <v>#NAME?</v>
      </c>
    </row>
    <row r="199" spans="1:6">
      <c r="A199" s="11"/>
      <c r="B199" s="12"/>
      <c r="C199" s="11"/>
      <c r="D199" s="13"/>
      <c r="E199" s="11"/>
      <c r="F199" t="e">
        <f t="array" ref="F199">PROFEXHyperlinkAddress(B199:B199)</f>
        <v>#NAME?</v>
      </c>
    </row>
    <row r="200" ht="25.5" spans="1:6">
      <c r="A200" s="15"/>
      <c r="B200" s="14" t="s">
        <v>5</v>
      </c>
      <c r="C200" s="15"/>
      <c r="D200" s="16"/>
      <c r="E200" s="15"/>
      <c r="F200" t="e">
        <f t="array" ref="F200">PROFEXHyperlinkAddress(B200:B200)</f>
        <v>#NAME?</v>
      </c>
    </row>
    <row r="201" ht="135" spans="1:6">
      <c r="A201" s="17">
        <v>5540097</v>
      </c>
      <c r="B201" s="18" t="s">
        <v>87</v>
      </c>
      <c r="C201" s="17" t="s">
        <v>1</v>
      </c>
      <c r="D201" s="19" t="s">
        <v>2</v>
      </c>
      <c r="E201" s="17" t="s">
        <v>85</v>
      </c>
      <c r="F201" t="e">
        <f t="array" ref="F201">PROFEXHyperlinkAddress(B201:B201)</f>
        <v>#NAME?</v>
      </c>
    </row>
    <row r="202" spans="1:6">
      <c r="A202" s="11"/>
      <c r="B202" s="12"/>
      <c r="C202" s="11"/>
      <c r="D202" s="13"/>
      <c r="E202" s="11"/>
      <c r="F202" t="e">
        <f t="array" ref="F202">PROFEXHyperlinkAddress(B202:B202)</f>
        <v>#NAME?</v>
      </c>
    </row>
    <row r="203" ht="49.5" spans="1:6">
      <c r="A203" s="11"/>
      <c r="B203" s="14" t="s">
        <v>78</v>
      </c>
      <c r="C203" s="11"/>
      <c r="D203" s="13"/>
      <c r="E203" s="11"/>
      <c r="F203" t="e">
        <f t="array" ref="F203">PROFEXHyperlinkAddress(B203:B203)</f>
        <v>#NAME?</v>
      </c>
    </row>
    <row r="204" spans="1:6">
      <c r="A204" s="11"/>
      <c r="B204" s="12"/>
      <c r="C204" s="11"/>
      <c r="D204" s="13"/>
      <c r="E204" s="11"/>
      <c r="F204" t="e">
        <f t="array" ref="F204">PROFEXHyperlinkAddress(B204:B204)</f>
        <v>#NAME?</v>
      </c>
    </row>
    <row r="205" ht="25.5" spans="1:6">
      <c r="A205" s="15"/>
      <c r="B205" s="14" t="s">
        <v>5</v>
      </c>
      <c r="C205" s="15"/>
      <c r="D205" s="16"/>
      <c r="E205" s="15"/>
      <c r="F205" t="e">
        <f t="array" ref="F205">PROFEXHyperlinkAddress(B205:B205)</f>
        <v>#NAME?</v>
      </c>
    </row>
    <row r="206" ht="165" spans="1:6">
      <c r="A206" s="17">
        <v>5539097</v>
      </c>
      <c r="B206" s="18" t="s">
        <v>88</v>
      </c>
      <c r="C206" s="17" t="s">
        <v>1</v>
      </c>
      <c r="D206" s="19" t="s">
        <v>76</v>
      </c>
      <c r="E206" s="17" t="s">
        <v>89</v>
      </c>
      <c r="F206" t="e">
        <f t="array" ref="F206">PROFEXHyperlinkAddress(B206:B206)</f>
        <v>#NAME?</v>
      </c>
    </row>
    <row r="207" spans="1:6">
      <c r="A207" s="11"/>
      <c r="B207" s="12"/>
      <c r="C207" s="11"/>
      <c r="D207" s="13"/>
      <c r="E207" s="11"/>
      <c r="F207" t="e">
        <f t="array" ref="F207">PROFEXHyperlinkAddress(B207:B207)</f>
        <v>#NAME?</v>
      </c>
    </row>
    <row r="208" ht="49.5" spans="1:6">
      <c r="A208" s="11"/>
      <c r="B208" s="14" t="s">
        <v>78</v>
      </c>
      <c r="C208" s="11"/>
      <c r="D208" s="13"/>
      <c r="E208" s="11"/>
      <c r="F208" t="e">
        <f t="array" ref="F208">PROFEXHyperlinkAddress(B208:B208)</f>
        <v>#NAME?</v>
      </c>
    </row>
    <row r="209" spans="1:6">
      <c r="A209" s="11"/>
      <c r="B209" s="12"/>
      <c r="C209" s="11"/>
      <c r="D209" s="13"/>
      <c r="E209" s="11"/>
      <c r="F209" t="e">
        <f t="array" ref="F209">PROFEXHyperlinkAddress(B209:B209)</f>
        <v>#NAME?</v>
      </c>
    </row>
    <row r="210" ht="25.5" spans="1:6">
      <c r="A210" s="15"/>
      <c r="B210" s="14" t="s">
        <v>5</v>
      </c>
      <c r="C210" s="15"/>
      <c r="D210" s="16"/>
      <c r="E210" s="15"/>
      <c r="F210" t="e">
        <f t="array" ref="F210">PROFEXHyperlinkAddress(B210:B210)</f>
        <v>#NAME?</v>
      </c>
    </row>
    <row r="211" ht="135" spans="1:6">
      <c r="A211" s="17">
        <v>5537097</v>
      </c>
      <c r="B211" s="18" t="s">
        <v>90</v>
      </c>
      <c r="C211" s="17" t="s">
        <v>1</v>
      </c>
      <c r="D211" s="19" t="s">
        <v>2</v>
      </c>
      <c r="E211" s="17" t="s">
        <v>91</v>
      </c>
      <c r="F211" t="e">
        <f t="array" ref="F211">PROFEXHyperlinkAddress(B211:B211)</f>
        <v>#NAME?</v>
      </c>
    </row>
    <row r="212" spans="1:6">
      <c r="A212" s="11"/>
      <c r="B212" s="12"/>
      <c r="C212" s="11"/>
      <c r="D212" s="13"/>
      <c r="E212" s="11"/>
      <c r="F212" t="e">
        <f t="array" ref="F212">PROFEXHyperlinkAddress(B212:B212)</f>
        <v>#NAME?</v>
      </c>
    </row>
    <row r="213" ht="57.75" spans="1:6">
      <c r="A213" s="11"/>
      <c r="B213" s="14" t="s">
        <v>21</v>
      </c>
      <c r="C213" s="11"/>
      <c r="D213" s="13"/>
      <c r="E213" s="11"/>
      <c r="F213" t="e">
        <f t="array" ref="F213">PROFEXHyperlinkAddress(B213:B213)</f>
        <v>#NAME?</v>
      </c>
    </row>
    <row r="214" spans="1:6">
      <c r="A214" s="11"/>
      <c r="B214" s="12"/>
      <c r="C214" s="11"/>
      <c r="D214" s="13"/>
      <c r="E214" s="11"/>
      <c r="F214" t="e">
        <f t="array" ref="F214">PROFEXHyperlinkAddress(B214:B214)</f>
        <v>#NAME?</v>
      </c>
    </row>
    <row r="215" ht="25.5" spans="1:6">
      <c r="A215" s="15"/>
      <c r="B215" s="14" t="s">
        <v>5</v>
      </c>
      <c r="C215" s="15"/>
      <c r="D215" s="16"/>
      <c r="E215" s="15"/>
      <c r="F215" t="e">
        <f t="array" ref="F215">PROFEXHyperlinkAddress(B215:B215)</f>
        <v>#NAME?</v>
      </c>
    </row>
    <row r="216" ht="225" spans="1:6">
      <c r="A216" s="17">
        <v>5536097</v>
      </c>
      <c r="B216" s="18" t="s">
        <v>92</v>
      </c>
      <c r="C216" s="17" t="s">
        <v>1</v>
      </c>
      <c r="D216" s="19" t="s">
        <v>2</v>
      </c>
      <c r="E216" s="17" t="s">
        <v>93</v>
      </c>
      <c r="F216" t="e">
        <f t="array" ref="F216">PROFEXHyperlinkAddress(B216:B216)</f>
        <v>#NAME?</v>
      </c>
    </row>
    <row r="217" spans="1:6">
      <c r="A217" s="11"/>
      <c r="B217" s="12"/>
      <c r="C217" s="11"/>
      <c r="D217" s="13"/>
      <c r="E217" s="11"/>
      <c r="F217" t="e">
        <f t="array" ref="F217">PROFEXHyperlinkAddress(B217:B217)</f>
        <v>#NAME?</v>
      </c>
    </row>
    <row r="218" ht="49.5" spans="1:6">
      <c r="A218" s="11"/>
      <c r="B218" s="14" t="s">
        <v>78</v>
      </c>
      <c r="C218" s="11"/>
      <c r="D218" s="13"/>
      <c r="E218" s="11"/>
      <c r="F218" t="e">
        <f t="array" ref="F218">PROFEXHyperlinkAddress(B218:B218)</f>
        <v>#NAME?</v>
      </c>
    </row>
    <row r="219" spans="1:6">
      <c r="A219" s="11"/>
      <c r="B219" s="12"/>
      <c r="C219" s="11"/>
      <c r="D219" s="13"/>
      <c r="E219" s="11"/>
      <c r="F219" t="e">
        <f t="array" ref="F219">PROFEXHyperlinkAddress(B219:B219)</f>
        <v>#NAME?</v>
      </c>
    </row>
    <row r="220" ht="25.5" spans="1:6">
      <c r="A220" s="15"/>
      <c r="B220" s="14" t="s">
        <v>5</v>
      </c>
      <c r="C220" s="15"/>
      <c r="D220" s="16"/>
      <c r="E220" s="15"/>
      <c r="F220" t="e">
        <f t="array" ref="F220">PROFEXHyperlinkAddress(B220:B220)</f>
        <v>#NAME?</v>
      </c>
    </row>
    <row r="221" ht="135" spans="1:6">
      <c r="A221" s="17">
        <v>5535097</v>
      </c>
      <c r="B221" s="18" t="s">
        <v>94</v>
      </c>
      <c r="C221" s="17" t="s">
        <v>1</v>
      </c>
      <c r="D221" s="19" t="s">
        <v>2</v>
      </c>
      <c r="E221" s="17" t="s">
        <v>95</v>
      </c>
      <c r="F221" t="e">
        <f t="array" ref="F221">PROFEXHyperlinkAddress(B221:B221)</f>
        <v>#NAME?</v>
      </c>
    </row>
    <row r="222" spans="1:6">
      <c r="A222" s="11"/>
      <c r="B222" s="12"/>
      <c r="C222" s="11"/>
      <c r="D222" s="13"/>
      <c r="E222" s="11"/>
      <c r="F222" t="e">
        <f t="array" ref="F222">PROFEXHyperlinkAddress(B222:B222)</f>
        <v>#NAME?</v>
      </c>
    </row>
    <row r="223" ht="49.5" spans="1:6">
      <c r="A223" s="11"/>
      <c r="B223" s="14" t="s">
        <v>78</v>
      </c>
      <c r="C223" s="11"/>
      <c r="D223" s="13"/>
      <c r="E223" s="11"/>
      <c r="F223" t="e">
        <f t="array" ref="F223">PROFEXHyperlinkAddress(B223:B223)</f>
        <v>#NAME?</v>
      </c>
    </row>
    <row r="224" spans="1:6">
      <c r="A224" s="11"/>
      <c r="B224" s="12"/>
      <c r="C224" s="11"/>
      <c r="D224" s="13"/>
      <c r="E224" s="11"/>
      <c r="F224" t="e">
        <f t="array" ref="F224">PROFEXHyperlinkAddress(B224:B224)</f>
        <v>#NAME?</v>
      </c>
    </row>
    <row r="225" ht="25.5" spans="1:6">
      <c r="A225" s="15"/>
      <c r="B225" s="14" t="s">
        <v>5</v>
      </c>
      <c r="C225" s="15"/>
      <c r="D225" s="16"/>
      <c r="E225" s="15"/>
      <c r="F225" t="e">
        <f t="array" ref="F225">PROFEXHyperlinkAddress(B225:B225)</f>
        <v>#NAME?</v>
      </c>
    </row>
    <row r="226" ht="135" spans="1:6">
      <c r="A226" s="17">
        <v>5534097</v>
      </c>
      <c r="B226" s="18" t="s">
        <v>96</v>
      </c>
      <c r="C226" s="17" t="s">
        <v>1</v>
      </c>
      <c r="D226" s="19" t="s">
        <v>2</v>
      </c>
      <c r="E226" s="17" t="s">
        <v>97</v>
      </c>
      <c r="F226" t="e">
        <f t="array" ref="F226">PROFEXHyperlinkAddress(B226:B226)</f>
        <v>#NAME?</v>
      </c>
    </row>
    <row r="227" spans="1:6">
      <c r="A227" s="11"/>
      <c r="B227" s="12"/>
      <c r="C227" s="11"/>
      <c r="D227" s="13"/>
      <c r="E227" s="11"/>
      <c r="F227" t="e">
        <f t="array" ref="F227">PROFEXHyperlinkAddress(B227:B227)</f>
        <v>#NAME?</v>
      </c>
    </row>
    <row r="228" ht="49.5" spans="1:6">
      <c r="A228" s="11"/>
      <c r="B228" s="14" t="s">
        <v>78</v>
      </c>
      <c r="C228" s="11"/>
      <c r="D228" s="13"/>
      <c r="E228" s="11"/>
      <c r="F228" t="e">
        <f t="array" ref="F228">PROFEXHyperlinkAddress(B228:B228)</f>
        <v>#NAME?</v>
      </c>
    </row>
    <row r="229" spans="1:6">
      <c r="A229" s="11"/>
      <c r="B229" s="12"/>
      <c r="C229" s="11"/>
      <c r="D229" s="13"/>
      <c r="E229" s="11"/>
      <c r="F229" t="e">
        <f t="array" ref="F229">PROFEXHyperlinkAddress(B229:B229)</f>
        <v>#NAME?</v>
      </c>
    </row>
    <row r="230" ht="25.5" spans="1:6">
      <c r="A230" s="15"/>
      <c r="B230" s="14" t="s">
        <v>5</v>
      </c>
      <c r="C230" s="15"/>
      <c r="D230" s="16"/>
      <c r="E230" s="15"/>
      <c r="F230" t="e">
        <f t="array" ref="F230">PROFEXHyperlinkAddress(B230:B230)</f>
        <v>#NAME?</v>
      </c>
    </row>
    <row r="231" ht="105" spans="1:6">
      <c r="A231" s="17">
        <v>5531097</v>
      </c>
      <c r="B231" s="18" t="s">
        <v>98</v>
      </c>
      <c r="C231" s="17" t="s">
        <v>1</v>
      </c>
      <c r="D231" s="19" t="s">
        <v>2</v>
      </c>
      <c r="E231" s="17" t="s">
        <v>93</v>
      </c>
      <c r="F231" t="e">
        <f t="array" ref="F231">PROFEXHyperlinkAddress(B231:B231)</f>
        <v>#NAME?</v>
      </c>
    </row>
    <row r="232" spans="1:6">
      <c r="A232" s="11"/>
      <c r="B232" s="12"/>
      <c r="C232" s="11"/>
      <c r="D232" s="13"/>
      <c r="E232" s="11"/>
      <c r="F232" t="e">
        <f t="array" ref="F232">PROFEXHyperlinkAddress(B232:B232)</f>
        <v>#NAME?</v>
      </c>
    </row>
    <row r="233" ht="57.75" spans="1:6">
      <c r="A233" s="11"/>
      <c r="B233" s="14" t="s">
        <v>16</v>
      </c>
      <c r="C233" s="11"/>
      <c r="D233" s="13"/>
      <c r="E233" s="11"/>
      <c r="F233" t="e">
        <f t="array" ref="F233">PROFEXHyperlinkAddress(B233:B233)</f>
        <v>#NAME?</v>
      </c>
    </row>
    <row r="234" spans="1:6">
      <c r="A234" s="11"/>
      <c r="B234" s="12"/>
      <c r="C234" s="11"/>
      <c r="D234" s="13"/>
      <c r="E234" s="11"/>
      <c r="F234" t="e">
        <f t="array" ref="F234">PROFEXHyperlinkAddress(B234:B234)</f>
        <v>#NAME?</v>
      </c>
    </row>
    <row r="235" ht="25.5" spans="1:6">
      <c r="A235" s="15"/>
      <c r="B235" s="14" t="s">
        <v>99</v>
      </c>
      <c r="C235" s="15"/>
      <c r="D235" s="16"/>
      <c r="E235" s="15"/>
      <c r="F235" t="e">
        <f t="array" ref="F235">PROFEXHyperlinkAddress(B235:B235)</f>
        <v>#NAME?</v>
      </c>
    </row>
    <row r="236" ht="270" spans="1:6">
      <c r="A236" s="17">
        <v>5530097</v>
      </c>
      <c r="B236" s="18" t="s">
        <v>100</v>
      </c>
      <c r="C236" s="17" t="s">
        <v>1</v>
      </c>
      <c r="D236" s="19" t="s">
        <v>2</v>
      </c>
      <c r="E236" s="17" t="s">
        <v>101</v>
      </c>
      <c r="F236" t="e">
        <f t="array" ref="F236">PROFEXHyperlinkAddress(B236:B236)</f>
        <v>#NAME?</v>
      </c>
    </row>
    <row r="237" spans="1:6">
      <c r="A237" s="11"/>
      <c r="B237" s="12"/>
      <c r="C237" s="11"/>
      <c r="D237" s="13"/>
      <c r="E237" s="11"/>
      <c r="F237" t="e">
        <f t="array" ref="F237">PROFEXHyperlinkAddress(B237:B237)</f>
        <v>#NAME?</v>
      </c>
    </row>
    <row r="238" ht="57.75" spans="1:6">
      <c r="A238" s="11"/>
      <c r="B238" s="14" t="s">
        <v>16</v>
      </c>
      <c r="C238" s="11"/>
      <c r="D238" s="13"/>
      <c r="E238" s="11"/>
      <c r="F238" t="e">
        <f t="array" ref="F238">PROFEXHyperlinkAddress(B238:B238)</f>
        <v>#NAME?</v>
      </c>
    </row>
    <row r="239" spans="1:6">
      <c r="A239" s="11"/>
      <c r="B239" s="12"/>
      <c r="C239" s="11"/>
      <c r="D239" s="13"/>
      <c r="E239" s="11"/>
      <c r="F239" t="e">
        <f t="array" ref="F239">PROFEXHyperlinkAddress(B239:B239)</f>
        <v>#NAME?</v>
      </c>
    </row>
    <row r="240" ht="25.5" spans="1:6">
      <c r="A240" s="15"/>
      <c r="B240" s="14" t="s">
        <v>102</v>
      </c>
      <c r="C240" s="15"/>
      <c r="D240" s="16"/>
      <c r="E240" s="15"/>
      <c r="F240" t="e">
        <f t="array" ref="F240">PROFEXHyperlinkAddress(B240:B240)</f>
        <v>#NAME?</v>
      </c>
    </row>
    <row r="241" ht="315" spans="1:6">
      <c r="A241" s="17">
        <v>5529097</v>
      </c>
      <c r="B241" s="18" t="s">
        <v>103</v>
      </c>
      <c r="C241" s="17" t="s">
        <v>1</v>
      </c>
      <c r="D241" s="19" t="s">
        <v>2</v>
      </c>
      <c r="E241" s="17" t="s">
        <v>101</v>
      </c>
      <c r="F241" t="e">
        <f t="array" ref="F241">PROFEXHyperlinkAddress(B241:B241)</f>
        <v>#NAME?</v>
      </c>
    </row>
    <row r="242" spans="1:6">
      <c r="A242" s="11"/>
      <c r="B242" s="12"/>
      <c r="C242" s="11"/>
      <c r="D242" s="13"/>
      <c r="E242" s="11"/>
      <c r="F242" t="e">
        <f t="array" ref="F242">PROFEXHyperlinkAddress(B242:B242)</f>
        <v>#NAME?</v>
      </c>
    </row>
    <row r="243" ht="57.75" spans="1:6">
      <c r="A243" s="11"/>
      <c r="B243" s="14" t="s">
        <v>16</v>
      </c>
      <c r="C243" s="11"/>
      <c r="D243" s="13"/>
      <c r="E243" s="11"/>
      <c r="F243" t="e">
        <f t="array" ref="F243">PROFEXHyperlinkAddress(B243:B243)</f>
        <v>#NAME?</v>
      </c>
    </row>
    <row r="244" spans="1:6">
      <c r="A244" s="11"/>
      <c r="B244" s="12"/>
      <c r="C244" s="11"/>
      <c r="D244" s="13"/>
      <c r="E244" s="11"/>
      <c r="F244" t="e">
        <f t="array" ref="F244">PROFEXHyperlinkAddress(B244:B244)</f>
        <v>#NAME?</v>
      </c>
    </row>
    <row r="245" ht="25.5" spans="1:6">
      <c r="A245" s="15"/>
      <c r="B245" s="14" t="s">
        <v>104</v>
      </c>
      <c r="C245" s="15"/>
      <c r="D245" s="16"/>
      <c r="E245" s="15"/>
      <c r="F245" t="e">
        <f t="array" ref="F245">PROFEXHyperlinkAddress(B245:B245)</f>
        <v>#NAME?</v>
      </c>
    </row>
    <row r="246" ht="409.5" spans="1:6">
      <c r="A246" s="17">
        <v>5528097</v>
      </c>
      <c r="B246" s="18" t="s">
        <v>105</v>
      </c>
      <c r="C246" s="17" t="s">
        <v>1</v>
      </c>
      <c r="D246" s="19" t="s">
        <v>7</v>
      </c>
      <c r="E246" s="17" t="s">
        <v>59</v>
      </c>
      <c r="F246" t="e">
        <f t="array" ref="F246">PROFEXHyperlinkAddress(B246:B246)</f>
        <v>#NAME?</v>
      </c>
    </row>
    <row r="247" spans="1:6">
      <c r="A247" s="11"/>
      <c r="B247" s="12"/>
      <c r="C247" s="11"/>
      <c r="D247" s="13"/>
      <c r="E247" s="11"/>
      <c r="F247" t="e">
        <f t="array" ref="F247">PROFEXHyperlinkAddress(B247:B247)</f>
        <v>#NAME?</v>
      </c>
    </row>
    <row r="248" ht="57.75" spans="1:6">
      <c r="A248" s="11"/>
      <c r="B248" s="14" t="s">
        <v>16</v>
      </c>
      <c r="C248" s="11"/>
      <c r="D248" s="13"/>
      <c r="E248" s="11"/>
      <c r="F248" t="e">
        <f t="array" ref="F248">PROFEXHyperlinkAddress(B248:B248)</f>
        <v>#NAME?</v>
      </c>
    </row>
    <row r="249" spans="1:6">
      <c r="A249" s="11"/>
      <c r="B249" s="12"/>
      <c r="C249" s="11"/>
      <c r="D249" s="13"/>
      <c r="E249" s="11"/>
      <c r="F249" t="e">
        <f t="array" ref="F249">PROFEXHyperlinkAddress(B249:B249)</f>
        <v>#NAME?</v>
      </c>
    </row>
    <row r="250" ht="25.5" spans="1:6">
      <c r="A250" s="15"/>
      <c r="B250" s="14" t="s">
        <v>5</v>
      </c>
      <c r="C250" s="15"/>
      <c r="D250" s="16"/>
      <c r="E250" s="15"/>
      <c r="F250" t="e">
        <f t="array" ref="F250">PROFEXHyperlinkAddress(B250:B250)</f>
        <v>#NAME?</v>
      </c>
    </row>
    <row r="251" ht="285" spans="1:6">
      <c r="A251" s="17">
        <v>5527097</v>
      </c>
      <c r="B251" s="18" t="s">
        <v>106</v>
      </c>
      <c r="C251" s="17" t="s">
        <v>1</v>
      </c>
      <c r="D251" s="19" t="s">
        <v>2</v>
      </c>
      <c r="E251" s="17" t="s">
        <v>107</v>
      </c>
      <c r="F251" t="e">
        <f t="array" ref="F251">PROFEXHyperlinkAddress(B251:B251)</f>
        <v>#NAME?</v>
      </c>
    </row>
    <row r="252" spans="1:6">
      <c r="A252" s="11"/>
      <c r="B252" s="12"/>
      <c r="C252" s="11"/>
      <c r="D252" s="13"/>
      <c r="E252" s="11"/>
      <c r="F252" t="e">
        <f t="array" ref="F252">PROFEXHyperlinkAddress(B252:B252)</f>
        <v>#NAME?</v>
      </c>
    </row>
    <row r="253" ht="57.75" spans="1:6">
      <c r="A253" s="11"/>
      <c r="B253" s="14" t="s">
        <v>16</v>
      </c>
      <c r="C253" s="11"/>
      <c r="D253" s="13"/>
      <c r="E253" s="11"/>
      <c r="F253" t="e">
        <f t="array" ref="F253">PROFEXHyperlinkAddress(B253:B253)</f>
        <v>#NAME?</v>
      </c>
    </row>
    <row r="254" spans="1:6">
      <c r="A254" s="11"/>
      <c r="B254" s="12"/>
      <c r="C254" s="11"/>
      <c r="D254" s="13"/>
      <c r="E254" s="11"/>
      <c r="F254" t="e">
        <f t="array" ref="F254">PROFEXHyperlinkAddress(B254:B254)</f>
        <v>#NAME?</v>
      </c>
    </row>
    <row r="255" ht="25.5" spans="1:6">
      <c r="A255" s="15"/>
      <c r="B255" s="14" t="s">
        <v>108</v>
      </c>
      <c r="C255" s="15"/>
      <c r="D255" s="16"/>
      <c r="E255" s="15"/>
      <c r="F255" t="e">
        <f t="array" ref="F255">PROFEXHyperlinkAddress(B255:B255)</f>
        <v>#NAME?</v>
      </c>
    </row>
    <row r="256" ht="405" spans="1:6">
      <c r="A256" s="17">
        <v>5526097</v>
      </c>
      <c r="B256" s="18" t="s">
        <v>109</v>
      </c>
      <c r="C256" s="17" t="s">
        <v>1</v>
      </c>
      <c r="D256" s="19" t="s">
        <v>7</v>
      </c>
      <c r="E256" s="17" t="s">
        <v>56</v>
      </c>
      <c r="F256" t="e">
        <f t="array" ref="F256">PROFEXHyperlinkAddress(B256:B256)</f>
        <v>#NAME?</v>
      </c>
    </row>
    <row r="257" spans="1:6">
      <c r="A257" s="11"/>
      <c r="B257" s="12"/>
      <c r="C257" s="11"/>
      <c r="D257" s="13"/>
      <c r="E257" s="11"/>
      <c r="F257" t="e">
        <f t="array" ref="F257">PROFEXHyperlinkAddress(B257:B257)</f>
        <v>#NAME?</v>
      </c>
    </row>
    <row r="258" ht="57.75" spans="1:6">
      <c r="A258" s="11"/>
      <c r="B258" s="14" t="s">
        <v>16</v>
      </c>
      <c r="C258" s="11"/>
      <c r="D258" s="13"/>
      <c r="E258" s="11"/>
      <c r="F258" t="e">
        <f t="array" ref="F258">PROFEXHyperlinkAddress(B258:B258)</f>
        <v>#NAME?</v>
      </c>
    </row>
    <row r="259" spans="1:6">
      <c r="A259" s="11"/>
      <c r="B259" s="12"/>
      <c r="C259" s="11"/>
      <c r="D259" s="13"/>
      <c r="E259" s="11"/>
      <c r="F259" t="e">
        <f t="array" ref="F259">PROFEXHyperlinkAddress(B259:B259)</f>
        <v>#NAME?</v>
      </c>
    </row>
    <row r="260" ht="25.5" spans="1:6">
      <c r="A260" s="15"/>
      <c r="B260" s="14" t="s">
        <v>5</v>
      </c>
      <c r="C260" s="15"/>
      <c r="D260" s="16"/>
      <c r="E260" s="15"/>
      <c r="F260" t="e">
        <f t="array" ref="F260">PROFEXHyperlinkAddress(B260:B260)</f>
        <v>#NAME?</v>
      </c>
    </row>
    <row r="261" ht="240" spans="1:6">
      <c r="A261" s="17">
        <v>5525097</v>
      </c>
      <c r="B261" s="18" t="s">
        <v>110</v>
      </c>
      <c r="C261" s="17" t="s">
        <v>1</v>
      </c>
      <c r="D261" s="19" t="s">
        <v>7</v>
      </c>
      <c r="E261" s="17" t="s">
        <v>62</v>
      </c>
      <c r="F261" t="e">
        <f t="array" ref="F261">PROFEXHyperlinkAddress(B261:B261)</f>
        <v>#NAME?</v>
      </c>
    </row>
    <row r="262" spans="1:6">
      <c r="A262" s="11"/>
      <c r="B262" s="12"/>
      <c r="C262" s="11"/>
      <c r="D262" s="13"/>
      <c r="E262" s="11"/>
      <c r="F262" t="e">
        <f t="array" ref="F262">PROFEXHyperlinkAddress(B262:B262)</f>
        <v>#NAME?</v>
      </c>
    </row>
    <row r="263" ht="57.75" spans="1:6">
      <c r="A263" s="11"/>
      <c r="B263" s="14" t="s">
        <v>16</v>
      </c>
      <c r="C263" s="11"/>
      <c r="D263" s="13"/>
      <c r="E263" s="11"/>
      <c r="F263" t="e">
        <f t="array" ref="F263">PROFEXHyperlinkAddress(B263:B263)</f>
        <v>#NAME?</v>
      </c>
    </row>
    <row r="264" spans="1:6">
      <c r="A264" s="11"/>
      <c r="B264" s="12"/>
      <c r="C264" s="11"/>
      <c r="D264" s="13"/>
      <c r="E264" s="11"/>
      <c r="F264" t="e">
        <f t="array" ref="F264">PROFEXHyperlinkAddress(B264:B264)</f>
        <v>#NAME?</v>
      </c>
    </row>
    <row r="265" ht="25.5" spans="1:6">
      <c r="A265" s="15"/>
      <c r="B265" s="14" t="s">
        <v>5</v>
      </c>
      <c r="C265" s="15"/>
      <c r="D265" s="16"/>
      <c r="E265" s="15"/>
      <c r="F265" t="e">
        <f t="array" ref="F265">PROFEXHyperlinkAddress(B265:B265)</f>
        <v>#NAME?</v>
      </c>
    </row>
    <row r="266" ht="135" spans="1:6">
      <c r="A266" s="17">
        <v>5524097</v>
      </c>
      <c r="B266" s="18" t="s">
        <v>111</v>
      </c>
      <c r="C266" s="17" t="s">
        <v>1</v>
      </c>
      <c r="D266" s="19" t="s">
        <v>2</v>
      </c>
      <c r="E266" s="17" t="s">
        <v>112</v>
      </c>
      <c r="F266" t="e">
        <f t="array" ref="F266">PROFEXHyperlinkAddress(B266:B266)</f>
        <v>#NAME?</v>
      </c>
    </row>
    <row r="267" spans="1:6">
      <c r="A267" s="11"/>
      <c r="B267" s="12"/>
      <c r="C267" s="11"/>
      <c r="D267" s="13"/>
      <c r="E267" s="11"/>
      <c r="F267" t="e">
        <f t="array" ref="F267">PROFEXHyperlinkAddress(B267:B267)</f>
        <v>#NAME?</v>
      </c>
    </row>
    <row r="268" ht="57.75" spans="1:6">
      <c r="A268" s="11"/>
      <c r="B268" s="14" t="s">
        <v>16</v>
      </c>
      <c r="C268" s="11"/>
      <c r="D268" s="13"/>
      <c r="E268" s="11"/>
      <c r="F268" t="e">
        <f t="array" ref="F268">PROFEXHyperlinkAddress(B268:B268)</f>
        <v>#NAME?</v>
      </c>
    </row>
    <row r="269" spans="1:6">
      <c r="A269" s="11"/>
      <c r="B269" s="12"/>
      <c r="C269" s="11"/>
      <c r="D269" s="13"/>
      <c r="E269" s="11"/>
      <c r="F269" t="e">
        <f t="array" ref="F269">PROFEXHyperlinkAddress(B269:B269)</f>
        <v>#NAME?</v>
      </c>
    </row>
    <row r="270" ht="25.5" spans="1:6">
      <c r="A270" s="15"/>
      <c r="B270" s="14" t="s">
        <v>113</v>
      </c>
      <c r="C270" s="15"/>
      <c r="D270" s="16"/>
      <c r="E270" s="15"/>
      <c r="F270" t="e">
        <f t="array" ref="F270">PROFEXHyperlinkAddress(B270:B270)</f>
        <v>#NAME?</v>
      </c>
    </row>
    <row r="271" ht="165" spans="1:6">
      <c r="A271" s="17">
        <v>5523097</v>
      </c>
      <c r="B271" s="18" t="s">
        <v>114</v>
      </c>
      <c r="C271" s="17" t="s">
        <v>1</v>
      </c>
      <c r="D271" s="19" t="s">
        <v>2</v>
      </c>
      <c r="E271" s="17" t="s">
        <v>115</v>
      </c>
      <c r="F271" t="e">
        <f t="array" ref="F271">PROFEXHyperlinkAddress(B271:B271)</f>
        <v>#NAME?</v>
      </c>
    </row>
    <row r="272" spans="1:6">
      <c r="A272" s="11"/>
      <c r="B272" s="12"/>
      <c r="C272" s="11"/>
      <c r="D272" s="13"/>
      <c r="E272" s="11"/>
      <c r="F272" t="e">
        <f t="array" ref="F272">PROFEXHyperlinkAddress(B272:B272)</f>
        <v>#NAME?</v>
      </c>
    </row>
    <row r="273" ht="57.75" spans="1:6">
      <c r="A273" s="11"/>
      <c r="B273" s="14" t="s">
        <v>16</v>
      </c>
      <c r="C273" s="11"/>
      <c r="D273" s="13"/>
      <c r="E273" s="11"/>
      <c r="F273" t="e">
        <f t="array" ref="F273">PROFEXHyperlinkAddress(B273:B273)</f>
        <v>#NAME?</v>
      </c>
    </row>
    <row r="274" spans="1:6">
      <c r="A274" s="11"/>
      <c r="B274" s="12"/>
      <c r="C274" s="11"/>
      <c r="D274" s="13"/>
      <c r="E274" s="11"/>
      <c r="F274" t="e">
        <f t="array" ref="F274">PROFEXHyperlinkAddress(B274:B274)</f>
        <v>#NAME?</v>
      </c>
    </row>
    <row r="275" ht="25.5" spans="1:6">
      <c r="A275" s="15"/>
      <c r="B275" s="14" t="s">
        <v>116</v>
      </c>
      <c r="C275" s="15"/>
      <c r="D275" s="16"/>
      <c r="E275" s="15"/>
      <c r="F275" t="e">
        <f t="array" ref="F275">PROFEXHyperlinkAddress(B275:B275)</f>
        <v>#NAME?</v>
      </c>
    </row>
    <row r="276" ht="135" spans="1:6">
      <c r="A276" s="17">
        <v>5522097</v>
      </c>
      <c r="B276" s="18" t="s">
        <v>117</v>
      </c>
      <c r="C276" s="17" t="s">
        <v>1</v>
      </c>
      <c r="D276" s="19" t="s">
        <v>2</v>
      </c>
      <c r="E276" s="17" t="s">
        <v>95</v>
      </c>
      <c r="F276" t="e">
        <f t="array" ref="F276">PROFEXHyperlinkAddress(B276:B276)</f>
        <v>#NAME?</v>
      </c>
    </row>
    <row r="277" spans="1:6">
      <c r="A277" s="11"/>
      <c r="B277" s="12"/>
      <c r="C277" s="11"/>
      <c r="D277" s="13"/>
      <c r="E277" s="11"/>
      <c r="F277" t="e">
        <f t="array" ref="F277">PROFEXHyperlinkAddress(B277:B277)</f>
        <v>#NAME?</v>
      </c>
    </row>
    <row r="278" ht="57.75" spans="1:6">
      <c r="A278" s="11"/>
      <c r="B278" s="14" t="s">
        <v>16</v>
      </c>
      <c r="C278" s="11"/>
      <c r="D278" s="13"/>
      <c r="E278" s="11"/>
      <c r="F278" t="e">
        <f t="array" ref="F278">PROFEXHyperlinkAddress(B278:B278)</f>
        <v>#NAME?</v>
      </c>
    </row>
    <row r="279" spans="1:6">
      <c r="A279" s="11"/>
      <c r="B279" s="12"/>
      <c r="C279" s="11"/>
      <c r="D279" s="13"/>
      <c r="E279" s="11"/>
      <c r="F279" t="e">
        <f t="array" ref="F279">PROFEXHyperlinkAddress(B279:B279)</f>
        <v>#NAME?</v>
      </c>
    </row>
    <row r="280" ht="25.5" spans="1:6">
      <c r="A280" s="15"/>
      <c r="B280" s="14" t="s">
        <v>118</v>
      </c>
      <c r="C280" s="15"/>
      <c r="D280" s="16"/>
      <c r="E280" s="15"/>
      <c r="F280" t="e">
        <f t="array" ref="F280">PROFEXHyperlinkAddress(B280:B280)</f>
        <v>#NAME?</v>
      </c>
    </row>
    <row r="281" ht="150" spans="1:6">
      <c r="A281" s="17">
        <v>5521097</v>
      </c>
      <c r="B281" s="18" t="s">
        <v>119</v>
      </c>
      <c r="C281" s="17" t="s">
        <v>1</v>
      </c>
      <c r="D281" s="19" t="s">
        <v>2</v>
      </c>
      <c r="E281" s="17" t="s">
        <v>120</v>
      </c>
      <c r="F281" t="e">
        <f t="array" ref="F281">PROFEXHyperlinkAddress(B281:B281)</f>
        <v>#NAME?</v>
      </c>
    </row>
    <row r="282" spans="1:6">
      <c r="A282" s="11"/>
      <c r="B282" s="12"/>
      <c r="C282" s="11"/>
      <c r="D282" s="13"/>
      <c r="E282" s="11"/>
      <c r="F282" t="e">
        <f t="array" ref="F282">PROFEXHyperlinkAddress(B282:B282)</f>
        <v>#NAME?</v>
      </c>
    </row>
    <row r="283" ht="57.75" spans="1:6">
      <c r="A283" s="11"/>
      <c r="B283" s="14" t="s">
        <v>16</v>
      </c>
      <c r="C283" s="11"/>
      <c r="D283" s="13"/>
      <c r="E283" s="11"/>
      <c r="F283" t="e">
        <f t="array" ref="F283">PROFEXHyperlinkAddress(B283:B283)</f>
        <v>#NAME?</v>
      </c>
    </row>
    <row r="284" spans="1:6">
      <c r="A284" s="11"/>
      <c r="B284" s="12"/>
      <c r="C284" s="11"/>
      <c r="D284" s="13"/>
      <c r="E284" s="11"/>
      <c r="F284" t="e">
        <f t="array" ref="F284">PROFEXHyperlinkAddress(B284:B284)</f>
        <v>#NAME?</v>
      </c>
    </row>
    <row r="285" ht="25.5" spans="1:6">
      <c r="A285" s="15"/>
      <c r="B285" s="14" t="s">
        <v>121</v>
      </c>
      <c r="C285" s="15"/>
      <c r="D285" s="16"/>
      <c r="E285" s="15"/>
      <c r="F285" t="e">
        <f t="array" ref="F285">PROFEXHyperlinkAddress(B285:B285)</f>
        <v>#NAME?</v>
      </c>
    </row>
    <row r="286" ht="150" spans="1:6">
      <c r="A286" s="17">
        <v>5520097</v>
      </c>
      <c r="B286" s="18" t="s">
        <v>122</v>
      </c>
      <c r="C286" s="17" t="s">
        <v>1</v>
      </c>
      <c r="D286" s="19" t="s">
        <v>2</v>
      </c>
      <c r="E286" s="17" t="s">
        <v>115</v>
      </c>
      <c r="F286" t="e">
        <f t="array" ref="F286">PROFEXHyperlinkAddress(B286:B286)</f>
        <v>#NAME?</v>
      </c>
    </row>
    <row r="287" spans="1:6">
      <c r="A287" s="11"/>
      <c r="B287" s="12"/>
      <c r="C287" s="11"/>
      <c r="D287" s="13"/>
      <c r="E287" s="11"/>
      <c r="F287" t="e">
        <f t="array" ref="F287">PROFEXHyperlinkAddress(B287:B287)</f>
        <v>#NAME?</v>
      </c>
    </row>
    <row r="288" ht="57.75" spans="1:6">
      <c r="A288" s="11"/>
      <c r="B288" s="14" t="s">
        <v>16</v>
      </c>
      <c r="C288" s="11"/>
      <c r="D288" s="13"/>
      <c r="E288" s="11"/>
      <c r="F288" t="e">
        <f t="array" ref="F288">PROFEXHyperlinkAddress(B288:B288)</f>
        <v>#NAME?</v>
      </c>
    </row>
    <row r="289" spans="1:6">
      <c r="A289" s="11"/>
      <c r="B289" s="12"/>
      <c r="C289" s="11"/>
      <c r="D289" s="13"/>
      <c r="E289" s="11"/>
      <c r="F289" t="e">
        <f t="array" ref="F289">PROFEXHyperlinkAddress(B289:B289)</f>
        <v>#NAME?</v>
      </c>
    </row>
    <row r="290" ht="25.5" spans="1:6">
      <c r="A290" s="15"/>
      <c r="B290" s="14" t="s">
        <v>116</v>
      </c>
      <c r="C290" s="15"/>
      <c r="D290" s="16"/>
      <c r="E290" s="15"/>
      <c r="F290" t="e">
        <f t="array" ref="F290">PROFEXHyperlinkAddress(B290:B290)</f>
        <v>#NAME?</v>
      </c>
    </row>
    <row r="291" ht="90" spans="1:6">
      <c r="A291" s="17">
        <v>5519097</v>
      </c>
      <c r="B291" s="18" t="s">
        <v>123</v>
      </c>
      <c r="C291" s="17" t="s">
        <v>1</v>
      </c>
      <c r="D291" s="19" t="s">
        <v>2</v>
      </c>
      <c r="E291" s="17" t="s">
        <v>124</v>
      </c>
      <c r="F291" t="e">
        <f t="array" ref="F291">PROFEXHyperlinkAddress(B291:B291)</f>
        <v>#NAME?</v>
      </c>
    </row>
    <row r="292" spans="1:6">
      <c r="A292" s="11"/>
      <c r="B292" s="12"/>
      <c r="C292" s="11"/>
      <c r="D292" s="13"/>
      <c r="E292" s="11"/>
      <c r="F292" t="e">
        <f t="array" ref="F292">PROFEXHyperlinkAddress(B292:B292)</f>
        <v>#NAME?</v>
      </c>
    </row>
    <row r="293" ht="57.75" spans="1:6">
      <c r="A293" s="11"/>
      <c r="B293" s="14" t="s">
        <v>16</v>
      </c>
      <c r="C293" s="11"/>
      <c r="D293" s="13"/>
      <c r="E293" s="11"/>
      <c r="F293" t="e">
        <f t="array" ref="F293">PROFEXHyperlinkAddress(B293:B293)</f>
        <v>#NAME?</v>
      </c>
    </row>
    <row r="294" spans="1:6">
      <c r="A294" s="11"/>
      <c r="B294" s="12"/>
      <c r="C294" s="11"/>
      <c r="D294" s="13"/>
      <c r="E294" s="11"/>
      <c r="F294" t="e">
        <f t="array" ref="F294">PROFEXHyperlinkAddress(B294:B294)</f>
        <v>#NAME?</v>
      </c>
    </row>
    <row r="295" ht="25.5" spans="1:6">
      <c r="A295" s="15"/>
      <c r="B295" s="14" t="s">
        <v>125</v>
      </c>
      <c r="C295" s="15"/>
      <c r="D295" s="16"/>
      <c r="E295" s="15"/>
      <c r="F295" t="e">
        <f t="array" ref="F295">PROFEXHyperlinkAddress(B295:B295)</f>
        <v>#NAME?</v>
      </c>
    </row>
    <row r="296" ht="315" spans="1:6">
      <c r="A296" s="17">
        <v>5518097</v>
      </c>
      <c r="B296" s="18" t="s">
        <v>126</v>
      </c>
      <c r="C296" s="17" t="s">
        <v>1</v>
      </c>
      <c r="D296" s="19" t="s">
        <v>7</v>
      </c>
      <c r="E296" s="17" t="s">
        <v>46</v>
      </c>
      <c r="F296" t="e">
        <f t="array" ref="F296">PROFEXHyperlinkAddress(B296:B296)</f>
        <v>#NAME?</v>
      </c>
    </row>
    <row r="297" spans="1:6">
      <c r="A297" s="11"/>
      <c r="B297" s="12"/>
      <c r="C297" s="11"/>
      <c r="D297" s="13"/>
      <c r="E297" s="11"/>
      <c r="F297" t="e">
        <f t="array" ref="F297">PROFEXHyperlinkAddress(B297:B297)</f>
        <v>#NAME?</v>
      </c>
    </row>
    <row r="298" ht="57.75" spans="1:6">
      <c r="A298" s="11"/>
      <c r="B298" s="14" t="s">
        <v>21</v>
      </c>
      <c r="C298" s="11"/>
      <c r="D298" s="13"/>
      <c r="E298" s="11"/>
      <c r="F298" t="e">
        <f t="array" ref="F298">PROFEXHyperlinkAddress(B298:B298)</f>
        <v>#NAME?</v>
      </c>
    </row>
    <row r="299" spans="1:6">
      <c r="A299" s="11"/>
      <c r="B299" s="12"/>
      <c r="C299" s="11"/>
      <c r="D299" s="13"/>
      <c r="E299" s="11"/>
      <c r="F299" t="e">
        <f t="array" ref="F299">PROFEXHyperlinkAddress(B299:B299)</f>
        <v>#NAME?</v>
      </c>
    </row>
    <row r="300" ht="25.5" spans="1:6">
      <c r="A300" s="15"/>
      <c r="B300" s="14" t="s">
        <v>5</v>
      </c>
      <c r="C300" s="15"/>
      <c r="D300" s="16"/>
      <c r="E300" s="15"/>
      <c r="F300" t="e">
        <f t="array" ref="F300">PROFEXHyperlinkAddress(B300:B300)</f>
        <v>#NAME?</v>
      </c>
    </row>
    <row r="301" ht="300" spans="1:6">
      <c r="A301" s="17">
        <v>5517097</v>
      </c>
      <c r="B301" s="18" t="s">
        <v>127</v>
      </c>
      <c r="C301" s="17" t="s">
        <v>1</v>
      </c>
      <c r="D301" s="19" t="s">
        <v>2</v>
      </c>
      <c r="E301" s="17" t="s">
        <v>128</v>
      </c>
      <c r="F301" t="e">
        <f t="array" ref="F301">PROFEXHyperlinkAddress(B301:B301)</f>
        <v>#NAME?</v>
      </c>
    </row>
    <row r="302" spans="1:6">
      <c r="A302" s="11"/>
      <c r="B302" s="12"/>
      <c r="C302" s="11"/>
      <c r="D302" s="13"/>
      <c r="E302" s="11"/>
      <c r="F302" t="e">
        <f t="array" ref="F302">PROFEXHyperlinkAddress(B302:B302)</f>
        <v>#NAME?</v>
      </c>
    </row>
    <row r="303" ht="57.75" spans="1:6">
      <c r="A303" s="11"/>
      <c r="B303" s="14" t="s">
        <v>21</v>
      </c>
      <c r="C303" s="11"/>
      <c r="D303" s="13"/>
      <c r="E303" s="11"/>
      <c r="F303" t="e">
        <f t="array" ref="F303">PROFEXHyperlinkAddress(B303:B303)</f>
        <v>#NAME?</v>
      </c>
    </row>
    <row r="304" spans="1:6">
      <c r="A304" s="11"/>
      <c r="B304" s="12"/>
      <c r="C304" s="11"/>
      <c r="D304" s="13"/>
      <c r="E304" s="11"/>
      <c r="F304" t="e">
        <f t="array" ref="F304">PROFEXHyperlinkAddress(B304:B304)</f>
        <v>#NAME?</v>
      </c>
    </row>
    <row r="305" ht="25.5" spans="1:6">
      <c r="A305" s="15"/>
      <c r="B305" s="14" t="s">
        <v>5</v>
      </c>
      <c r="C305" s="15"/>
      <c r="D305" s="16"/>
      <c r="E305" s="15"/>
      <c r="F305" t="e">
        <f t="array" ref="F305">PROFEXHyperlinkAddress(B305:B305)</f>
        <v>#NAME?</v>
      </c>
    </row>
    <row r="306" ht="390" spans="1:6">
      <c r="A306" s="17">
        <v>5516097</v>
      </c>
      <c r="B306" s="18" t="s">
        <v>129</v>
      </c>
      <c r="C306" s="17" t="s">
        <v>1</v>
      </c>
      <c r="D306" s="19" t="s">
        <v>7</v>
      </c>
      <c r="E306" s="17" t="s">
        <v>20</v>
      </c>
      <c r="F306" t="e">
        <f t="array" ref="F306">PROFEXHyperlinkAddress(B306:B306)</f>
        <v>#NAME?</v>
      </c>
    </row>
    <row r="307" spans="1:6">
      <c r="A307" s="11"/>
      <c r="B307" s="12"/>
      <c r="C307" s="11"/>
      <c r="D307" s="13"/>
      <c r="E307" s="11"/>
      <c r="F307" t="e">
        <f t="array" ref="F307">PROFEXHyperlinkAddress(B307:B307)</f>
        <v>#NAME?</v>
      </c>
    </row>
    <row r="308" ht="57.75" spans="1:6">
      <c r="A308" s="11"/>
      <c r="B308" s="14" t="s">
        <v>21</v>
      </c>
      <c r="C308" s="11"/>
      <c r="D308" s="13"/>
      <c r="E308" s="11"/>
      <c r="F308" t="e">
        <f t="array" ref="F308">PROFEXHyperlinkAddress(B308:B308)</f>
        <v>#NAME?</v>
      </c>
    </row>
    <row r="309" spans="1:6">
      <c r="A309" s="11"/>
      <c r="B309" s="12"/>
      <c r="C309" s="11"/>
      <c r="D309" s="13"/>
      <c r="E309" s="11"/>
      <c r="F309" t="e">
        <f t="array" ref="F309">PROFEXHyperlinkAddress(B309:B309)</f>
        <v>#NAME?</v>
      </c>
    </row>
    <row r="310" ht="25.5" spans="1:6">
      <c r="A310" s="15"/>
      <c r="B310" s="14" t="s">
        <v>5</v>
      </c>
      <c r="C310" s="15"/>
      <c r="D310" s="16"/>
      <c r="E310" s="15"/>
      <c r="F310" t="e">
        <f t="array" ref="F310">PROFEXHyperlinkAddress(B310:B310)</f>
        <v>#NAME?</v>
      </c>
    </row>
    <row r="311" ht="150" spans="1:6">
      <c r="A311" s="17">
        <v>5514097</v>
      </c>
      <c r="B311" s="18" t="s">
        <v>130</v>
      </c>
      <c r="C311" s="17" t="s">
        <v>1</v>
      </c>
      <c r="D311" s="19" t="s">
        <v>2</v>
      </c>
      <c r="E311" s="17" t="s">
        <v>115</v>
      </c>
      <c r="F311" t="e">
        <f t="array" ref="F311">PROFEXHyperlinkAddress(B311:B311)</f>
        <v>#NAME?</v>
      </c>
    </row>
    <row r="312" spans="1:6">
      <c r="A312" s="11"/>
      <c r="B312" s="12"/>
      <c r="C312" s="11"/>
      <c r="D312" s="13"/>
      <c r="E312" s="11"/>
      <c r="F312" t="e">
        <f t="array" ref="F312">PROFEXHyperlinkAddress(B312:B312)</f>
        <v>#NAME?</v>
      </c>
    </row>
    <row r="313" ht="57.75" spans="1:6">
      <c r="A313" s="11"/>
      <c r="B313" s="14" t="s">
        <v>16</v>
      </c>
      <c r="C313" s="11"/>
      <c r="D313" s="13"/>
      <c r="E313" s="11"/>
      <c r="F313" t="e">
        <f t="array" ref="F313">PROFEXHyperlinkAddress(B313:B313)</f>
        <v>#NAME?</v>
      </c>
    </row>
    <row r="314" spans="1:6">
      <c r="A314" s="11"/>
      <c r="B314" s="12"/>
      <c r="C314" s="11"/>
      <c r="D314" s="13"/>
      <c r="E314" s="11"/>
      <c r="F314" t="e">
        <f t="array" ref="F314">PROFEXHyperlinkAddress(B314:B314)</f>
        <v>#NAME?</v>
      </c>
    </row>
    <row r="315" ht="25.5" spans="1:6">
      <c r="A315" s="15"/>
      <c r="B315" s="14" t="s">
        <v>131</v>
      </c>
      <c r="C315" s="15"/>
      <c r="D315" s="16"/>
      <c r="E315" s="15"/>
      <c r="F315" t="e">
        <f t="array" ref="F315">PROFEXHyperlinkAddress(B315:B315)</f>
        <v>#NAME?</v>
      </c>
    </row>
    <row r="316" ht="150" spans="1:6">
      <c r="A316" s="17">
        <v>5513097</v>
      </c>
      <c r="B316" s="18" t="s">
        <v>132</v>
      </c>
      <c r="C316" s="17" t="s">
        <v>1</v>
      </c>
      <c r="D316" s="19" t="s">
        <v>2</v>
      </c>
      <c r="E316" s="17" t="s">
        <v>120</v>
      </c>
      <c r="F316" t="e">
        <f t="array" ref="F316">PROFEXHyperlinkAddress(B316:B316)</f>
        <v>#NAME?</v>
      </c>
    </row>
    <row r="317" spans="1:6">
      <c r="A317" s="11"/>
      <c r="B317" s="12"/>
      <c r="C317" s="11"/>
      <c r="D317" s="13"/>
      <c r="E317" s="11"/>
      <c r="F317" t="e">
        <f t="array" ref="F317">PROFEXHyperlinkAddress(B317:B317)</f>
        <v>#NAME?</v>
      </c>
    </row>
    <row r="318" ht="57.75" spans="1:6">
      <c r="A318" s="11"/>
      <c r="B318" s="14" t="s">
        <v>16</v>
      </c>
      <c r="C318" s="11"/>
      <c r="D318" s="13"/>
      <c r="E318" s="11"/>
      <c r="F318" t="e">
        <f t="array" ref="F318">PROFEXHyperlinkAddress(B318:B318)</f>
        <v>#NAME?</v>
      </c>
    </row>
    <row r="319" spans="1:6">
      <c r="A319" s="11"/>
      <c r="B319" s="12"/>
      <c r="C319" s="11"/>
      <c r="D319" s="13"/>
      <c r="E319" s="11"/>
      <c r="F319" t="e">
        <f t="array" ref="F319">PROFEXHyperlinkAddress(B319:B319)</f>
        <v>#NAME?</v>
      </c>
    </row>
    <row r="320" ht="25.5" spans="1:6">
      <c r="A320" s="15"/>
      <c r="B320" s="14" t="s">
        <v>133</v>
      </c>
      <c r="C320" s="15"/>
      <c r="D320" s="16"/>
      <c r="E320" s="15"/>
      <c r="F320" t="e">
        <f t="array" ref="F320">PROFEXHyperlinkAddress(B320:B320)</f>
        <v>#NAME?</v>
      </c>
    </row>
    <row r="321" ht="60" spans="1:6">
      <c r="A321" s="17">
        <v>5512097</v>
      </c>
      <c r="B321" s="18" t="s">
        <v>134</v>
      </c>
      <c r="C321" s="17" t="s">
        <v>1</v>
      </c>
      <c r="D321" s="19" t="s">
        <v>2</v>
      </c>
      <c r="E321" s="17" t="s">
        <v>135</v>
      </c>
      <c r="F321" t="e">
        <f t="array" ref="F321">PROFEXHyperlinkAddress(B321:B321)</f>
        <v>#NAME?</v>
      </c>
    </row>
    <row r="322" spans="1:6">
      <c r="A322" s="11"/>
      <c r="B322" s="12"/>
      <c r="C322" s="11"/>
      <c r="D322" s="13"/>
      <c r="E322" s="11"/>
      <c r="F322" t="e">
        <f t="array" ref="F322">PROFEXHyperlinkAddress(B322:B322)</f>
        <v>#NAME?</v>
      </c>
    </row>
    <row r="323" ht="57.75" spans="1:6">
      <c r="A323" s="11"/>
      <c r="B323" s="14" t="s">
        <v>16</v>
      </c>
      <c r="C323" s="11"/>
      <c r="D323" s="13"/>
      <c r="E323" s="11"/>
      <c r="F323" t="e">
        <f t="array" ref="F323">PROFEXHyperlinkAddress(B323:B323)</f>
        <v>#NAME?</v>
      </c>
    </row>
    <row r="324" spans="1:6">
      <c r="A324" s="11"/>
      <c r="B324" s="12"/>
      <c r="C324" s="11"/>
      <c r="D324" s="13"/>
      <c r="E324" s="11"/>
      <c r="F324" t="e">
        <f t="array" ref="F324">PROFEXHyperlinkAddress(B324:B324)</f>
        <v>#NAME?</v>
      </c>
    </row>
    <row r="325" ht="25.5" spans="1:6">
      <c r="A325" s="15"/>
      <c r="B325" s="14" t="s">
        <v>5</v>
      </c>
      <c r="C325" s="15"/>
      <c r="D325" s="16"/>
      <c r="E325" s="15"/>
      <c r="F325" t="e">
        <f t="array" ref="F325">PROFEXHyperlinkAddress(B325:B325)</f>
        <v>#NAME?</v>
      </c>
    </row>
    <row r="326" ht="135" spans="1:6">
      <c r="A326" s="17">
        <v>5509097</v>
      </c>
      <c r="B326" s="18" t="s">
        <v>136</v>
      </c>
      <c r="C326" s="17" t="s">
        <v>1</v>
      </c>
      <c r="D326" s="19" t="s">
        <v>2</v>
      </c>
      <c r="E326" s="17" t="s">
        <v>137</v>
      </c>
      <c r="F326" t="e">
        <f t="array" ref="F326">PROFEXHyperlinkAddress(B326:B326)</f>
        <v>#NAME?</v>
      </c>
    </row>
    <row r="327" spans="1:6">
      <c r="A327" s="11"/>
      <c r="B327" s="12"/>
      <c r="C327" s="11"/>
      <c r="D327" s="13"/>
      <c r="E327" s="11"/>
      <c r="F327" t="e">
        <f t="array" ref="F327">PROFEXHyperlinkAddress(B327:B327)</f>
        <v>#NAME?</v>
      </c>
    </row>
    <row r="328" ht="57.75" spans="1:6">
      <c r="A328" s="11"/>
      <c r="B328" s="14" t="s">
        <v>16</v>
      </c>
      <c r="C328" s="11"/>
      <c r="D328" s="13"/>
      <c r="E328" s="11"/>
      <c r="F328" t="e">
        <f t="array" ref="F328">PROFEXHyperlinkAddress(B328:B328)</f>
        <v>#NAME?</v>
      </c>
    </row>
    <row r="329" spans="1:6">
      <c r="A329" s="11"/>
      <c r="B329" s="12"/>
      <c r="C329" s="11"/>
      <c r="D329" s="13"/>
      <c r="E329" s="11"/>
      <c r="F329" t="e">
        <f t="array" ref="F329">PROFEXHyperlinkAddress(B329:B329)</f>
        <v>#NAME?</v>
      </c>
    </row>
    <row r="330" ht="25.5" spans="1:6">
      <c r="A330" s="15"/>
      <c r="B330" s="14" t="s">
        <v>138</v>
      </c>
      <c r="C330" s="15"/>
      <c r="D330" s="16"/>
      <c r="E330" s="15"/>
      <c r="F330" t="e">
        <f t="array" ref="F330">PROFEXHyperlinkAddress(B330:B330)</f>
        <v>#NAME?</v>
      </c>
    </row>
    <row r="331" ht="165" spans="1:6">
      <c r="A331" s="17">
        <v>5508097</v>
      </c>
      <c r="B331" s="18" t="s">
        <v>139</v>
      </c>
      <c r="C331" s="17" t="s">
        <v>1</v>
      </c>
      <c r="D331" s="19" t="s">
        <v>2</v>
      </c>
      <c r="E331" s="17" t="s">
        <v>140</v>
      </c>
      <c r="F331" t="e">
        <f t="array" ref="F331">PROFEXHyperlinkAddress(B331:B331)</f>
        <v>#NAME?</v>
      </c>
    </row>
    <row r="332" spans="1:6">
      <c r="A332" s="11"/>
      <c r="B332" s="12"/>
      <c r="C332" s="11"/>
      <c r="D332" s="13"/>
      <c r="E332" s="11"/>
      <c r="F332" t="e">
        <f t="array" ref="F332">PROFEXHyperlinkAddress(B332:B332)</f>
        <v>#NAME?</v>
      </c>
    </row>
    <row r="333" ht="57.75" spans="1:6">
      <c r="A333" s="11"/>
      <c r="B333" s="14" t="s">
        <v>21</v>
      </c>
      <c r="C333" s="11"/>
      <c r="D333" s="13"/>
      <c r="E333" s="11"/>
      <c r="F333" t="e">
        <f t="array" ref="F333">PROFEXHyperlinkAddress(B333:B333)</f>
        <v>#NAME?</v>
      </c>
    </row>
    <row r="334" spans="1:6">
      <c r="A334" s="11"/>
      <c r="B334" s="12"/>
      <c r="C334" s="11"/>
      <c r="D334" s="13"/>
      <c r="E334" s="11"/>
      <c r="F334" t="e">
        <f t="array" ref="F334">PROFEXHyperlinkAddress(B334:B334)</f>
        <v>#NAME?</v>
      </c>
    </row>
    <row r="335" ht="25.5" spans="1:6">
      <c r="A335" s="15"/>
      <c r="B335" s="14" t="s">
        <v>5</v>
      </c>
      <c r="C335" s="15"/>
      <c r="D335" s="16"/>
      <c r="E335" s="15"/>
      <c r="F335" t="e">
        <f t="array" ref="F335">PROFEXHyperlinkAddress(B335:B335)</f>
        <v>#NAME?</v>
      </c>
    </row>
    <row r="336" ht="120" spans="1:6">
      <c r="A336" s="17">
        <v>5507097</v>
      </c>
      <c r="B336" s="18" t="s">
        <v>141</v>
      </c>
      <c r="C336" s="17" t="s">
        <v>1</v>
      </c>
      <c r="D336" s="19" t="s">
        <v>2</v>
      </c>
      <c r="E336" s="17" t="s">
        <v>142</v>
      </c>
      <c r="F336" t="e">
        <f t="array" ref="F336">PROFEXHyperlinkAddress(B336:B336)</f>
        <v>#NAME?</v>
      </c>
    </row>
    <row r="337" spans="1:6">
      <c r="A337" s="11"/>
      <c r="B337" s="12"/>
      <c r="C337" s="11"/>
      <c r="D337" s="13"/>
      <c r="E337" s="11"/>
      <c r="F337" t="e">
        <f t="array" ref="F337">PROFEXHyperlinkAddress(B337:B337)</f>
        <v>#NAME?</v>
      </c>
    </row>
    <row r="338" ht="57.75" spans="1:6">
      <c r="A338" s="11"/>
      <c r="B338" s="14" t="s">
        <v>16</v>
      </c>
      <c r="C338" s="11"/>
      <c r="D338" s="13"/>
      <c r="E338" s="11"/>
      <c r="F338" t="e">
        <f t="array" ref="F338">PROFEXHyperlinkAddress(B338:B338)</f>
        <v>#NAME?</v>
      </c>
    </row>
    <row r="339" spans="1:6">
      <c r="A339" s="11"/>
      <c r="B339" s="12"/>
      <c r="C339" s="11"/>
      <c r="D339" s="13"/>
      <c r="E339" s="11"/>
      <c r="F339" t="e">
        <f t="array" ref="F339">PROFEXHyperlinkAddress(B339:B339)</f>
        <v>#NAME?</v>
      </c>
    </row>
    <row r="340" ht="25.5" spans="1:6">
      <c r="A340" s="15"/>
      <c r="B340" s="14" t="s">
        <v>143</v>
      </c>
      <c r="C340" s="15"/>
      <c r="D340" s="16"/>
      <c r="E340" s="15"/>
      <c r="F340" t="e">
        <f t="array" ref="F340">PROFEXHyperlinkAddress(B340:B340)</f>
        <v>#NAME?</v>
      </c>
    </row>
    <row r="341" ht="150" spans="1:6">
      <c r="A341" s="17">
        <v>5505097</v>
      </c>
      <c r="B341" s="18" t="s">
        <v>144</v>
      </c>
      <c r="C341" s="17" t="s">
        <v>1</v>
      </c>
      <c r="D341" s="19" t="s">
        <v>7</v>
      </c>
      <c r="E341" s="17" t="s">
        <v>145</v>
      </c>
      <c r="F341" t="e">
        <f t="array" ref="F341">PROFEXHyperlinkAddress(B341:B341)</f>
        <v>#NAME?</v>
      </c>
    </row>
    <row r="342" spans="1:6">
      <c r="A342" s="11"/>
      <c r="B342" s="12"/>
      <c r="C342" s="11"/>
      <c r="D342" s="13"/>
      <c r="E342" s="11"/>
      <c r="F342" t="e">
        <f t="array" ref="F342">PROFEXHyperlinkAddress(B342:B342)</f>
        <v>#NAME?</v>
      </c>
    </row>
    <row r="343" ht="57.75" spans="1:6">
      <c r="A343" s="11"/>
      <c r="B343" s="14" t="s">
        <v>21</v>
      </c>
      <c r="C343" s="11"/>
      <c r="D343" s="13"/>
      <c r="E343" s="11"/>
      <c r="F343" t="e">
        <f t="array" ref="F343">PROFEXHyperlinkAddress(B343:B343)</f>
        <v>#NAME?</v>
      </c>
    </row>
    <row r="344" spans="1:6">
      <c r="A344" s="11"/>
      <c r="B344" s="12"/>
      <c r="C344" s="11"/>
      <c r="D344" s="13"/>
      <c r="E344" s="11"/>
      <c r="F344" t="e">
        <f t="array" ref="F344">PROFEXHyperlinkAddress(B344:B344)</f>
        <v>#NAME?</v>
      </c>
    </row>
    <row r="345" ht="25.5" spans="1:6">
      <c r="A345" s="15"/>
      <c r="B345" s="14" t="s">
        <v>5</v>
      </c>
      <c r="C345" s="15"/>
      <c r="D345" s="16"/>
      <c r="E345" s="15"/>
      <c r="F345" t="e">
        <f t="array" ref="F345">PROFEXHyperlinkAddress(B345:B345)</f>
        <v>#NAME?</v>
      </c>
    </row>
    <row r="346" ht="180" spans="1:6">
      <c r="A346" s="17">
        <v>5504097</v>
      </c>
      <c r="B346" s="18" t="s">
        <v>146</v>
      </c>
      <c r="C346" s="17" t="s">
        <v>1</v>
      </c>
      <c r="D346" s="19" t="s">
        <v>2</v>
      </c>
      <c r="E346" s="17" t="s">
        <v>147</v>
      </c>
      <c r="F346" t="e">
        <f t="array" ref="F346">PROFEXHyperlinkAddress(B346:B346)</f>
        <v>#NAME?</v>
      </c>
    </row>
    <row r="347" spans="1:6">
      <c r="A347" s="11"/>
      <c r="B347" s="12"/>
      <c r="C347" s="11"/>
      <c r="D347" s="13"/>
      <c r="E347" s="11"/>
      <c r="F347" t="e">
        <f t="array" ref="F347">PROFEXHyperlinkAddress(B347:B347)</f>
        <v>#NAME?</v>
      </c>
    </row>
    <row r="348" ht="49.5" spans="1:6">
      <c r="A348" s="11"/>
      <c r="B348" s="14" t="s">
        <v>78</v>
      </c>
      <c r="C348" s="11"/>
      <c r="D348" s="13"/>
      <c r="E348" s="11"/>
      <c r="F348" t="e">
        <f t="array" ref="F348">PROFEXHyperlinkAddress(B348:B348)</f>
        <v>#NAME?</v>
      </c>
    </row>
    <row r="349" spans="1:6">
      <c r="A349" s="11"/>
      <c r="B349" s="12"/>
      <c r="C349" s="11"/>
      <c r="D349" s="13"/>
      <c r="E349" s="11"/>
      <c r="F349" t="e">
        <f t="array" ref="F349">PROFEXHyperlinkAddress(B349:B349)</f>
        <v>#NAME?</v>
      </c>
    </row>
    <row r="350" ht="25.5" spans="1:6">
      <c r="A350" s="15"/>
      <c r="B350" s="14" t="s">
        <v>5</v>
      </c>
      <c r="C350" s="15"/>
      <c r="D350" s="16"/>
      <c r="E350" s="15"/>
      <c r="F350" t="e">
        <f t="array" ref="F350">PROFEXHyperlinkAddress(B350:B350)</f>
        <v>#NAME?</v>
      </c>
    </row>
    <row r="351" ht="225" spans="1:6">
      <c r="A351" s="17">
        <v>5503097</v>
      </c>
      <c r="B351" s="18" t="s">
        <v>148</v>
      </c>
      <c r="C351" s="17" t="s">
        <v>149</v>
      </c>
      <c r="D351" s="19" t="s">
        <v>2</v>
      </c>
      <c r="E351" s="17" t="s">
        <v>150</v>
      </c>
      <c r="F351" t="e">
        <f t="array" ref="F351">PROFEXHyperlinkAddress(B351:B351)</f>
        <v>#NAME?</v>
      </c>
    </row>
    <row r="352" spans="1:6">
      <c r="A352" s="11"/>
      <c r="B352" s="12"/>
      <c r="C352" s="11"/>
      <c r="D352" s="13"/>
      <c r="E352" s="11"/>
      <c r="F352" t="e">
        <f t="array" ref="F352">PROFEXHyperlinkAddress(B352:B352)</f>
        <v>#NAME?</v>
      </c>
    </row>
    <row r="353" ht="57.75" spans="1:6">
      <c r="A353" s="11"/>
      <c r="B353" s="14" t="s">
        <v>4</v>
      </c>
      <c r="C353" s="11"/>
      <c r="D353" s="13"/>
      <c r="E353" s="11"/>
      <c r="F353" t="e">
        <f t="array" ref="F353">PROFEXHyperlinkAddress(B353:B353)</f>
        <v>#NAME?</v>
      </c>
    </row>
    <row r="354" spans="1:6">
      <c r="A354" s="11"/>
      <c r="B354" s="12"/>
      <c r="C354" s="11"/>
      <c r="D354" s="13"/>
      <c r="E354" s="11"/>
      <c r="F354" t="e">
        <f t="array" ref="F354">PROFEXHyperlinkAddress(B354:B354)</f>
        <v>#NAME?</v>
      </c>
    </row>
    <row r="355" ht="25.5" spans="1:6">
      <c r="A355" s="15"/>
      <c r="B355" s="14" t="s">
        <v>151</v>
      </c>
      <c r="C355" s="15"/>
      <c r="D355" s="16"/>
      <c r="E355" s="15"/>
      <c r="F355" t="e">
        <f t="array" ref="F355">PROFEXHyperlinkAddress(B355:B355)</f>
        <v>#NAME?</v>
      </c>
    </row>
    <row r="356" ht="135" spans="1:6">
      <c r="A356" s="17">
        <v>5500097</v>
      </c>
      <c r="B356" s="18" t="s">
        <v>152</v>
      </c>
      <c r="C356" s="17" t="s">
        <v>1</v>
      </c>
      <c r="D356" s="19" t="s">
        <v>2</v>
      </c>
      <c r="E356" s="17" t="s">
        <v>140</v>
      </c>
      <c r="F356" t="e">
        <f t="array" ref="F356">PROFEXHyperlinkAddress(B356:B356)</f>
        <v>#NAME?</v>
      </c>
    </row>
    <row r="357" spans="1:6">
      <c r="A357" s="11"/>
      <c r="B357" s="12"/>
      <c r="C357" s="11"/>
      <c r="D357" s="13"/>
      <c r="E357" s="11"/>
      <c r="F357" t="e">
        <f t="array" ref="F357">PROFEXHyperlinkAddress(B357:B357)</f>
        <v>#NAME?</v>
      </c>
    </row>
    <row r="358" ht="57.75" spans="1:6">
      <c r="A358" s="11"/>
      <c r="B358" s="14" t="s">
        <v>21</v>
      </c>
      <c r="C358" s="11"/>
      <c r="D358" s="13"/>
      <c r="E358" s="11"/>
      <c r="F358" t="e">
        <f t="array" ref="F358">PROFEXHyperlinkAddress(B358:B358)</f>
        <v>#NAME?</v>
      </c>
    </row>
    <row r="359" spans="1:6">
      <c r="A359" s="11"/>
      <c r="B359" s="12"/>
      <c r="C359" s="11"/>
      <c r="D359" s="13"/>
      <c r="E359" s="11"/>
      <c r="F359" t="e">
        <f t="array" ref="F359">PROFEXHyperlinkAddress(B359:B359)</f>
        <v>#NAME?</v>
      </c>
    </row>
    <row r="360" ht="25.5" spans="1:6">
      <c r="A360" s="15"/>
      <c r="B360" s="14" t="s">
        <v>5</v>
      </c>
      <c r="C360" s="15"/>
      <c r="D360" s="16"/>
      <c r="E360" s="15"/>
      <c r="F360" t="e">
        <f t="array" ref="F360">PROFEXHyperlinkAddress(B360:B360)</f>
        <v>#NAME?</v>
      </c>
    </row>
    <row r="361" ht="165" spans="1:6">
      <c r="A361" s="17">
        <v>5499097</v>
      </c>
      <c r="B361" s="18" t="s">
        <v>153</v>
      </c>
      <c r="C361" s="17" t="s">
        <v>1</v>
      </c>
      <c r="D361" s="19" t="s">
        <v>2</v>
      </c>
      <c r="E361" s="17" t="s">
        <v>154</v>
      </c>
      <c r="F361" t="e">
        <f t="array" ref="F361">PROFEXHyperlinkAddress(B361:B361)</f>
        <v>#NAME?</v>
      </c>
    </row>
    <row r="362" spans="1:6">
      <c r="A362" s="11"/>
      <c r="B362" s="12"/>
      <c r="C362" s="11"/>
      <c r="D362" s="13"/>
      <c r="E362" s="11"/>
      <c r="F362" t="e">
        <f t="array" ref="F362">PROFEXHyperlinkAddress(B362:B362)</f>
        <v>#NAME?</v>
      </c>
    </row>
    <row r="363" ht="57.75" spans="1:6">
      <c r="A363" s="11"/>
      <c r="B363" s="14" t="s">
        <v>21</v>
      </c>
      <c r="C363" s="11"/>
      <c r="D363" s="13"/>
      <c r="E363" s="11"/>
      <c r="F363" t="e">
        <f t="array" ref="F363">PROFEXHyperlinkAddress(B363:B363)</f>
        <v>#NAME?</v>
      </c>
    </row>
    <row r="364" spans="1:6">
      <c r="A364" s="11"/>
      <c r="B364" s="12"/>
      <c r="C364" s="11"/>
      <c r="D364" s="13"/>
      <c r="E364" s="11"/>
      <c r="F364" t="e">
        <f t="array" ref="F364">PROFEXHyperlinkAddress(B364:B364)</f>
        <v>#NAME?</v>
      </c>
    </row>
    <row r="365" ht="25.5" spans="1:6">
      <c r="A365" s="15"/>
      <c r="B365" s="14" t="s">
        <v>5</v>
      </c>
      <c r="C365" s="15"/>
      <c r="D365" s="16"/>
      <c r="E365" s="15"/>
      <c r="F365" t="e">
        <f t="array" ref="F365">PROFEXHyperlinkAddress(B365:B365)</f>
        <v>#NAME?</v>
      </c>
    </row>
    <row r="366" ht="210" spans="1:6">
      <c r="A366" s="17">
        <v>5498097</v>
      </c>
      <c r="B366" s="18" t="s">
        <v>155</v>
      </c>
      <c r="C366" s="17" t="s">
        <v>149</v>
      </c>
      <c r="D366" s="19" t="s">
        <v>7</v>
      </c>
      <c r="E366" s="17" t="s">
        <v>156</v>
      </c>
      <c r="F366" t="e">
        <f t="array" ref="F366">PROFEXHyperlinkAddress(B366:B366)</f>
        <v>#NAME?</v>
      </c>
    </row>
    <row r="367" spans="1:6">
      <c r="A367" s="11"/>
      <c r="B367" s="12"/>
      <c r="C367" s="11"/>
      <c r="D367" s="13"/>
      <c r="E367" s="11"/>
      <c r="F367" t="e">
        <f t="array" ref="F367">PROFEXHyperlinkAddress(B367:B367)</f>
        <v>#NAME?</v>
      </c>
    </row>
    <row r="368" ht="57.75" spans="1:6">
      <c r="A368" s="11"/>
      <c r="B368" s="14" t="s">
        <v>4</v>
      </c>
      <c r="C368" s="11"/>
      <c r="D368" s="13"/>
      <c r="E368" s="11"/>
      <c r="F368" t="e">
        <f t="array" ref="F368">PROFEXHyperlinkAddress(B368:B368)</f>
        <v>#NAME?</v>
      </c>
    </row>
    <row r="369" spans="1:6">
      <c r="A369" s="11"/>
      <c r="B369" s="12"/>
      <c r="C369" s="11"/>
      <c r="D369" s="13"/>
      <c r="E369" s="11"/>
      <c r="F369" t="e">
        <f t="array" ref="F369">PROFEXHyperlinkAddress(B369:B369)</f>
        <v>#NAME?</v>
      </c>
    </row>
    <row r="370" ht="25.5" spans="1:6">
      <c r="A370" s="15"/>
      <c r="B370" s="14" t="s">
        <v>5</v>
      </c>
      <c r="C370" s="15"/>
      <c r="D370" s="16"/>
      <c r="E370" s="15"/>
      <c r="F370" t="e">
        <f t="array" ref="F370">PROFEXHyperlinkAddress(B370:B370)</f>
        <v>#NAME?</v>
      </c>
    </row>
    <row r="371" ht="195" spans="1:6">
      <c r="A371" s="17">
        <v>5496097</v>
      </c>
      <c r="B371" s="18" t="s">
        <v>157</v>
      </c>
      <c r="C371" s="17" t="s">
        <v>1</v>
      </c>
      <c r="D371" s="19" t="s">
        <v>2</v>
      </c>
      <c r="E371" s="17" t="s">
        <v>158</v>
      </c>
      <c r="F371" t="e">
        <f t="array" ref="F371">PROFEXHyperlinkAddress(B371:B371)</f>
        <v>#NAME?</v>
      </c>
    </row>
    <row r="372" spans="1:6">
      <c r="A372" s="11"/>
      <c r="B372" s="12"/>
      <c r="C372" s="11"/>
      <c r="D372" s="13"/>
      <c r="E372" s="11"/>
      <c r="F372" t="e">
        <f t="array" ref="F372">PROFEXHyperlinkAddress(B372:B372)</f>
        <v>#NAME?</v>
      </c>
    </row>
    <row r="373" ht="57.75" spans="1:6">
      <c r="A373" s="11"/>
      <c r="B373" s="14" t="s">
        <v>21</v>
      </c>
      <c r="C373" s="11"/>
      <c r="D373" s="13"/>
      <c r="E373" s="11"/>
      <c r="F373" t="e">
        <f t="array" ref="F373">PROFEXHyperlinkAddress(B373:B373)</f>
        <v>#NAME?</v>
      </c>
    </row>
    <row r="374" spans="1:6">
      <c r="A374" s="11"/>
      <c r="B374" s="12"/>
      <c r="C374" s="11"/>
      <c r="D374" s="13"/>
      <c r="E374" s="11"/>
      <c r="F374" t="e">
        <f t="array" ref="F374">PROFEXHyperlinkAddress(B374:B374)</f>
        <v>#NAME?</v>
      </c>
    </row>
    <row r="375" ht="25.5" spans="1:6">
      <c r="A375" s="15"/>
      <c r="B375" s="14" t="s">
        <v>5</v>
      </c>
      <c r="C375" s="15"/>
      <c r="D375" s="16"/>
      <c r="E375" s="15"/>
      <c r="F375" t="e">
        <f t="array" ref="F375">PROFEXHyperlinkAddress(B375:B375)</f>
        <v>#NAME?</v>
      </c>
    </row>
    <row r="376" ht="180" spans="1:6">
      <c r="A376" s="17">
        <v>5495097</v>
      </c>
      <c r="B376" s="18" t="s">
        <v>159</v>
      </c>
      <c r="C376" s="17" t="s">
        <v>1</v>
      </c>
      <c r="D376" s="19" t="s">
        <v>2</v>
      </c>
      <c r="E376" s="17" t="s">
        <v>53</v>
      </c>
      <c r="F376" t="e">
        <f t="array" ref="F376">PROFEXHyperlinkAddress(B376:B376)</f>
        <v>#NAME?</v>
      </c>
    </row>
    <row r="377" spans="1:6">
      <c r="A377" s="11"/>
      <c r="B377" s="12"/>
      <c r="C377" s="11"/>
      <c r="D377" s="13"/>
      <c r="E377" s="11"/>
      <c r="F377" t="e">
        <f t="array" ref="F377">PROFEXHyperlinkAddress(B377:B377)</f>
        <v>#NAME?</v>
      </c>
    </row>
    <row r="378" ht="57.75" spans="1:6">
      <c r="A378" s="11"/>
      <c r="B378" s="14" t="s">
        <v>21</v>
      </c>
      <c r="C378" s="11"/>
      <c r="D378" s="13"/>
      <c r="E378" s="11"/>
      <c r="F378" t="e">
        <f t="array" ref="F378">PROFEXHyperlinkAddress(B378:B378)</f>
        <v>#NAME?</v>
      </c>
    </row>
    <row r="379" spans="1:6">
      <c r="A379" s="11"/>
      <c r="B379" s="12"/>
      <c r="C379" s="11"/>
      <c r="D379" s="13"/>
      <c r="E379" s="11"/>
      <c r="F379" t="e">
        <f t="array" ref="F379">PROFEXHyperlinkAddress(B379:B379)</f>
        <v>#NAME?</v>
      </c>
    </row>
    <row r="380" ht="25.5" spans="1:6">
      <c r="A380" s="15"/>
      <c r="B380" s="14" t="s">
        <v>5</v>
      </c>
      <c r="C380" s="15"/>
      <c r="D380" s="16"/>
      <c r="E380" s="15"/>
      <c r="F380" t="e">
        <f t="array" ref="F380">PROFEXHyperlinkAddress(B380:B380)</f>
        <v>#NAME?</v>
      </c>
    </row>
    <row r="381" ht="150" spans="1:6">
      <c r="A381" s="17">
        <v>5494097</v>
      </c>
      <c r="B381" s="18" t="s">
        <v>160</v>
      </c>
      <c r="C381" s="17" t="s">
        <v>1</v>
      </c>
      <c r="D381" s="19" t="s">
        <v>2</v>
      </c>
      <c r="E381" s="17" t="s">
        <v>161</v>
      </c>
      <c r="F381" t="e">
        <f t="array" ref="F381">PROFEXHyperlinkAddress(B381:B381)</f>
        <v>#NAME?</v>
      </c>
    </row>
    <row r="382" spans="1:6">
      <c r="A382" s="11"/>
      <c r="B382" s="12"/>
      <c r="C382" s="11"/>
      <c r="D382" s="13"/>
      <c r="E382" s="11"/>
      <c r="F382" t="e">
        <f t="array" ref="F382">PROFEXHyperlinkAddress(B382:B382)</f>
        <v>#NAME?</v>
      </c>
    </row>
    <row r="383" ht="57.75" spans="1:6">
      <c r="A383" s="11"/>
      <c r="B383" s="14" t="s">
        <v>21</v>
      </c>
      <c r="C383" s="11"/>
      <c r="D383" s="13"/>
      <c r="E383" s="11"/>
      <c r="F383" t="e">
        <f t="array" ref="F383">PROFEXHyperlinkAddress(B383:B383)</f>
        <v>#NAME?</v>
      </c>
    </row>
    <row r="384" spans="1:6">
      <c r="A384" s="11"/>
      <c r="B384" s="12"/>
      <c r="C384" s="11"/>
      <c r="D384" s="13"/>
      <c r="E384" s="11"/>
      <c r="F384" t="e">
        <f t="array" ref="F384">PROFEXHyperlinkAddress(B384:B384)</f>
        <v>#NAME?</v>
      </c>
    </row>
    <row r="385" ht="25.5" spans="1:6">
      <c r="A385" s="15"/>
      <c r="B385" s="14" t="s">
        <v>5</v>
      </c>
      <c r="C385" s="15"/>
      <c r="D385" s="16"/>
      <c r="E385" s="15"/>
      <c r="F385" t="e">
        <f t="array" ref="F385">PROFEXHyperlinkAddress(B385:B385)</f>
        <v>#NAME?</v>
      </c>
    </row>
    <row r="386" ht="135" spans="1:6">
      <c r="A386" s="17">
        <v>5493097</v>
      </c>
      <c r="B386" s="18" t="s">
        <v>162</v>
      </c>
      <c r="C386" s="17" t="s">
        <v>1</v>
      </c>
      <c r="D386" s="19" t="s">
        <v>2</v>
      </c>
      <c r="E386" s="17" t="s">
        <v>163</v>
      </c>
      <c r="F386" t="e">
        <f t="array" ref="F386">PROFEXHyperlinkAddress(B386:B386)</f>
        <v>#NAME?</v>
      </c>
    </row>
    <row r="387" spans="1:6">
      <c r="A387" s="11"/>
      <c r="B387" s="12"/>
      <c r="C387" s="11"/>
      <c r="D387" s="13"/>
      <c r="E387" s="11"/>
      <c r="F387" t="e">
        <f t="array" ref="F387">PROFEXHyperlinkAddress(B387:B387)</f>
        <v>#NAME?</v>
      </c>
    </row>
    <row r="388" ht="57.75" spans="1:6">
      <c r="A388" s="11"/>
      <c r="B388" s="14" t="s">
        <v>21</v>
      </c>
      <c r="C388" s="11"/>
      <c r="D388" s="13"/>
      <c r="E388" s="11"/>
      <c r="F388" t="e">
        <f t="array" ref="F388">PROFEXHyperlinkAddress(B388:B388)</f>
        <v>#NAME?</v>
      </c>
    </row>
    <row r="389" spans="1:6">
      <c r="A389" s="11"/>
      <c r="B389" s="12"/>
      <c r="C389" s="11"/>
      <c r="D389" s="13"/>
      <c r="E389" s="11"/>
      <c r="F389" t="e">
        <f t="array" ref="F389">PROFEXHyperlinkAddress(B389:B389)</f>
        <v>#NAME?</v>
      </c>
    </row>
    <row r="390" ht="25.5" spans="1:6">
      <c r="A390" s="15"/>
      <c r="B390" s="14" t="s">
        <v>5</v>
      </c>
      <c r="C390" s="15"/>
      <c r="D390" s="16"/>
      <c r="E390" s="15"/>
      <c r="F390" t="e">
        <f t="array" ref="F390">PROFEXHyperlinkAddress(B390:B390)</f>
        <v>#NAME?</v>
      </c>
    </row>
    <row r="391" ht="150" spans="1:6">
      <c r="A391" s="17">
        <v>5492097</v>
      </c>
      <c r="B391" s="18" t="s">
        <v>164</v>
      </c>
      <c r="C391" s="17" t="s">
        <v>1</v>
      </c>
      <c r="D391" s="19" t="s">
        <v>2</v>
      </c>
      <c r="E391" s="17" t="s">
        <v>165</v>
      </c>
      <c r="F391" t="e">
        <f t="array" ref="F391">PROFEXHyperlinkAddress(B391:B391)</f>
        <v>#NAME?</v>
      </c>
    </row>
    <row r="392" spans="1:6">
      <c r="A392" s="11"/>
      <c r="B392" s="12"/>
      <c r="C392" s="11"/>
      <c r="D392" s="13"/>
      <c r="E392" s="11"/>
      <c r="F392" t="e">
        <f t="array" ref="F392">PROFEXHyperlinkAddress(B392:B392)</f>
        <v>#NAME?</v>
      </c>
    </row>
    <row r="393" ht="57.75" spans="1:6">
      <c r="A393" s="11"/>
      <c r="B393" s="14" t="s">
        <v>21</v>
      </c>
      <c r="C393" s="11"/>
      <c r="D393" s="13"/>
      <c r="E393" s="11"/>
      <c r="F393" t="e">
        <f t="array" ref="F393">PROFEXHyperlinkAddress(B393:B393)</f>
        <v>#NAME?</v>
      </c>
    </row>
    <row r="394" spans="1:6">
      <c r="A394" s="11"/>
      <c r="B394" s="12"/>
      <c r="C394" s="11"/>
      <c r="D394" s="13"/>
      <c r="E394" s="11"/>
      <c r="F394" t="e">
        <f t="array" ref="F394">PROFEXHyperlinkAddress(B394:B394)</f>
        <v>#NAME?</v>
      </c>
    </row>
    <row r="395" ht="25.5" spans="1:6">
      <c r="A395" s="15"/>
      <c r="B395" s="14" t="s">
        <v>5</v>
      </c>
      <c r="C395" s="15"/>
      <c r="D395" s="16"/>
      <c r="E395" s="15"/>
      <c r="F395" t="e">
        <f t="array" ref="F395">PROFEXHyperlinkAddress(B395:B395)</f>
        <v>#NAME?</v>
      </c>
    </row>
    <row r="396" ht="150" spans="1:6">
      <c r="A396" s="17">
        <v>5491097</v>
      </c>
      <c r="B396" s="18" t="s">
        <v>166</v>
      </c>
      <c r="C396" s="17" t="s">
        <v>1</v>
      </c>
      <c r="D396" s="19" t="s">
        <v>2</v>
      </c>
      <c r="E396" s="17" t="s">
        <v>93</v>
      </c>
      <c r="F396" t="e">
        <f t="array" ref="F396">PROFEXHyperlinkAddress(B396:B396)</f>
        <v>#NAME?</v>
      </c>
    </row>
    <row r="397" spans="1:6">
      <c r="A397" s="11"/>
      <c r="B397" s="12"/>
      <c r="C397" s="11"/>
      <c r="D397" s="13"/>
      <c r="E397" s="11"/>
      <c r="F397" t="e">
        <f t="array" ref="F397">PROFEXHyperlinkAddress(B397:B397)</f>
        <v>#NAME?</v>
      </c>
    </row>
    <row r="398" ht="57.75" spans="1:6">
      <c r="A398" s="11"/>
      <c r="B398" s="14" t="s">
        <v>21</v>
      </c>
      <c r="C398" s="11"/>
      <c r="D398" s="13"/>
      <c r="E398" s="11"/>
      <c r="F398" t="e">
        <f t="array" ref="F398">PROFEXHyperlinkAddress(B398:B398)</f>
        <v>#NAME?</v>
      </c>
    </row>
    <row r="399" spans="1:6">
      <c r="A399" s="11"/>
      <c r="B399" s="12"/>
      <c r="C399" s="11"/>
      <c r="D399" s="13"/>
      <c r="E399" s="11"/>
      <c r="F399" t="e">
        <f t="array" ref="F399">PROFEXHyperlinkAddress(B399:B399)</f>
        <v>#NAME?</v>
      </c>
    </row>
    <row r="400" ht="25.5" spans="1:6">
      <c r="A400" s="15"/>
      <c r="B400" s="14" t="s">
        <v>5</v>
      </c>
      <c r="C400" s="15"/>
      <c r="D400" s="16"/>
      <c r="E400" s="15"/>
      <c r="F400" t="e">
        <f t="array" ref="F400">PROFEXHyperlinkAddress(B400:B400)</f>
        <v>#NAME?</v>
      </c>
    </row>
    <row r="401" ht="135" spans="1:6">
      <c r="A401" s="17">
        <v>5490097</v>
      </c>
      <c r="B401" s="18" t="s">
        <v>167</v>
      </c>
      <c r="C401" s="17" t="s">
        <v>1</v>
      </c>
      <c r="D401" s="19" t="s">
        <v>2</v>
      </c>
      <c r="E401" s="17" t="s">
        <v>168</v>
      </c>
      <c r="F401" t="e">
        <f t="array" ref="F401">PROFEXHyperlinkAddress(B401:B401)</f>
        <v>#NAME?</v>
      </c>
    </row>
    <row r="402" spans="1:6">
      <c r="A402" s="11"/>
      <c r="B402" s="12"/>
      <c r="C402" s="11"/>
      <c r="D402" s="13"/>
      <c r="E402" s="11"/>
      <c r="F402" t="e">
        <f t="array" ref="F402">PROFEXHyperlinkAddress(B402:B402)</f>
        <v>#NAME?</v>
      </c>
    </row>
    <row r="403" ht="57.75" spans="1:6">
      <c r="A403" s="11"/>
      <c r="B403" s="14" t="s">
        <v>21</v>
      </c>
      <c r="C403" s="11"/>
      <c r="D403" s="13"/>
      <c r="E403" s="11"/>
      <c r="F403" t="e">
        <f t="array" ref="F403">PROFEXHyperlinkAddress(B403:B403)</f>
        <v>#NAME?</v>
      </c>
    </row>
    <row r="404" spans="1:6">
      <c r="A404" s="11"/>
      <c r="B404" s="12"/>
      <c r="C404" s="11"/>
      <c r="D404" s="13"/>
      <c r="E404" s="11"/>
      <c r="F404" t="e">
        <f t="array" ref="F404">PROFEXHyperlinkAddress(B404:B404)</f>
        <v>#NAME?</v>
      </c>
    </row>
    <row r="405" ht="25.5" spans="1:6">
      <c r="A405" s="15"/>
      <c r="B405" s="14" t="s">
        <v>5</v>
      </c>
      <c r="C405" s="15"/>
      <c r="D405" s="16"/>
      <c r="E405" s="15"/>
      <c r="F405" t="e">
        <f t="array" ref="F405">PROFEXHyperlinkAddress(B405:B405)</f>
        <v>#NAME?</v>
      </c>
    </row>
    <row r="406" ht="180" spans="1:6">
      <c r="A406" s="17">
        <v>5488097</v>
      </c>
      <c r="B406" s="18" t="s">
        <v>169</v>
      </c>
      <c r="C406" s="17" t="s">
        <v>1</v>
      </c>
      <c r="D406" s="19" t="s">
        <v>2</v>
      </c>
      <c r="E406" s="17" t="s">
        <v>170</v>
      </c>
      <c r="F406" t="e">
        <f t="array" ref="F406">PROFEXHyperlinkAddress(B406:B406)</f>
        <v>#NAME?</v>
      </c>
    </row>
    <row r="407" spans="1:6">
      <c r="A407" s="11"/>
      <c r="B407" s="12"/>
      <c r="C407" s="11"/>
      <c r="D407" s="13"/>
      <c r="E407" s="11"/>
      <c r="F407" t="e">
        <f t="array" ref="F407">PROFEXHyperlinkAddress(B407:B407)</f>
        <v>#NAME?</v>
      </c>
    </row>
    <row r="408" ht="57.75" spans="1:6">
      <c r="A408" s="11"/>
      <c r="B408" s="14" t="s">
        <v>21</v>
      </c>
      <c r="C408" s="11"/>
      <c r="D408" s="13"/>
      <c r="E408" s="11"/>
      <c r="F408" t="e">
        <f t="array" ref="F408">PROFEXHyperlinkAddress(B408:B408)</f>
        <v>#NAME?</v>
      </c>
    </row>
    <row r="409" spans="1:6">
      <c r="A409" s="11"/>
      <c r="B409" s="12"/>
      <c r="C409" s="11"/>
      <c r="D409" s="13"/>
      <c r="E409" s="11"/>
      <c r="F409" t="e">
        <f t="array" ref="F409">PROFEXHyperlinkAddress(B409:B409)</f>
        <v>#NAME?</v>
      </c>
    </row>
    <row r="410" ht="25.5" spans="1:6">
      <c r="A410" s="15"/>
      <c r="B410" s="14" t="s">
        <v>5</v>
      </c>
      <c r="C410" s="15"/>
      <c r="D410" s="16"/>
      <c r="E410" s="15"/>
      <c r="F410" t="e">
        <f t="array" ref="F410">PROFEXHyperlinkAddress(B410:B410)</f>
        <v>#NAME?</v>
      </c>
    </row>
    <row r="411" ht="165" spans="1:6">
      <c r="A411" s="17">
        <v>5487097</v>
      </c>
      <c r="B411" s="18" t="s">
        <v>171</v>
      </c>
      <c r="C411" s="17" t="s">
        <v>1</v>
      </c>
      <c r="D411" s="19" t="s">
        <v>2</v>
      </c>
      <c r="E411" s="17" t="s">
        <v>172</v>
      </c>
      <c r="F411" t="e">
        <f t="array" ref="F411">PROFEXHyperlinkAddress(B411:B411)</f>
        <v>#NAME?</v>
      </c>
    </row>
    <row r="412" spans="1:6">
      <c r="A412" s="11"/>
      <c r="B412" s="12"/>
      <c r="C412" s="11"/>
      <c r="D412" s="13"/>
      <c r="E412" s="11"/>
      <c r="F412" t="e">
        <f t="array" ref="F412">PROFEXHyperlinkAddress(B412:B412)</f>
        <v>#NAME?</v>
      </c>
    </row>
    <row r="413" ht="57.75" spans="1:6">
      <c r="A413" s="11"/>
      <c r="B413" s="14" t="s">
        <v>21</v>
      </c>
      <c r="C413" s="11"/>
      <c r="D413" s="13"/>
      <c r="E413" s="11"/>
      <c r="F413" t="e">
        <f t="array" ref="F413">PROFEXHyperlinkAddress(B413:B413)</f>
        <v>#NAME?</v>
      </c>
    </row>
    <row r="414" spans="1:6">
      <c r="A414" s="11"/>
      <c r="B414" s="12"/>
      <c r="C414" s="11"/>
      <c r="D414" s="13"/>
      <c r="E414" s="11"/>
      <c r="F414" t="e">
        <f t="array" ref="F414">PROFEXHyperlinkAddress(B414:B414)</f>
        <v>#NAME?</v>
      </c>
    </row>
    <row r="415" ht="25.5" spans="1:6">
      <c r="A415" s="15"/>
      <c r="B415" s="14" t="s">
        <v>5</v>
      </c>
      <c r="C415" s="15"/>
      <c r="D415" s="16"/>
      <c r="E415" s="15"/>
      <c r="F415" t="e">
        <f t="array" ref="F415">PROFEXHyperlinkAddress(B415:B415)</f>
        <v>#NAME?</v>
      </c>
    </row>
    <row r="416" ht="360" spans="1:6">
      <c r="A416" s="17">
        <v>5486097</v>
      </c>
      <c r="B416" s="18" t="s">
        <v>173</v>
      </c>
      <c r="C416" s="17" t="s">
        <v>1</v>
      </c>
      <c r="D416" s="19" t="s">
        <v>2</v>
      </c>
      <c r="E416" s="17" t="s">
        <v>174</v>
      </c>
      <c r="F416" t="e">
        <f t="array" ref="F416">PROFEXHyperlinkAddress(B416:B416)</f>
        <v>#NAME?</v>
      </c>
    </row>
    <row r="417" spans="1:6">
      <c r="A417" s="11"/>
      <c r="B417" s="12"/>
      <c r="C417" s="11"/>
      <c r="D417" s="13"/>
      <c r="E417" s="11"/>
      <c r="F417" t="e">
        <f t="array" ref="F417">PROFEXHyperlinkAddress(B417:B417)</f>
        <v>#NAME?</v>
      </c>
    </row>
    <row r="418" ht="57.75" spans="1:6">
      <c r="A418" s="11"/>
      <c r="B418" s="14" t="s">
        <v>16</v>
      </c>
      <c r="C418" s="11"/>
      <c r="D418" s="13"/>
      <c r="E418" s="11"/>
      <c r="F418" t="e">
        <f t="array" ref="F418">PROFEXHyperlinkAddress(B418:B418)</f>
        <v>#NAME?</v>
      </c>
    </row>
    <row r="419" spans="1:6">
      <c r="A419" s="11"/>
      <c r="B419" s="12"/>
      <c r="C419" s="11"/>
      <c r="D419" s="13"/>
      <c r="E419" s="11"/>
      <c r="F419" t="e">
        <f t="array" ref="F419">PROFEXHyperlinkAddress(B419:B419)</f>
        <v>#NAME?</v>
      </c>
    </row>
    <row r="420" ht="25.5" spans="1:6">
      <c r="A420" s="15"/>
      <c r="B420" s="14" t="s">
        <v>175</v>
      </c>
      <c r="C420" s="15"/>
      <c r="D420" s="16"/>
      <c r="E420" s="15"/>
      <c r="F420" t="e">
        <f t="array" ref="F420">PROFEXHyperlinkAddress(B420:B420)</f>
        <v>#NAME?</v>
      </c>
    </row>
    <row r="421" ht="195" spans="1:6">
      <c r="A421" s="17">
        <v>5484097</v>
      </c>
      <c r="B421" s="18" t="s">
        <v>176</v>
      </c>
      <c r="C421" s="17" t="s">
        <v>149</v>
      </c>
      <c r="D421" s="19" t="s">
        <v>2</v>
      </c>
      <c r="E421" s="17" t="s">
        <v>20</v>
      </c>
      <c r="F421" t="e">
        <f t="array" ref="F421">PROFEXHyperlinkAddress(B421:B421)</f>
        <v>#NAME?</v>
      </c>
    </row>
    <row r="422" spans="1:6">
      <c r="A422" s="11"/>
      <c r="B422" s="12"/>
      <c r="C422" s="11"/>
      <c r="D422" s="13"/>
      <c r="E422" s="11"/>
      <c r="F422" t="e">
        <f t="array" ref="F422">PROFEXHyperlinkAddress(B422:B422)</f>
        <v>#NAME?</v>
      </c>
    </row>
    <row r="423" ht="57.75" spans="1:6">
      <c r="A423" s="11"/>
      <c r="B423" s="14" t="s">
        <v>21</v>
      </c>
      <c r="C423" s="11"/>
      <c r="D423" s="13"/>
      <c r="E423" s="11"/>
      <c r="F423" t="e">
        <f t="array" ref="F423">PROFEXHyperlinkAddress(B423:B423)</f>
        <v>#NAME?</v>
      </c>
    </row>
    <row r="424" spans="1:6">
      <c r="A424" s="11"/>
      <c r="B424" s="12"/>
      <c r="C424" s="11"/>
      <c r="D424" s="13"/>
      <c r="E424" s="11"/>
      <c r="F424" t="e">
        <f t="array" ref="F424">PROFEXHyperlinkAddress(B424:B424)</f>
        <v>#NAME?</v>
      </c>
    </row>
    <row r="425" ht="25.5" spans="1:6">
      <c r="A425" s="15"/>
      <c r="B425" s="14" t="s">
        <v>5</v>
      </c>
      <c r="C425" s="15"/>
      <c r="D425" s="16"/>
      <c r="E425" s="15"/>
      <c r="F425" t="e">
        <f t="array" ref="F425">PROFEXHyperlinkAddress(B425:B425)</f>
        <v>#NAME?</v>
      </c>
    </row>
    <row r="426" ht="120" spans="1:6">
      <c r="A426" s="17">
        <v>5482097</v>
      </c>
      <c r="B426" s="18" t="s">
        <v>177</v>
      </c>
      <c r="C426" s="17" t="s">
        <v>1</v>
      </c>
      <c r="D426" s="19" t="s">
        <v>2</v>
      </c>
      <c r="E426" s="17" t="s">
        <v>20</v>
      </c>
      <c r="F426" t="e">
        <f t="array" ref="F426">PROFEXHyperlinkAddress(B426:B426)</f>
        <v>#NAME?</v>
      </c>
    </row>
    <row r="427" spans="1:6">
      <c r="A427" s="11"/>
      <c r="B427" s="12"/>
      <c r="C427" s="11"/>
      <c r="D427" s="13"/>
      <c r="E427" s="11"/>
      <c r="F427" t="e">
        <f t="array" ref="F427">PROFEXHyperlinkAddress(B427:B427)</f>
        <v>#NAME?</v>
      </c>
    </row>
    <row r="428" ht="57.75" spans="1:6">
      <c r="A428" s="11"/>
      <c r="B428" s="14" t="s">
        <v>16</v>
      </c>
      <c r="C428" s="11"/>
      <c r="D428" s="13"/>
      <c r="E428" s="11"/>
      <c r="F428" t="e">
        <f t="array" ref="F428">PROFEXHyperlinkAddress(B428:B428)</f>
        <v>#NAME?</v>
      </c>
    </row>
    <row r="429" spans="1:6">
      <c r="A429" s="11"/>
      <c r="B429" s="12"/>
      <c r="C429" s="11"/>
      <c r="D429" s="13"/>
      <c r="E429" s="11"/>
      <c r="F429" t="e">
        <f t="array" ref="F429">PROFEXHyperlinkAddress(B429:B429)</f>
        <v>#NAME?</v>
      </c>
    </row>
    <row r="430" ht="25.5" spans="1:6">
      <c r="A430" s="15"/>
      <c r="B430" s="14" t="s">
        <v>178</v>
      </c>
      <c r="C430" s="15"/>
      <c r="D430" s="16"/>
      <c r="E430" s="15"/>
      <c r="F430" t="e">
        <f t="array" ref="F430">PROFEXHyperlinkAddress(B430:B430)</f>
        <v>#NAME?</v>
      </c>
    </row>
    <row r="431" ht="180" spans="1:6">
      <c r="A431" s="17">
        <v>5481097</v>
      </c>
      <c r="B431" s="18" t="s">
        <v>179</v>
      </c>
      <c r="C431" s="17" t="s">
        <v>1</v>
      </c>
      <c r="D431" s="19" t="s">
        <v>2</v>
      </c>
      <c r="E431" s="17" t="s">
        <v>180</v>
      </c>
      <c r="F431" t="e">
        <f t="array" ref="F431">PROFEXHyperlinkAddress(B431:B431)</f>
        <v>#NAME?</v>
      </c>
    </row>
    <row r="432" spans="1:6">
      <c r="A432" s="11"/>
      <c r="B432" s="12"/>
      <c r="C432" s="11"/>
      <c r="D432" s="13"/>
      <c r="E432" s="11"/>
      <c r="F432" t="e">
        <f t="array" ref="F432">PROFEXHyperlinkAddress(B432:B432)</f>
        <v>#NAME?</v>
      </c>
    </row>
    <row r="433" ht="57.75" spans="1:6">
      <c r="A433" s="11"/>
      <c r="B433" s="14" t="s">
        <v>21</v>
      </c>
      <c r="C433" s="11"/>
      <c r="D433" s="13"/>
      <c r="E433" s="11"/>
      <c r="F433" t="e">
        <f t="array" ref="F433">PROFEXHyperlinkAddress(B433:B433)</f>
        <v>#NAME?</v>
      </c>
    </row>
    <row r="434" spans="1:6">
      <c r="A434" s="11"/>
      <c r="B434" s="12"/>
      <c r="C434" s="11"/>
      <c r="D434" s="13"/>
      <c r="E434" s="11"/>
      <c r="F434" t="e">
        <f t="array" ref="F434">PROFEXHyperlinkAddress(B434:B434)</f>
        <v>#NAME?</v>
      </c>
    </row>
    <row r="435" ht="25.5" spans="1:6">
      <c r="A435" s="15"/>
      <c r="B435" s="14" t="s">
        <v>5</v>
      </c>
      <c r="C435" s="15"/>
      <c r="D435" s="16"/>
      <c r="E435" s="15"/>
      <c r="F435" t="e">
        <f t="array" ref="F435">PROFEXHyperlinkAddress(B435:B435)</f>
        <v>#NAME?</v>
      </c>
    </row>
    <row r="436" ht="120" spans="1:6">
      <c r="A436" s="17">
        <v>5477097</v>
      </c>
      <c r="B436" s="18" t="s">
        <v>181</v>
      </c>
      <c r="C436" s="17" t="s">
        <v>1</v>
      </c>
      <c r="D436" s="19" t="s">
        <v>2</v>
      </c>
      <c r="E436" s="17" t="s">
        <v>182</v>
      </c>
      <c r="F436" t="e">
        <f t="array" ref="F436">PROFEXHyperlinkAddress(B436:B436)</f>
        <v>#NAME?</v>
      </c>
    </row>
    <row r="437" spans="1:6">
      <c r="A437" s="11"/>
      <c r="B437" s="12"/>
      <c r="C437" s="11"/>
      <c r="D437" s="13"/>
      <c r="E437" s="11"/>
      <c r="F437" t="e">
        <f t="array" ref="F437">PROFEXHyperlinkAddress(B437:B437)</f>
        <v>#NAME?</v>
      </c>
    </row>
    <row r="438" ht="57.75" spans="1:6">
      <c r="A438" s="11"/>
      <c r="B438" s="14" t="s">
        <v>16</v>
      </c>
      <c r="C438" s="11"/>
      <c r="D438" s="13"/>
      <c r="E438" s="11"/>
      <c r="F438" t="e">
        <f t="array" ref="F438">PROFEXHyperlinkAddress(B438:B438)</f>
        <v>#NAME?</v>
      </c>
    </row>
    <row r="439" spans="1:6">
      <c r="A439" s="11"/>
      <c r="B439" s="12"/>
      <c r="C439" s="11"/>
      <c r="D439" s="13"/>
      <c r="E439" s="11"/>
      <c r="F439" t="e">
        <f t="array" ref="F439">PROFEXHyperlinkAddress(B439:B439)</f>
        <v>#NAME?</v>
      </c>
    </row>
    <row r="440" ht="25.5" spans="1:6">
      <c r="A440" s="15"/>
      <c r="B440" s="14" t="s">
        <v>5</v>
      </c>
      <c r="C440" s="15"/>
      <c r="D440" s="16"/>
      <c r="E440" s="15"/>
      <c r="F440" t="e">
        <f t="array" ref="F440">PROFEXHyperlinkAddress(B440:B440)</f>
        <v>#NAME?</v>
      </c>
    </row>
    <row r="441" ht="180" spans="1:6">
      <c r="A441" s="17">
        <v>5476097</v>
      </c>
      <c r="B441" s="18" t="s">
        <v>183</v>
      </c>
      <c r="C441" s="17" t="s">
        <v>1</v>
      </c>
      <c r="D441" s="19" t="s">
        <v>7</v>
      </c>
      <c r="E441" s="17" t="s">
        <v>26</v>
      </c>
      <c r="F441" t="e">
        <f t="array" ref="F441">PROFEXHyperlinkAddress(B441:B441)</f>
        <v>#NAME?</v>
      </c>
    </row>
    <row r="442" spans="1:6">
      <c r="A442" s="11"/>
      <c r="B442" s="12"/>
      <c r="C442" s="11"/>
      <c r="D442" s="13"/>
      <c r="E442" s="11"/>
      <c r="F442" t="e">
        <f t="array" ref="F442">PROFEXHyperlinkAddress(B442:B442)</f>
        <v>#NAME?</v>
      </c>
    </row>
    <row r="443" ht="57.75" spans="1:6">
      <c r="A443" s="11"/>
      <c r="B443" s="14" t="s">
        <v>21</v>
      </c>
      <c r="C443" s="11"/>
      <c r="D443" s="13"/>
      <c r="E443" s="11"/>
      <c r="F443" t="e">
        <f t="array" ref="F443">PROFEXHyperlinkAddress(B443:B443)</f>
        <v>#NAME?</v>
      </c>
    </row>
    <row r="444" spans="1:6">
      <c r="A444" s="11"/>
      <c r="B444" s="12"/>
      <c r="C444" s="11"/>
      <c r="D444" s="13"/>
      <c r="E444" s="11"/>
      <c r="F444" t="e">
        <f t="array" ref="F444">PROFEXHyperlinkAddress(B444:B444)</f>
        <v>#NAME?</v>
      </c>
    </row>
    <row r="445" ht="25.5" spans="1:6">
      <c r="A445" s="15"/>
      <c r="B445" s="14" t="s">
        <v>5</v>
      </c>
      <c r="C445" s="15"/>
      <c r="D445" s="16"/>
      <c r="E445" s="15"/>
      <c r="F445" t="e">
        <f t="array" ref="F445">PROFEXHyperlinkAddress(B445:B445)</f>
        <v>#NAME?</v>
      </c>
    </row>
    <row r="446" ht="150" spans="1:6">
      <c r="A446" s="17">
        <v>5475097</v>
      </c>
      <c r="B446" s="18" t="s">
        <v>144</v>
      </c>
      <c r="C446" s="17" t="s">
        <v>1</v>
      </c>
      <c r="D446" s="19" t="s">
        <v>7</v>
      </c>
      <c r="E446" s="17" t="s">
        <v>145</v>
      </c>
      <c r="F446" t="e">
        <f t="array" ref="F446">PROFEXHyperlinkAddress(B446:B446)</f>
        <v>#NAME?</v>
      </c>
    </row>
    <row r="447" spans="1:6">
      <c r="A447" s="11"/>
      <c r="B447" s="12"/>
      <c r="C447" s="11"/>
      <c r="D447" s="13"/>
      <c r="E447" s="11"/>
      <c r="F447" t="e">
        <f t="array" ref="F447">PROFEXHyperlinkAddress(B447:B447)</f>
        <v>#NAME?</v>
      </c>
    </row>
    <row r="448" ht="57.75" spans="1:6">
      <c r="A448" s="11"/>
      <c r="B448" s="14" t="s">
        <v>21</v>
      </c>
      <c r="C448" s="11"/>
      <c r="D448" s="13"/>
      <c r="E448" s="11"/>
      <c r="F448" t="e">
        <f t="array" ref="F448">PROFEXHyperlinkAddress(B448:B448)</f>
        <v>#NAME?</v>
      </c>
    </row>
    <row r="449" spans="1:6">
      <c r="A449" s="11"/>
      <c r="B449" s="12"/>
      <c r="C449" s="11"/>
      <c r="D449" s="13"/>
      <c r="E449" s="11"/>
      <c r="F449" t="e">
        <f t="array" ref="F449">PROFEXHyperlinkAddress(B449:B449)</f>
        <v>#NAME?</v>
      </c>
    </row>
    <row r="450" ht="25.5" spans="1:6">
      <c r="A450" s="15"/>
      <c r="B450" s="14" t="s">
        <v>5</v>
      </c>
      <c r="C450" s="15"/>
      <c r="D450" s="16"/>
      <c r="E450" s="15"/>
      <c r="F450" t="e">
        <f t="array" ref="F450">PROFEXHyperlinkAddress(B450:B450)</f>
        <v>#NAME?</v>
      </c>
    </row>
    <row r="451" ht="225" spans="1:6">
      <c r="A451" s="17">
        <v>5474097</v>
      </c>
      <c r="B451" s="18" t="s">
        <v>184</v>
      </c>
      <c r="C451" s="17" t="s">
        <v>1</v>
      </c>
      <c r="D451" s="19" t="s">
        <v>2</v>
      </c>
      <c r="E451" s="17" t="s">
        <v>185</v>
      </c>
      <c r="F451" t="e">
        <f t="array" ref="F451">PROFEXHyperlinkAddress(B451:B451)</f>
        <v>#NAME?</v>
      </c>
    </row>
    <row r="452" spans="1:6">
      <c r="A452" s="11"/>
      <c r="B452" s="12"/>
      <c r="C452" s="11"/>
      <c r="D452" s="13"/>
      <c r="E452" s="11"/>
      <c r="F452" t="e">
        <f t="array" ref="F452">PROFEXHyperlinkAddress(B452:B452)</f>
        <v>#NAME?</v>
      </c>
    </row>
    <row r="453" ht="49.5" spans="1:6">
      <c r="A453" s="11"/>
      <c r="B453" s="14" t="s">
        <v>78</v>
      </c>
      <c r="C453" s="11"/>
      <c r="D453" s="13"/>
      <c r="E453" s="11"/>
      <c r="F453" t="e">
        <f t="array" ref="F453">PROFEXHyperlinkAddress(B453:B453)</f>
        <v>#NAME?</v>
      </c>
    </row>
    <row r="454" spans="1:6">
      <c r="A454" s="11"/>
      <c r="B454" s="12"/>
      <c r="C454" s="11"/>
      <c r="D454" s="13"/>
      <c r="E454" s="11"/>
      <c r="F454" t="e">
        <f t="array" ref="F454">PROFEXHyperlinkAddress(B454:B454)</f>
        <v>#NAME?</v>
      </c>
    </row>
    <row r="455" ht="25.5" spans="1:6">
      <c r="A455" s="15"/>
      <c r="B455" s="14" t="s">
        <v>5</v>
      </c>
      <c r="C455" s="15"/>
      <c r="D455" s="16"/>
      <c r="E455" s="15"/>
      <c r="F455" t="e">
        <f t="array" ref="F455">PROFEXHyperlinkAddress(B455:B455)</f>
        <v>#NAME?</v>
      </c>
    </row>
    <row r="456" ht="90" spans="1:6">
      <c r="A456" s="17">
        <v>5473097</v>
      </c>
      <c r="B456" s="18" t="s">
        <v>186</v>
      </c>
      <c r="C456" s="17" t="s">
        <v>1</v>
      </c>
      <c r="D456" s="19" t="s">
        <v>2</v>
      </c>
      <c r="E456" s="17" t="s">
        <v>187</v>
      </c>
      <c r="F456" t="e">
        <f t="array" ref="F456">PROFEXHyperlinkAddress(B456:B456)</f>
        <v>#NAME?</v>
      </c>
    </row>
    <row r="457" spans="1:6">
      <c r="A457" s="11"/>
      <c r="B457" s="12"/>
      <c r="C457" s="11"/>
      <c r="D457" s="13"/>
      <c r="E457" s="11"/>
      <c r="F457" t="e">
        <f t="array" ref="F457">PROFEXHyperlinkAddress(B457:B457)</f>
        <v>#NAME?</v>
      </c>
    </row>
    <row r="458" ht="49.5" spans="1:6">
      <c r="A458" s="11"/>
      <c r="B458" s="14" t="s">
        <v>188</v>
      </c>
      <c r="C458" s="11"/>
      <c r="D458" s="13"/>
      <c r="E458" s="11"/>
      <c r="F458" t="e">
        <f t="array" ref="F458">PROFEXHyperlinkAddress(B458:B458)</f>
        <v>#NAME?</v>
      </c>
    </row>
    <row r="459" spans="1:6">
      <c r="A459" s="11"/>
      <c r="B459" s="12"/>
      <c r="C459" s="11"/>
      <c r="D459" s="13"/>
      <c r="E459" s="11"/>
      <c r="F459" t="e">
        <f t="array" ref="F459">PROFEXHyperlinkAddress(B459:B459)</f>
        <v>#NAME?</v>
      </c>
    </row>
    <row r="460" ht="25.5" spans="1:6">
      <c r="A460" s="15"/>
      <c r="B460" s="14" t="s">
        <v>5</v>
      </c>
      <c r="C460" s="15"/>
      <c r="D460" s="16"/>
      <c r="E460" s="15"/>
      <c r="F460" t="e">
        <f t="array" ref="F460">PROFEXHyperlinkAddress(B460:B460)</f>
        <v>#NAME?</v>
      </c>
    </row>
    <row r="461" ht="180" spans="1:6">
      <c r="A461" s="17">
        <v>5472097</v>
      </c>
      <c r="B461" s="18" t="s">
        <v>189</v>
      </c>
      <c r="C461" s="17" t="s">
        <v>1</v>
      </c>
      <c r="D461" s="19" t="s">
        <v>76</v>
      </c>
      <c r="E461" s="17" t="s">
        <v>190</v>
      </c>
      <c r="F461" t="e">
        <f t="array" ref="F461">PROFEXHyperlinkAddress(B461:B461)</f>
        <v>#NAME?</v>
      </c>
    </row>
    <row r="462" spans="1:6">
      <c r="A462" s="11"/>
      <c r="B462" s="12"/>
      <c r="C462" s="11"/>
      <c r="D462" s="13"/>
      <c r="E462" s="11"/>
      <c r="F462" t="e">
        <f t="array" ref="F462">PROFEXHyperlinkAddress(B462:B462)</f>
        <v>#NAME?</v>
      </c>
    </row>
    <row r="463" ht="49.5" spans="1:6">
      <c r="A463" s="11"/>
      <c r="B463" s="14" t="s">
        <v>78</v>
      </c>
      <c r="C463" s="11"/>
      <c r="D463" s="13"/>
      <c r="E463" s="11"/>
      <c r="F463" t="e">
        <f t="array" ref="F463">PROFEXHyperlinkAddress(B463:B463)</f>
        <v>#NAME?</v>
      </c>
    </row>
    <row r="464" spans="1:6">
      <c r="A464" s="11"/>
      <c r="B464" s="12"/>
      <c r="C464" s="11"/>
      <c r="D464" s="13"/>
      <c r="E464" s="11"/>
      <c r="F464" t="e">
        <f t="array" ref="F464">PROFEXHyperlinkAddress(B464:B464)</f>
        <v>#NAME?</v>
      </c>
    </row>
    <row r="465" ht="25.5" spans="1:6">
      <c r="A465" s="15"/>
      <c r="B465" s="14" t="s">
        <v>5</v>
      </c>
      <c r="C465" s="15"/>
      <c r="D465" s="16"/>
      <c r="E465" s="15"/>
      <c r="F465" t="e">
        <f t="array" ref="F465">PROFEXHyperlinkAddress(B465:B465)</f>
        <v>#NAME?</v>
      </c>
    </row>
    <row r="466" ht="120" spans="1:6">
      <c r="A466" s="17">
        <v>5471097</v>
      </c>
      <c r="B466" s="18" t="s">
        <v>191</v>
      </c>
      <c r="C466" s="17" t="s">
        <v>1</v>
      </c>
      <c r="D466" s="19" t="s">
        <v>2</v>
      </c>
      <c r="E466" s="17" t="s">
        <v>192</v>
      </c>
      <c r="F466" t="e">
        <f t="array" ref="F466">PROFEXHyperlinkAddress(B466:B466)</f>
        <v>#NAME?</v>
      </c>
    </row>
    <row r="467" spans="1:6">
      <c r="A467" s="11"/>
      <c r="B467" s="12"/>
      <c r="C467" s="11"/>
      <c r="D467" s="13"/>
      <c r="E467" s="11"/>
      <c r="F467" t="e">
        <f t="array" ref="F467">PROFEXHyperlinkAddress(B467:B467)</f>
        <v>#NAME?</v>
      </c>
    </row>
    <row r="468" ht="57.75" spans="1:6">
      <c r="A468" s="11"/>
      <c r="B468" s="14" t="s">
        <v>21</v>
      </c>
      <c r="C468" s="11"/>
      <c r="D468" s="13"/>
      <c r="E468" s="11"/>
      <c r="F468" t="e">
        <f t="array" ref="F468">PROFEXHyperlinkAddress(B468:B468)</f>
        <v>#NAME?</v>
      </c>
    </row>
    <row r="469" spans="1:6">
      <c r="A469" s="11"/>
      <c r="B469" s="12"/>
      <c r="C469" s="11"/>
      <c r="D469" s="13"/>
      <c r="E469" s="11"/>
      <c r="F469" t="e">
        <f t="array" ref="F469">PROFEXHyperlinkAddress(B469:B469)</f>
        <v>#NAME?</v>
      </c>
    </row>
    <row r="470" ht="25.5" spans="1:6">
      <c r="A470" s="15"/>
      <c r="B470" s="14" t="s">
        <v>5</v>
      </c>
      <c r="C470" s="15"/>
      <c r="D470" s="16"/>
      <c r="E470" s="15"/>
      <c r="F470" t="e">
        <f t="array" ref="F470">PROFEXHyperlinkAddress(B470:B470)</f>
        <v>#NAME?</v>
      </c>
    </row>
    <row r="471" ht="105" spans="1:6">
      <c r="A471" s="17">
        <v>5470097</v>
      </c>
      <c r="B471" s="18" t="s">
        <v>193</v>
      </c>
      <c r="C471" s="17" t="s">
        <v>1</v>
      </c>
      <c r="D471" s="19" t="s">
        <v>2</v>
      </c>
      <c r="E471" s="17" t="s">
        <v>194</v>
      </c>
      <c r="F471" t="e">
        <f t="array" ref="F471">PROFEXHyperlinkAddress(B471:B471)</f>
        <v>#NAME?</v>
      </c>
    </row>
    <row r="472" spans="1:6">
      <c r="A472" s="11"/>
      <c r="B472" s="12"/>
      <c r="C472" s="11"/>
      <c r="D472" s="13"/>
      <c r="E472" s="11"/>
      <c r="F472" t="e">
        <f t="array" ref="F472">PROFEXHyperlinkAddress(B472:B472)</f>
        <v>#NAME?</v>
      </c>
    </row>
    <row r="473" ht="57.75" spans="1:6">
      <c r="A473" s="11"/>
      <c r="B473" s="14" t="s">
        <v>21</v>
      </c>
      <c r="C473" s="11"/>
      <c r="D473" s="13"/>
      <c r="E473" s="11"/>
      <c r="F473" t="e">
        <f t="array" ref="F473">PROFEXHyperlinkAddress(B473:B473)</f>
        <v>#NAME?</v>
      </c>
    </row>
    <row r="474" spans="1:6">
      <c r="A474" s="11"/>
      <c r="B474" s="12"/>
      <c r="C474" s="11"/>
      <c r="D474" s="13"/>
      <c r="E474" s="11"/>
      <c r="F474" t="e">
        <f t="array" ref="F474">PROFEXHyperlinkAddress(B474:B474)</f>
        <v>#NAME?</v>
      </c>
    </row>
    <row r="475" ht="25.5" spans="1:6">
      <c r="A475" s="15"/>
      <c r="B475" s="14" t="s">
        <v>195</v>
      </c>
      <c r="C475" s="15"/>
      <c r="D475" s="16"/>
      <c r="E475" s="15"/>
      <c r="F475" t="e">
        <f t="array" ref="F475">PROFEXHyperlinkAddress(B475:B475)</f>
        <v>#NAME?</v>
      </c>
    </row>
    <row r="476" ht="225" spans="1:6">
      <c r="A476" s="17">
        <v>5468097</v>
      </c>
      <c r="B476" s="18" t="s">
        <v>196</v>
      </c>
      <c r="C476" s="17" t="s">
        <v>1</v>
      </c>
      <c r="D476" s="19" t="s">
        <v>7</v>
      </c>
      <c r="E476" s="17" t="s">
        <v>39</v>
      </c>
      <c r="F476" t="e">
        <f t="array" ref="F476">PROFEXHyperlinkAddress(B476:B476)</f>
        <v>#NAME?</v>
      </c>
    </row>
    <row r="477" spans="1:6">
      <c r="A477" s="11"/>
      <c r="B477" s="12"/>
      <c r="C477" s="11"/>
      <c r="D477" s="13"/>
      <c r="E477" s="11"/>
      <c r="F477" t="e">
        <f t="array" ref="F477">PROFEXHyperlinkAddress(B477:B477)</f>
        <v>#NAME?</v>
      </c>
    </row>
    <row r="478" ht="57.75" spans="1:6">
      <c r="A478" s="11"/>
      <c r="B478" s="14" t="s">
        <v>16</v>
      </c>
      <c r="C478" s="11"/>
      <c r="D478" s="13"/>
      <c r="E478" s="11"/>
      <c r="F478" t="e">
        <f t="array" ref="F478">PROFEXHyperlinkAddress(B478:B478)</f>
        <v>#NAME?</v>
      </c>
    </row>
    <row r="479" spans="1:6">
      <c r="A479" s="11"/>
      <c r="B479" s="12"/>
      <c r="C479" s="11"/>
      <c r="D479" s="13"/>
      <c r="E479" s="11"/>
      <c r="F479" t="e">
        <f t="array" ref="F479">PROFEXHyperlinkAddress(B479:B479)</f>
        <v>#NAME?</v>
      </c>
    </row>
    <row r="480" ht="25.5" spans="1:6">
      <c r="A480" s="15"/>
      <c r="B480" s="14" t="s">
        <v>5</v>
      </c>
      <c r="C480" s="15"/>
      <c r="D480" s="16"/>
      <c r="E480" s="15"/>
      <c r="F480" t="e">
        <f t="array" ref="F480">PROFEXHyperlinkAddress(B480:B480)</f>
        <v>#NAME?</v>
      </c>
    </row>
    <row r="481" ht="105" spans="1:6">
      <c r="A481" s="17">
        <v>5464097</v>
      </c>
      <c r="B481" s="18" t="s">
        <v>197</v>
      </c>
      <c r="C481" s="17" t="s">
        <v>1</v>
      </c>
      <c r="D481" s="19" t="s">
        <v>2</v>
      </c>
      <c r="E481" s="17" t="s">
        <v>198</v>
      </c>
      <c r="F481" t="e">
        <f t="array" ref="F481">PROFEXHyperlinkAddress(B481:B481)</f>
        <v>#NAME?</v>
      </c>
    </row>
    <row r="482" spans="1:6">
      <c r="A482" s="11"/>
      <c r="B482" s="12"/>
      <c r="C482" s="11"/>
      <c r="D482" s="13"/>
      <c r="E482" s="11"/>
      <c r="F482" t="e">
        <f t="array" ref="F482">PROFEXHyperlinkAddress(B482:B482)</f>
        <v>#NAME?</v>
      </c>
    </row>
    <row r="483" ht="57.75" spans="1:6">
      <c r="A483" s="11"/>
      <c r="B483" s="14" t="s">
        <v>16</v>
      </c>
      <c r="C483" s="11"/>
      <c r="D483" s="13"/>
      <c r="E483" s="11"/>
      <c r="F483" t="e">
        <f t="array" ref="F483">PROFEXHyperlinkAddress(B483:B483)</f>
        <v>#NAME?</v>
      </c>
    </row>
    <row r="484" spans="1:6">
      <c r="A484" s="11"/>
      <c r="B484" s="12"/>
      <c r="C484" s="11"/>
      <c r="D484" s="13"/>
      <c r="E484" s="11"/>
      <c r="F484" t="e">
        <f t="array" ref="F484">PROFEXHyperlinkAddress(B484:B484)</f>
        <v>#NAME?</v>
      </c>
    </row>
    <row r="485" ht="25.5" spans="1:6">
      <c r="A485" s="15"/>
      <c r="B485" s="14" t="s">
        <v>5</v>
      </c>
      <c r="C485" s="15"/>
      <c r="D485" s="16"/>
      <c r="E485" s="15"/>
      <c r="F485" t="e">
        <f t="array" ref="F485">PROFEXHyperlinkAddress(B485:B485)</f>
        <v>#NAME?</v>
      </c>
    </row>
    <row r="486" ht="180" spans="1:6">
      <c r="A486" s="17">
        <v>5463097</v>
      </c>
      <c r="B486" s="18" t="s">
        <v>199</v>
      </c>
      <c r="C486" s="17" t="s">
        <v>1</v>
      </c>
      <c r="D486" s="19" t="s">
        <v>2</v>
      </c>
      <c r="E486" s="17" t="s">
        <v>200</v>
      </c>
      <c r="F486" t="e">
        <f t="array" ref="F486">PROFEXHyperlinkAddress(B486:B486)</f>
        <v>#NAME?</v>
      </c>
    </row>
    <row r="487" spans="1:6">
      <c r="A487" s="11"/>
      <c r="B487" s="12"/>
      <c r="C487" s="11"/>
      <c r="D487" s="13"/>
      <c r="E487" s="11"/>
      <c r="F487" t="e">
        <f t="array" ref="F487">PROFEXHyperlinkAddress(B487:B487)</f>
        <v>#NAME?</v>
      </c>
    </row>
    <row r="488" ht="57.75" spans="1:6">
      <c r="A488" s="11"/>
      <c r="B488" s="14" t="s">
        <v>21</v>
      </c>
      <c r="C488" s="11"/>
      <c r="D488" s="13"/>
      <c r="E488" s="11"/>
      <c r="F488" t="e">
        <f t="array" ref="F488">PROFEXHyperlinkAddress(B488:B488)</f>
        <v>#NAME?</v>
      </c>
    </row>
    <row r="489" spans="1:6">
      <c r="A489" s="11"/>
      <c r="B489" s="12"/>
      <c r="C489" s="11"/>
      <c r="D489" s="13"/>
      <c r="E489" s="11"/>
      <c r="F489" t="e">
        <f t="array" ref="F489">PROFEXHyperlinkAddress(B489:B489)</f>
        <v>#NAME?</v>
      </c>
    </row>
    <row r="490" ht="25.5" spans="1:6">
      <c r="A490" s="15"/>
      <c r="B490" s="14" t="s">
        <v>5</v>
      </c>
      <c r="C490" s="15"/>
      <c r="D490" s="16"/>
      <c r="E490" s="15"/>
      <c r="F490" t="e">
        <f t="array" ref="F490">PROFEXHyperlinkAddress(B490:B490)</f>
        <v>#NAME?</v>
      </c>
    </row>
    <row r="491" ht="195" spans="1:6">
      <c r="A491" s="17">
        <v>5462097</v>
      </c>
      <c r="B491" s="18" t="s">
        <v>201</v>
      </c>
      <c r="C491" s="17" t="s">
        <v>1</v>
      </c>
      <c r="D491" s="19" t="s">
        <v>2</v>
      </c>
      <c r="E491" s="17" t="s">
        <v>202</v>
      </c>
      <c r="F491" t="e">
        <f t="array" ref="F491">PROFEXHyperlinkAddress(B491:B491)</f>
        <v>#NAME?</v>
      </c>
    </row>
    <row r="492" spans="1:6">
      <c r="A492" s="11"/>
      <c r="B492" s="12"/>
      <c r="C492" s="11"/>
      <c r="D492" s="13"/>
      <c r="E492" s="11"/>
      <c r="F492" t="e">
        <f t="array" ref="F492">PROFEXHyperlinkAddress(B492:B492)</f>
        <v>#NAME?</v>
      </c>
    </row>
    <row r="493" ht="57.75" spans="1:6">
      <c r="A493" s="11"/>
      <c r="B493" s="14" t="s">
        <v>21</v>
      </c>
      <c r="C493" s="11"/>
      <c r="D493" s="13"/>
      <c r="E493" s="11"/>
      <c r="F493" t="e">
        <f t="array" ref="F493">PROFEXHyperlinkAddress(B493:B493)</f>
        <v>#NAME?</v>
      </c>
    </row>
    <row r="494" spans="1:6">
      <c r="A494" s="11"/>
      <c r="B494" s="12"/>
      <c r="C494" s="11"/>
      <c r="D494" s="13"/>
      <c r="E494" s="11"/>
      <c r="F494" t="e">
        <f t="array" ref="F494">PROFEXHyperlinkAddress(B494:B494)</f>
        <v>#NAME?</v>
      </c>
    </row>
    <row r="495" ht="25.5" spans="1:6">
      <c r="A495" s="15"/>
      <c r="B495" s="14" t="s">
        <v>5</v>
      </c>
      <c r="C495" s="15"/>
      <c r="D495" s="16"/>
      <c r="E495" s="15"/>
      <c r="F495" t="e">
        <f t="array" ref="F495">PROFEXHyperlinkAddress(B495:B495)</f>
        <v>#NAME?</v>
      </c>
    </row>
    <row r="496" ht="180" spans="1:6">
      <c r="A496" s="17">
        <v>5461097</v>
      </c>
      <c r="B496" s="18" t="s">
        <v>203</v>
      </c>
      <c r="C496" s="17" t="s">
        <v>1</v>
      </c>
      <c r="D496" s="19" t="s">
        <v>2</v>
      </c>
      <c r="E496" s="17" t="s">
        <v>204</v>
      </c>
      <c r="F496" t="e">
        <f t="array" ref="F496">PROFEXHyperlinkAddress(B496:B496)</f>
        <v>#NAME?</v>
      </c>
    </row>
    <row r="497" spans="1:6">
      <c r="A497" s="11"/>
      <c r="B497" s="12"/>
      <c r="C497" s="11"/>
      <c r="D497" s="13"/>
      <c r="E497" s="11"/>
      <c r="F497" t="e">
        <f t="array" ref="F497">PROFEXHyperlinkAddress(B497:B497)</f>
        <v>#NAME?</v>
      </c>
    </row>
    <row r="498" ht="49.5" spans="1:6">
      <c r="A498" s="11"/>
      <c r="B498" s="14" t="s">
        <v>78</v>
      </c>
      <c r="C498" s="11"/>
      <c r="D498" s="13"/>
      <c r="E498" s="11"/>
      <c r="F498" t="e">
        <f t="array" ref="F498">PROFEXHyperlinkAddress(B498:B498)</f>
        <v>#NAME?</v>
      </c>
    </row>
    <row r="499" spans="1:6">
      <c r="A499" s="11"/>
      <c r="B499" s="12"/>
      <c r="C499" s="11"/>
      <c r="D499" s="13"/>
      <c r="E499" s="11"/>
      <c r="F499" t="e">
        <f t="array" ref="F499">PROFEXHyperlinkAddress(B499:B499)</f>
        <v>#NAME?</v>
      </c>
    </row>
    <row r="500" ht="25.5" spans="1:6">
      <c r="A500" s="15"/>
      <c r="B500" s="14" t="s">
        <v>5</v>
      </c>
      <c r="C500" s="15"/>
      <c r="D500" s="16"/>
      <c r="E500" s="15"/>
      <c r="F500" t="e">
        <f t="array" ref="F500">PROFEXHyperlinkAddress(B500:B500)</f>
        <v>#NAME?</v>
      </c>
    </row>
    <row r="501" ht="180" spans="1:6">
      <c r="A501" s="17">
        <v>5460097</v>
      </c>
      <c r="B501" s="18" t="s">
        <v>205</v>
      </c>
      <c r="C501" s="17" t="s">
        <v>1</v>
      </c>
      <c r="D501" s="19" t="s">
        <v>2</v>
      </c>
      <c r="E501" s="17" t="s">
        <v>206</v>
      </c>
      <c r="F501" t="e">
        <f t="array" ref="F501">PROFEXHyperlinkAddress(B501:B501)</f>
        <v>#NAME?</v>
      </c>
    </row>
    <row r="502" spans="1:6">
      <c r="A502" s="11"/>
      <c r="B502" s="12"/>
      <c r="C502" s="11"/>
      <c r="D502" s="13"/>
      <c r="E502" s="11"/>
      <c r="F502" t="e">
        <f t="array" ref="F502">PROFEXHyperlinkAddress(B502:B502)</f>
        <v>#NAME?</v>
      </c>
    </row>
    <row r="503" ht="49.5" spans="1:6">
      <c r="A503" s="11"/>
      <c r="B503" s="14" t="s">
        <v>78</v>
      </c>
      <c r="C503" s="11"/>
      <c r="D503" s="13"/>
      <c r="E503" s="11"/>
      <c r="F503" t="e">
        <f t="array" ref="F503">PROFEXHyperlinkAddress(B503:B503)</f>
        <v>#NAME?</v>
      </c>
    </row>
    <row r="504" spans="1:6">
      <c r="A504" s="11"/>
      <c r="B504" s="12"/>
      <c r="C504" s="11"/>
      <c r="D504" s="13"/>
      <c r="E504" s="11"/>
      <c r="F504" t="e">
        <f t="array" ref="F504">PROFEXHyperlinkAddress(B504:B504)</f>
        <v>#NAME?</v>
      </c>
    </row>
    <row r="505" ht="25.5" spans="1:6">
      <c r="A505" s="15"/>
      <c r="B505" s="14" t="s">
        <v>5</v>
      </c>
      <c r="C505" s="15"/>
      <c r="D505" s="16"/>
      <c r="E505" s="15"/>
      <c r="F505" t="e">
        <f t="array" ref="F505">PROFEXHyperlinkAddress(B505:B505)</f>
        <v>#NAME?</v>
      </c>
    </row>
    <row r="506" ht="60" spans="1:6">
      <c r="A506" s="17">
        <v>5459097</v>
      </c>
      <c r="B506" s="18" t="s">
        <v>207</v>
      </c>
      <c r="C506" s="17" t="s">
        <v>1</v>
      </c>
      <c r="D506" s="19" t="s">
        <v>2</v>
      </c>
      <c r="E506" s="17" t="s">
        <v>208</v>
      </c>
      <c r="F506" t="e">
        <f t="array" ref="F506">PROFEXHyperlinkAddress(B506:B506)</f>
        <v>#NAME?</v>
      </c>
    </row>
    <row r="507" spans="1:6">
      <c r="A507" s="11"/>
      <c r="B507" s="12"/>
      <c r="C507" s="11"/>
      <c r="D507" s="13"/>
      <c r="E507" s="11"/>
      <c r="F507" t="e">
        <f t="array" ref="F507">PROFEXHyperlinkAddress(B507:B507)</f>
        <v>#NAME?</v>
      </c>
    </row>
    <row r="508" ht="57.75" spans="1:6">
      <c r="A508" s="11"/>
      <c r="B508" s="14" t="s">
        <v>16</v>
      </c>
      <c r="C508" s="11"/>
      <c r="D508" s="13"/>
      <c r="E508" s="11"/>
      <c r="F508" t="e">
        <f t="array" ref="F508">PROFEXHyperlinkAddress(B508:B508)</f>
        <v>#NAME?</v>
      </c>
    </row>
    <row r="509" spans="1:6">
      <c r="A509" s="11"/>
      <c r="B509" s="12"/>
      <c r="C509" s="11"/>
      <c r="D509" s="13"/>
      <c r="E509" s="11"/>
      <c r="F509" t="e">
        <f t="array" ref="F509">PROFEXHyperlinkAddress(B509:B509)</f>
        <v>#NAME?</v>
      </c>
    </row>
    <row r="510" ht="25.5" spans="1:6">
      <c r="A510" s="15"/>
      <c r="B510" s="14" t="s">
        <v>5</v>
      </c>
      <c r="C510" s="15"/>
      <c r="D510" s="16"/>
      <c r="E510" s="15"/>
      <c r="F510" t="e">
        <f t="array" ref="F510">PROFEXHyperlinkAddress(B510:B510)</f>
        <v>#NAME?</v>
      </c>
    </row>
    <row r="511" ht="225" spans="1:6">
      <c r="A511" s="17">
        <v>5458097</v>
      </c>
      <c r="B511" s="18" t="s">
        <v>209</v>
      </c>
      <c r="C511" s="17" t="s">
        <v>1</v>
      </c>
      <c r="D511" s="19" t="s">
        <v>2</v>
      </c>
      <c r="E511" s="17" t="s">
        <v>210</v>
      </c>
      <c r="F511" t="e">
        <f t="array" ref="F511">PROFEXHyperlinkAddress(B511:B511)</f>
        <v>#NAME?</v>
      </c>
    </row>
    <row r="512" spans="1:6">
      <c r="A512" s="11"/>
      <c r="B512" s="12"/>
      <c r="C512" s="11"/>
      <c r="D512" s="13"/>
      <c r="E512" s="11"/>
      <c r="F512" t="e">
        <f t="array" ref="F512">PROFEXHyperlinkAddress(B512:B512)</f>
        <v>#NAME?</v>
      </c>
    </row>
    <row r="513" ht="57.75" spans="1:6">
      <c r="A513" s="11"/>
      <c r="B513" s="14" t="s">
        <v>21</v>
      </c>
      <c r="C513" s="11"/>
      <c r="D513" s="13"/>
      <c r="E513" s="11"/>
      <c r="F513" t="e">
        <f t="array" ref="F513">PROFEXHyperlinkAddress(B513:B513)</f>
        <v>#NAME?</v>
      </c>
    </row>
    <row r="514" spans="1:6">
      <c r="A514" s="11"/>
      <c r="B514" s="12"/>
      <c r="C514" s="11"/>
      <c r="D514" s="13"/>
      <c r="E514" s="11"/>
      <c r="F514" t="e">
        <f t="array" ref="F514">PROFEXHyperlinkAddress(B514:B514)</f>
        <v>#NAME?</v>
      </c>
    </row>
    <row r="515" ht="25.5" spans="1:6">
      <c r="A515" s="15"/>
      <c r="B515" s="14" t="s">
        <v>5</v>
      </c>
      <c r="C515" s="15"/>
      <c r="D515" s="16"/>
      <c r="E515" s="15"/>
      <c r="F515" t="e">
        <f t="array" ref="F515">PROFEXHyperlinkAddress(B515:B515)</f>
        <v>#NAME?</v>
      </c>
    </row>
    <row r="516" ht="135" spans="1:6">
      <c r="A516" s="17">
        <v>5457097</v>
      </c>
      <c r="B516" s="18" t="s">
        <v>211</v>
      </c>
      <c r="C516" s="17" t="s">
        <v>1</v>
      </c>
      <c r="D516" s="19" t="s">
        <v>2</v>
      </c>
      <c r="E516" s="17" t="s">
        <v>212</v>
      </c>
      <c r="F516" t="e">
        <f t="array" ref="F516">PROFEXHyperlinkAddress(B516:B516)</f>
        <v>#NAME?</v>
      </c>
    </row>
    <row r="517" spans="1:6">
      <c r="A517" s="11"/>
      <c r="B517" s="12"/>
      <c r="C517" s="11"/>
      <c r="D517" s="13"/>
      <c r="E517" s="11"/>
      <c r="F517" t="e">
        <f t="array" ref="F517">PROFEXHyperlinkAddress(B517:B517)</f>
        <v>#NAME?</v>
      </c>
    </row>
    <row r="518" ht="57.75" spans="1:6">
      <c r="A518" s="11"/>
      <c r="B518" s="14" t="s">
        <v>21</v>
      </c>
      <c r="C518" s="11"/>
      <c r="D518" s="13"/>
      <c r="E518" s="11"/>
      <c r="F518" t="e">
        <f t="array" ref="F518">PROFEXHyperlinkAddress(B518:B518)</f>
        <v>#NAME?</v>
      </c>
    </row>
    <row r="519" spans="1:6">
      <c r="A519" s="11"/>
      <c r="B519" s="12"/>
      <c r="C519" s="11"/>
      <c r="D519" s="13"/>
      <c r="E519" s="11"/>
      <c r="F519" t="e">
        <f t="array" ref="F519">PROFEXHyperlinkAddress(B519:B519)</f>
        <v>#NAME?</v>
      </c>
    </row>
    <row r="520" ht="25.5" spans="1:6">
      <c r="A520" s="15"/>
      <c r="B520" s="14" t="s">
        <v>5</v>
      </c>
      <c r="C520" s="15"/>
      <c r="D520" s="16"/>
      <c r="E520" s="15"/>
      <c r="F520" t="e">
        <f t="array" ref="F520">PROFEXHyperlinkAddress(B520:B520)</f>
        <v>#NAME?</v>
      </c>
    </row>
    <row r="521" ht="120" spans="1:6">
      <c r="A521" s="17">
        <v>5456097</v>
      </c>
      <c r="B521" s="18" t="s">
        <v>213</v>
      </c>
      <c r="C521" s="17" t="s">
        <v>1</v>
      </c>
      <c r="D521" s="19" t="s">
        <v>2</v>
      </c>
      <c r="E521" s="17" t="s">
        <v>198</v>
      </c>
      <c r="F521" t="e">
        <f t="array" ref="F521">PROFEXHyperlinkAddress(B521:B521)</f>
        <v>#NAME?</v>
      </c>
    </row>
    <row r="522" spans="1:6">
      <c r="A522" s="11"/>
      <c r="B522" s="12"/>
      <c r="C522" s="11"/>
      <c r="D522" s="13"/>
      <c r="E522" s="11"/>
      <c r="F522" t="e">
        <f t="array" ref="F522">PROFEXHyperlinkAddress(B522:B522)</f>
        <v>#NAME?</v>
      </c>
    </row>
    <row r="523" ht="57.75" spans="1:6">
      <c r="A523" s="11"/>
      <c r="B523" s="14" t="s">
        <v>21</v>
      </c>
      <c r="C523" s="11"/>
      <c r="D523" s="13"/>
      <c r="E523" s="11"/>
      <c r="F523" t="e">
        <f t="array" ref="F523">PROFEXHyperlinkAddress(B523:B523)</f>
        <v>#NAME?</v>
      </c>
    </row>
    <row r="524" spans="1:6">
      <c r="A524" s="11"/>
      <c r="B524" s="12"/>
      <c r="C524" s="11"/>
      <c r="D524" s="13"/>
      <c r="E524" s="11"/>
      <c r="F524" t="e">
        <f t="array" ref="F524">PROFEXHyperlinkAddress(B524:B524)</f>
        <v>#NAME?</v>
      </c>
    </row>
    <row r="525" ht="25.5" spans="1:6">
      <c r="A525" s="15"/>
      <c r="B525" s="14" t="s">
        <v>5</v>
      </c>
      <c r="C525" s="15"/>
      <c r="D525" s="16"/>
      <c r="E525" s="15"/>
      <c r="F525" t="e">
        <f t="array" ref="F525">PROFEXHyperlinkAddress(B525:B525)</f>
        <v>#NAME?</v>
      </c>
    </row>
    <row r="526" ht="210" spans="1:6">
      <c r="A526" s="17">
        <v>5455097</v>
      </c>
      <c r="B526" s="18" t="s">
        <v>214</v>
      </c>
      <c r="C526" s="17" t="s">
        <v>1</v>
      </c>
      <c r="D526" s="19" t="s">
        <v>2</v>
      </c>
      <c r="E526" s="17" t="s">
        <v>215</v>
      </c>
      <c r="F526" t="e">
        <f t="array" ref="F526">PROFEXHyperlinkAddress(B526:B526)</f>
        <v>#NAME?</v>
      </c>
    </row>
    <row r="527" spans="1:6">
      <c r="A527" s="11"/>
      <c r="B527" s="12"/>
      <c r="C527" s="11"/>
      <c r="D527" s="13"/>
      <c r="E527" s="11"/>
      <c r="F527" t="e">
        <f t="array" ref="F527">PROFEXHyperlinkAddress(B527:B527)</f>
        <v>#NAME?</v>
      </c>
    </row>
    <row r="528" ht="57.75" spans="1:6">
      <c r="A528" s="11"/>
      <c r="B528" s="14" t="s">
        <v>21</v>
      </c>
      <c r="C528" s="11"/>
      <c r="D528" s="13"/>
      <c r="E528" s="11"/>
      <c r="F528" t="e">
        <f t="array" ref="F528">PROFEXHyperlinkAddress(B528:B528)</f>
        <v>#NAME?</v>
      </c>
    </row>
    <row r="529" spans="1:6">
      <c r="A529" s="11"/>
      <c r="B529" s="12"/>
      <c r="C529" s="11"/>
      <c r="D529" s="13"/>
      <c r="E529" s="11"/>
      <c r="F529" t="e">
        <f t="array" ref="F529">PROFEXHyperlinkAddress(B529:B529)</f>
        <v>#NAME?</v>
      </c>
    </row>
    <row r="530" ht="25.5" spans="1:6">
      <c r="A530" s="15"/>
      <c r="B530" s="14" t="s">
        <v>5</v>
      </c>
      <c r="C530" s="15"/>
      <c r="D530" s="16"/>
      <c r="E530" s="15"/>
      <c r="F530" t="e">
        <f t="array" ref="F530">PROFEXHyperlinkAddress(B530:B530)</f>
        <v>#NAME?</v>
      </c>
    </row>
    <row r="531" ht="255" spans="1:6">
      <c r="A531" s="17">
        <v>5454097</v>
      </c>
      <c r="B531" s="18" t="s">
        <v>216</v>
      </c>
      <c r="C531" s="17" t="s">
        <v>1</v>
      </c>
      <c r="D531" s="19" t="s">
        <v>76</v>
      </c>
      <c r="E531" s="17" t="s">
        <v>147</v>
      </c>
      <c r="F531" t="e">
        <f t="array" ref="F531">PROFEXHyperlinkAddress(B531:B531)</f>
        <v>#NAME?</v>
      </c>
    </row>
    <row r="532" spans="1:6">
      <c r="A532" s="11"/>
      <c r="B532" s="12"/>
      <c r="C532" s="11"/>
      <c r="D532" s="13"/>
      <c r="E532" s="11"/>
      <c r="F532" t="e">
        <f t="array" ref="F532">PROFEXHyperlinkAddress(B532:B532)</f>
        <v>#NAME?</v>
      </c>
    </row>
    <row r="533" ht="49.5" spans="1:6">
      <c r="A533" s="11"/>
      <c r="B533" s="14" t="s">
        <v>78</v>
      </c>
      <c r="C533" s="11"/>
      <c r="D533" s="13"/>
      <c r="E533" s="11"/>
      <c r="F533" t="e">
        <f t="array" ref="F533">PROFEXHyperlinkAddress(B533:B533)</f>
        <v>#NAME?</v>
      </c>
    </row>
    <row r="534" spans="1:6">
      <c r="A534" s="11"/>
      <c r="B534" s="12"/>
      <c r="C534" s="11"/>
      <c r="D534" s="13"/>
      <c r="E534" s="11"/>
      <c r="F534" t="e">
        <f t="array" ref="F534">PROFEXHyperlinkAddress(B534:B534)</f>
        <v>#NAME?</v>
      </c>
    </row>
    <row r="535" ht="25.5" spans="1:6">
      <c r="A535" s="15"/>
      <c r="B535" s="14" t="s">
        <v>5</v>
      </c>
      <c r="C535" s="15"/>
      <c r="D535" s="16"/>
      <c r="E535" s="15"/>
      <c r="F535" t="e">
        <f t="array" ref="F535">PROFEXHyperlinkAddress(B535:B535)</f>
        <v>#NAME?</v>
      </c>
    </row>
    <row r="536" ht="210" spans="1:6">
      <c r="A536" s="17">
        <v>5451097</v>
      </c>
      <c r="B536" s="18" t="s">
        <v>217</v>
      </c>
      <c r="C536" s="17" t="s">
        <v>149</v>
      </c>
      <c r="D536" s="19" t="s">
        <v>2</v>
      </c>
      <c r="E536" s="17" t="s">
        <v>218</v>
      </c>
      <c r="F536" t="e">
        <f t="array" ref="F536">PROFEXHyperlinkAddress(B536:B536)</f>
        <v>#NAME?</v>
      </c>
    </row>
    <row r="537" spans="1:6">
      <c r="A537" s="11"/>
      <c r="B537" s="12"/>
      <c r="C537" s="11"/>
      <c r="D537" s="13"/>
      <c r="E537" s="11"/>
      <c r="F537" t="e">
        <f t="array" ref="F537">PROFEXHyperlinkAddress(B537:B537)</f>
        <v>#NAME?</v>
      </c>
    </row>
    <row r="538" ht="57.75" spans="1:6">
      <c r="A538" s="11"/>
      <c r="B538" s="14" t="s">
        <v>21</v>
      </c>
      <c r="C538" s="11"/>
      <c r="D538" s="13"/>
      <c r="E538" s="11"/>
      <c r="F538" t="e">
        <f t="array" ref="F538">PROFEXHyperlinkAddress(B538:B538)</f>
        <v>#NAME?</v>
      </c>
    </row>
    <row r="539" spans="1:6">
      <c r="A539" s="11"/>
      <c r="B539" s="12"/>
      <c r="C539" s="11"/>
      <c r="D539" s="13"/>
      <c r="E539" s="11"/>
      <c r="F539" t="e">
        <f t="array" ref="F539">PROFEXHyperlinkAddress(B539:B539)</f>
        <v>#NAME?</v>
      </c>
    </row>
    <row r="540" ht="25.5" spans="1:6">
      <c r="A540" s="15"/>
      <c r="B540" s="14" t="s">
        <v>5</v>
      </c>
      <c r="C540" s="15"/>
      <c r="D540" s="16"/>
      <c r="E540" s="15"/>
      <c r="F540" t="e">
        <f t="array" ref="F540">PROFEXHyperlinkAddress(B540:B540)</f>
        <v>#NAME?</v>
      </c>
    </row>
    <row r="541" ht="360" spans="1:6">
      <c r="A541" s="17">
        <v>5450097</v>
      </c>
      <c r="B541" s="18" t="s">
        <v>219</v>
      </c>
      <c r="C541" s="17" t="s">
        <v>1</v>
      </c>
      <c r="D541" s="19" t="s">
        <v>7</v>
      </c>
      <c r="E541" s="17" t="s">
        <v>174</v>
      </c>
      <c r="F541" t="e">
        <f t="array" ref="F541">PROFEXHyperlinkAddress(B541:B541)</f>
        <v>#NAME?</v>
      </c>
    </row>
    <row r="542" spans="1:6">
      <c r="A542" s="11"/>
      <c r="B542" s="12"/>
      <c r="C542" s="11"/>
      <c r="D542" s="13"/>
      <c r="E542" s="11"/>
      <c r="F542" t="e">
        <f t="array" ref="F542">PROFEXHyperlinkAddress(B542:B542)</f>
        <v>#NAME?</v>
      </c>
    </row>
    <row r="543" ht="57.75" spans="1:6">
      <c r="A543" s="11"/>
      <c r="B543" s="14" t="s">
        <v>16</v>
      </c>
      <c r="C543" s="11"/>
      <c r="D543" s="13"/>
      <c r="E543" s="11"/>
      <c r="F543" t="e">
        <f t="array" ref="F543">PROFEXHyperlinkAddress(B543:B543)</f>
        <v>#NAME?</v>
      </c>
    </row>
    <row r="544" spans="1:6">
      <c r="A544" s="11"/>
      <c r="B544" s="12"/>
      <c r="C544" s="11"/>
      <c r="D544" s="13"/>
      <c r="E544" s="11"/>
      <c r="F544" t="e">
        <f t="array" ref="F544">PROFEXHyperlinkAddress(B544:B544)</f>
        <v>#NAME?</v>
      </c>
    </row>
    <row r="545" ht="25.5" spans="1:6">
      <c r="A545" s="15"/>
      <c r="B545" s="14" t="s">
        <v>5</v>
      </c>
      <c r="C545" s="15"/>
      <c r="D545" s="16"/>
      <c r="E545" s="15"/>
      <c r="F545" t="e">
        <f t="array" ref="F545">PROFEXHyperlinkAddress(B545:B545)</f>
        <v>#NAME?</v>
      </c>
    </row>
    <row r="546" ht="120" spans="1:6">
      <c r="A546" s="17">
        <v>5449097</v>
      </c>
      <c r="B546" s="18" t="s">
        <v>220</v>
      </c>
      <c r="C546" s="17" t="s">
        <v>1</v>
      </c>
      <c r="D546" s="19" t="s">
        <v>7</v>
      </c>
      <c r="E546" s="17" t="s">
        <v>145</v>
      </c>
      <c r="F546" t="e">
        <f t="array" ref="F546">PROFEXHyperlinkAddress(B546:B546)</f>
        <v>#NAME?</v>
      </c>
    </row>
    <row r="547" spans="1:6">
      <c r="A547" s="11"/>
      <c r="B547" s="12"/>
      <c r="C547" s="11"/>
      <c r="D547" s="13"/>
      <c r="E547" s="11"/>
      <c r="F547" t="e">
        <f t="array" ref="F547">PROFEXHyperlinkAddress(B547:B547)</f>
        <v>#NAME?</v>
      </c>
    </row>
    <row r="548" ht="57.75" spans="1:6">
      <c r="A548" s="11"/>
      <c r="B548" s="14" t="s">
        <v>21</v>
      </c>
      <c r="C548" s="11"/>
      <c r="D548" s="13"/>
      <c r="E548" s="11"/>
      <c r="F548" t="e">
        <f t="array" ref="F548">PROFEXHyperlinkAddress(B548:B548)</f>
        <v>#NAME?</v>
      </c>
    </row>
    <row r="549" spans="1:6">
      <c r="A549" s="11"/>
      <c r="B549" s="12"/>
      <c r="C549" s="11"/>
      <c r="D549" s="13"/>
      <c r="E549" s="11"/>
      <c r="F549" t="e">
        <f t="array" ref="F549">PROFEXHyperlinkAddress(B549:B549)</f>
        <v>#NAME?</v>
      </c>
    </row>
    <row r="550" ht="25.5" spans="1:6">
      <c r="A550" s="15"/>
      <c r="B550" s="14" t="s">
        <v>5</v>
      </c>
      <c r="C550" s="15"/>
      <c r="D550" s="16"/>
      <c r="E550" s="15"/>
      <c r="F550" t="e">
        <f t="array" ref="F550">PROFEXHyperlinkAddress(B550:B550)</f>
        <v>#NAME?</v>
      </c>
    </row>
    <row r="551" ht="150" spans="1:6">
      <c r="A551" s="17">
        <v>5448097</v>
      </c>
      <c r="B551" s="18" t="s">
        <v>221</v>
      </c>
      <c r="C551" s="17" t="s">
        <v>1</v>
      </c>
      <c r="D551" s="19" t="s">
        <v>7</v>
      </c>
      <c r="E551" s="17" t="s">
        <v>180</v>
      </c>
      <c r="F551" t="e">
        <f t="array" ref="F551">PROFEXHyperlinkAddress(B551:B551)</f>
        <v>#NAME?</v>
      </c>
    </row>
    <row r="552" spans="1:6">
      <c r="A552" s="11"/>
      <c r="B552" s="12"/>
      <c r="C552" s="11"/>
      <c r="D552" s="13"/>
      <c r="E552" s="11"/>
      <c r="F552" t="e">
        <f t="array" ref="F552">PROFEXHyperlinkAddress(B552:B552)</f>
        <v>#NAME?</v>
      </c>
    </row>
    <row r="553" ht="57.75" spans="1:6">
      <c r="A553" s="11"/>
      <c r="B553" s="14" t="s">
        <v>21</v>
      </c>
      <c r="C553" s="11"/>
      <c r="D553" s="13"/>
      <c r="E553" s="11"/>
      <c r="F553" t="e">
        <f t="array" ref="F553">PROFEXHyperlinkAddress(B553:B553)</f>
        <v>#NAME?</v>
      </c>
    </row>
    <row r="554" spans="1:6">
      <c r="A554" s="11"/>
      <c r="B554" s="12"/>
      <c r="C554" s="11"/>
      <c r="D554" s="13"/>
      <c r="E554" s="11"/>
      <c r="F554" t="e">
        <f t="array" ref="F554">PROFEXHyperlinkAddress(B554:B554)</f>
        <v>#NAME?</v>
      </c>
    </row>
    <row r="555" ht="25.5" spans="1:6">
      <c r="A555" s="15"/>
      <c r="B555" s="14" t="s">
        <v>5</v>
      </c>
      <c r="C555" s="15"/>
      <c r="D555" s="16"/>
      <c r="E555" s="15"/>
      <c r="F555" t="e">
        <f t="array" ref="F555">PROFEXHyperlinkAddress(B555:B555)</f>
        <v>#NAME?</v>
      </c>
    </row>
    <row r="556" ht="165" spans="1:6">
      <c r="A556" s="17">
        <v>5446097</v>
      </c>
      <c r="B556" s="18" t="s">
        <v>222</v>
      </c>
      <c r="C556" s="17" t="s">
        <v>1</v>
      </c>
      <c r="D556" s="19" t="s">
        <v>2</v>
      </c>
      <c r="E556" s="17" t="s">
        <v>223</v>
      </c>
      <c r="F556" t="e">
        <f t="array" ref="F556">PROFEXHyperlinkAddress(B556:B556)</f>
        <v>#NAME?</v>
      </c>
    </row>
    <row r="557" spans="1:6">
      <c r="A557" s="11"/>
      <c r="B557" s="12"/>
      <c r="C557" s="11"/>
      <c r="D557" s="13"/>
      <c r="E557" s="11"/>
      <c r="F557" t="e">
        <f t="array" ref="F557">PROFEXHyperlinkAddress(B557:B557)</f>
        <v>#NAME?</v>
      </c>
    </row>
    <row r="558" ht="49.5" spans="1:6">
      <c r="A558" s="11"/>
      <c r="B558" s="14" t="s">
        <v>188</v>
      </c>
      <c r="C558" s="11"/>
      <c r="D558" s="13"/>
      <c r="E558" s="11"/>
      <c r="F558" t="e">
        <f t="array" ref="F558">PROFEXHyperlinkAddress(B558:B558)</f>
        <v>#NAME?</v>
      </c>
    </row>
    <row r="559" spans="1:6">
      <c r="A559" s="11"/>
      <c r="B559" s="12"/>
      <c r="C559" s="11"/>
      <c r="D559" s="13"/>
      <c r="E559" s="11"/>
      <c r="F559" t="e">
        <f t="array" ref="F559">PROFEXHyperlinkAddress(B559:B559)</f>
        <v>#NAME?</v>
      </c>
    </row>
    <row r="560" ht="25.5" spans="1:6">
      <c r="A560" s="15"/>
      <c r="B560" s="14" t="s">
        <v>5</v>
      </c>
      <c r="C560" s="15"/>
      <c r="D560" s="16"/>
      <c r="E560" s="15"/>
      <c r="F560" t="e">
        <f t="array" ref="F560">PROFEXHyperlinkAddress(B560:B560)</f>
        <v>#NAME?</v>
      </c>
    </row>
    <row r="561" ht="90" spans="1:6">
      <c r="A561" s="17">
        <v>5445097</v>
      </c>
      <c r="B561" s="18" t="s">
        <v>224</v>
      </c>
      <c r="C561" s="17" t="s">
        <v>1</v>
      </c>
      <c r="D561" s="19" t="s">
        <v>2</v>
      </c>
      <c r="E561" s="17" t="s">
        <v>225</v>
      </c>
      <c r="F561" t="e">
        <f t="array" ref="F561">PROFEXHyperlinkAddress(B561:B561)</f>
        <v>#NAME?</v>
      </c>
    </row>
    <row r="562" spans="1:6">
      <c r="A562" s="11"/>
      <c r="B562" s="12"/>
      <c r="C562" s="11"/>
      <c r="D562" s="13"/>
      <c r="E562" s="11"/>
      <c r="F562" t="e">
        <f t="array" ref="F562">PROFEXHyperlinkAddress(B562:B562)</f>
        <v>#NAME?</v>
      </c>
    </row>
    <row r="563" ht="57.75" spans="1:6">
      <c r="A563" s="11"/>
      <c r="B563" s="14" t="s">
        <v>4</v>
      </c>
      <c r="C563" s="11"/>
      <c r="D563" s="13"/>
      <c r="E563" s="11"/>
      <c r="F563" t="e">
        <f t="array" ref="F563">PROFEXHyperlinkAddress(B563:B563)</f>
        <v>#NAME?</v>
      </c>
    </row>
    <row r="564" spans="1:6">
      <c r="A564" s="11"/>
      <c r="B564" s="12"/>
      <c r="C564" s="11"/>
      <c r="D564" s="13"/>
      <c r="E564" s="11"/>
      <c r="F564" t="e">
        <f t="array" ref="F564">PROFEXHyperlinkAddress(B564:B564)</f>
        <v>#NAME?</v>
      </c>
    </row>
    <row r="565" ht="25.5" spans="1:6">
      <c r="A565" s="15"/>
      <c r="B565" s="14" t="s">
        <v>226</v>
      </c>
      <c r="C565" s="15"/>
      <c r="D565" s="16"/>
      <c r="E565" s="15"/>
      <c r="F565" t="e">
        <f t="array" ref="F565">PROFEXHyperlinkAddress(B565:B565)</f>
        <v>#NAME?</v>
      </c>
    </row>
    <row r="566" ht="195" spans="1:6">
      <c r="A566" s="17">
        <v>5444097</v>
      </c>
      <c r="B566" s="18" t="s">
        <v>227</v>
      </c>
      <c r="C566" s="17" t="s">
        <v>1</v>
      </c>
      <c r="D566" s="19" t="s">
        <v>2</v>
      </c>
      <c r="E566" s="17" t="s">
        <v>228</v>
      </c>
      <c r="F566" t="e">
        <f t="array" ref="F566">PROFEXHyperlinkAddress(B566:B566)</f>
        <v>#NAME?</v>
      </c>
    </row>
    <row r="567" spans="1:6">
      <c r="A567" s="11"/>
      <c r="B567" s="12"/>
      <c r="C567" s="11"/>
      <c r="D567" s="13"/>
      <c r="E567" s="11"/>
      <c r="F567" t="e">
        <f t="array" ref="F567">PROFEXHyperlinkAddress(B567:B567)</f>
        <v>#NAME?</v>
      </c>
    </row>
    <row r="568" ht="57.75" spans="1:6">
      <c r="A568" s="11"/>
      <c r="B568" s="14" t="s">
        <v>21</v>
      </c>
      <c r="C568" s="11"/>
      <c r="D568" s="13"/>
      <c r="E568" s="11"/>
      <c r="F568" t="e">
        <f t="array" ref="F568">PROFEXHyperlinkAddress(B568:B568)</f>
        <v>#NAME?</v>
      </c>
    </row>
    <row r="569" spans="1:6">
      <c r="A569" s="11"/>
      <c r="B569" s="12"/>
      <c r="C569" s="11"/>
      <c r="D569" s="13"/>
      <c r="E569" s="11"/>
      <c r="F569" t="e">
        <f t="array" ref="F569">PROFEXHyperlinkAddress(B569:B569)</f>
        <v>#NAME?</v>
      </c>
    </row>
    <row r="570" ht="25.5" spans="1:6">
      <c r="A570" s="15"/>
      <c r="B570" s="14" t="s">
        <v>5</v>
      </c>
      <c r="C570" s="15"/>
      <c r="D570" s="16"/>
      <c r="E570" s="15"/>
      <c r="F570" t="e">
        <f t="array" ref="F570">PROFEXHyperlinkAddress(B570:B570)</f>
        <v>#NAME?</v>
      </c>
    </row>
    <row r="571" ht="255" spans="1:6">
      <c r="A571" s="17">
        <v>5443097</v>
      </c>
      <c r="B571" s="18" t="s">
        <v>229</v>
      </c>
      <c r="C571" s="17" t="s">
        <v>1</v>
      </c>
      <c r="D571" s="19" t="s">
        <v>2</v>
      </c>
      <c r="E571" s="17" t="s">
        <v>228</v>
      </c>
      <c r="F571" t="e">
        <f t="array" ref="F571">PROFEXHyperlinkAddress(B571:B571)</f>
        <v>#NAME?</v>
      </c>
    </row>
    <row r="572" spans="1:6">
      <c r="A572" s="11"/>
      <c r="B572" s="12"/>
      <c r="C572" s="11"/>
      <c r="D572" s="13"/>
      <c r="E572" s="11"/>
      <c r="F572" t="e">
        <f t="array" ref="F572">PROFEXHyperlinkAddress(B572:B572)</f>
        <v>#NAME?</v>
      </c>
    </row>
    <row r="573" ht="57.75" spans="1:6">
      <c r="A573" s="11"/>
      <c r="B573" s="14" t="s">
        <v>21</v>
      </c>
      <c r="C573" s="11"/>
      <c r="D573" s="13"/>
      <c r="E573" s="11"/>
      <c r="F573" t="e">
        <f t="array" ref="F573">PROFEXHyperlinkAddress(B573:B573)</f>
        <v>#NAME?</v>
      </c>
    </row>
    <row r="574" spans="1:6">
      <c r="A574" s="11"/>
      <c r="B574" s="12"/>
      <c r="C574" s="11"/>
      <c r="D574" s="13"/>
      <c r="E574" s="11"/>
      <c r="F574" t="e">
        <f t="array" ref="F574">PROFEXHyperlinkAddress(B574:B574)</f>
        <v>#NAME?</v>
      </c>
    </row>
    <row r="575" ht="25.5" spans="1:6">
      <c r="A575" s="15"/>
      <c r="B575" s="14" t="s">
        <v>5</v>
      </c>
      <c r="C575" s="15"/>
      <c r="D575" s="16"/>
      <c r="E575" s="15"/>
      <c r="F575" t="e">
        <f t="array" ref="F575">PROFEXHyperlinkAddress(B575:B575)</f>
        <v>#NAME?</v>
      </c>
    </row>
    <row r="576" ht="135" spans="1:6">
      <c r="A576" s="17">
        <v>5441097</v>
      </c>
      <c r="B576" s="18" t="s">
        <v>230</v>
      </c>
      <c r="C576" s="17" t="s">
        <v>1</v>
      </c>
      <c r="D576" s="19" t="s">
        <v>2</v>
      </c>
      <c r="E576" s="17" t="s">
        <v>198</v>
      </c>
      <c r="F576" t="e">
        <f t="array" ref="F576">PROFEXHyperlinkAddress(B576:B576)</f>
        <v>#NAME?</v>
      </c>
    </row>
    <row r="577" spans="1:6">
      <c r="A577" s="11"/>
      <c r="B577" s="12"/>
      <c r="C577" s="11"/>
      <c r="D577" s="13"/>
      <c r="E577" s="11"/>
      <c r="F577" t="e">
        <f t="array" ref="F577">PROFEXHyperlinkAddress(B577:B577)</f>
        <v>#NAME?</v>
      </c>
    </row>
    <row r="578" ht="57.75" spans="1:6">
      <c r="A578" s="11"/>
      <c r="B578" s="14" t="s">
        <v>4</v>
      </c>
      <c r="C578" s="11"/>
      <c r="D578" s="13"/>
      <c r="E578" s="11"/>
      <c r="F578" t="e">
        <f t="array" ref="F578">PROFEXHyperlinkAddress(B578:B578)</f>
        <v>#NAME?</v>
      </c>
    </row>
    <row r="579" spans="1:6">
      <c r="A579" s="11"/>
      <c r="B579" s="12"/>
      <c r="C579" s="11"/>
      <c r="D579" s="13"/>
      <c r="E579" s="11"/>
      <c r="F579" t="e">
        <f t="array" ref="F579">PROFEXHyperlinkAddress(B579:B579)</f>
        <v>#NAME?</v>
      </c>
    </row>
    <row r="580" ht="25.5" spans="1:6">
      <c r="A580" s="15"/>
      <c r="B580" s="14" t="s">
        <v>231</v>
      </c>
      <c r="C580" s="15"/>
      <c r="D580" s="16"/>
      <c r="E580" s="15"/>
      <c r="F580" t="e">
        <f t="array" ref="F580">PROFEXHyperlinkAddress(B580:B580)</f>
        <v>#NAME?</v>
      </c>
    </row>
    <row r="581" ht="255" spans="1:6">
      <c r="A581" s="17">
        <v>5440097</v>
      </c>
      <c r="B581" s="18" t="s">
        <v>232</v>
      </c>
      <c r="C581" s="17" t="s">
        <v>1</v>
      </c>
      <c r="D581" s="19" t="s">
        <v>7</v>
      </c>
      <c r="E581" s="17" t="s">
        <v>74</v>
      </c>
      <c r="F581" t="e">
        <f t="array" ref="F581">PROFEXHyperlinkAddress(B581:B581)</f>
        <v>#NAME?</v>
      </c>
    </row>
    <row r="582" spans="1:6">
      <c r="A582" s="11"/>
      <c r="B582" s="12"/>
      <c r="C582" s="11"/>
      <c r="D582" s="13"/>
      <c r="E582" s="11"/>
      <c r="F582" t="e">
        <f t="array" ref="F582">PROFEXHyperlinkAddress(B582:B582)</f>
        <v>#NAME?</v>
      </c>
    </row>
    <row r="583" ht="57.75" spans="1:6">
      <c r="A583" s="11"/>
      <c r="B583" s="14" t="s">
        <v>16</v>
      </c>
      <c r="C583" s="11"/>
      <c r="D583" s="13"/>
      <c r="E583" s="11"/>
      <c r="F583" t="e">
        <f t="array" ref="F583">PROFEXHyperlinkAddress(B583:B583)</f>
        <v>#NAME?</v>
      </c>
    </row>
    <row r="584" spans="1:6">
      <c r="A584" s="11"/>
      <c r="B584" s="12"/>
      <c r="C584" s="11"/>
      <c r="D584" s="13"/>
      <c r="E584" s="11"/>
      <c r="F584" t="e">
        <f t="array" ref="F584">PROFEXHyperlinkAddress(B584:B584)</f>
        <v>#NAME?</v>
      </c>
    </row>
    <row r="585" ht="25.5" spans="1:6">
      <c r="A585" s="15"/>
      <c r="B585" s="14" t="s">
        <v>5</v>
      </c>
      <c r="C585" s="15"/>
      <c r="D585" s="16"/>
      <c r="E585" s="15"/>
      <c r="F585" t="e">
        <f t="array" ref="F585">PROFEXHyperlinkAddress(B585:B585)</f>
        <v>#NAME?</v>
      </c>
    </row>
    <row r="586" ht="255" spans="1:6">
      <c r="A586" s="17">
        <v>5439097</v>
      </c>
      <c r="B586" s="18" t="s">
        <v>233</v>
      </c>
      <c r="C586" s="17" t="s">
        <v>1</v>
      </c>
      <c r="D586" s="19" t="s">
        <v>7</v>
      </c>
      <c r="E586" s="17" t="s">
        <v>234</v>
      </c>
      <c r="F586" t="e">
        <f t="array" ref="F586">PROFEXHyperlinkAddress(B586:B586)</f>
        <v>#NAME?</v>
      </c>
    </row>
    <row r="587" spans="1:6">
      <c r="A587" s="11"/>
      <c r="B587" s="12"/>
      <c r="C587" s="11"/>
      <c r="D587" s="13"/>
      <c r="E587" s="11"/>
      <c r="F587" t="e">
        <f t="array" ref="F587">PROFEXHyperlinkAddress(B587:B587)</f>
        <v>#NAME?</v>
      </c>
    </row>
    <row r="588" ht="57.75" spans="1:6">
      <c r="A588" s="11"/>
      <c r="B588" s="14" t="s">
        <v>16</v>
      </c>
      <c r="C588" s="11"/>
      <c r="D588" s="13"/>
      <c r="E588" s="11"/>
      <c r="F588" t="e">
        <f t="array" ref="F588">PROFEXHyperlinkAddress(B588:B588)</f>
        <v>#NAME?</v>
      </c>
    </row>
    <row r="589" spans="1:6">
      <c r="A589" s="11"/>
      <c r="B589" s="12"/>
      <c r="C589" s="11"/>
      <c r="D589" s="13"/>
      <c r="E589" s="11"/>
      <c r="F589" t="e">
        <f t="array" ref="F589">PROFEXHyperlinkAddress(B589:B589)</f>
        <v>#NAME?</v>
      </c>
    </row>
    <row r="590" ht="25.5" spans="1:6">
      <c r="A590" s="15"/>
      <c r="B590" s="14" t="s">
        <v>5</v>
      </c>
      <c r="C590" s="15"/>
      <c r="D590" s="16"/>
      <c r="E590" s="15"/>
      <c r="F590" t="e">
        <f t="array" ref="F590">PROFEXHyperlinkAddress(B590:B590)</f>
        <v>#NAME?</v>
      </c>
    </row>
    <row r="591" ht="165" spans="1:6">
      <c r="A591" s="17">
        <v>5438097</v>
      </c>
      <c r="B591" s="18" t="s">
        <v>235</v>
      </c>
      <c r="C591" s="17" t="s">
        <v>1</v>
      </c>
      <c r="D591" s="19" t="s">
        <v>7</v>
      </c>
      <c r="E591" s="17" t="s">
        <v>140</v>
      </c>
      <c r="F591" t="e">
        <f t="array" ref="F591">PROFEXHyperlinkAddress(B591:B591)</f>
        <v>#NAME?</v>
      </c>
    </row>
    <row r="592" spans="1:6">
      <c r="A592" s="11"/>
      <c r="B592" s="12"/>
      <c r="C592" s="11"/>
      <c r="D592" s="13"/>
      <c r="E592" s="11"/>
      <c r="F592" t="e">
        <f t="array" ref="F592">PROFEXHyperlinkAddress(B592:B592)</f>
        <v>#NAME?</v>
      </c>
    </row>
    <row r="593" ht="57.75" spans="1:6">
      <c r="A593" s="11"/>
      <c r="B593" s="14" t="s">
        <v>21</v>
      </c>
      <c r="C593" s="11"/>
      <c r="D593" s="13"/>
      <c r="E593" s="11"/>
      <c r="F593" t="e">
        <f t="array" ref="F593">PROFEXHyperlinkAddress(B593:B593)</f>
        <v>#NAME?</v>
      </c>
    </row>
    <row r="594" spans="1:6">
      <c r="A594" s="11"/>
      <c r="B594" s="12"/>
      <c r="C594" s="11"/>
      <c r="D594" s="13"/>
      <c r="E594" s="11"/>
      <c r="F594" t="e">
        <f t="array" ref="F594">PROFEXHyperlinkAddress(B594:B594)</f>
        <v>#NAME?</v>
      </c>
    </row>
    <row r="595" ht="25.5" spans="1:6">
      <c r="A595" s="15"/>
      <c r="B595" s="14" t="s">
        <v>5</v>
      </c>
      <c r="C595" s="15"/>
      <c r="D595" s="16"/>
      <c r="E595" s="15"/>
      <c r="F595" t="e">
        <f t="array" ref="F595">PROFEXHyperlinkAddress(B595:B595)</f>
        <v>#NAME?</v>
      </c>
    </row>
    <row r="596" ht="150" spans="1:6">
      <c r="A596" s="17">
        <v>5437097</v>
      </c>
      <c r="B596" s="18" t="s">
        <v>236</v>
      </c>
      <c r="C596" s="17" t="s">
        <v>1</v>
      </c>
      <c r="D596" s="19" t="s">
        <v>7</v>
      </c>
      <c r="E596" s="17" t="s">
        <v>48</v>
      </c>
      <c r="F596" t="e">
        <f t="array" ref="F596">PROFEXHyperlinkAddress(B596:B596)</f>
        <v>#NAME?</v>
      </c>
    </row>
    <row r="597" spans="1:6">
      <c r="A597" s="11"/>
      <c r="B597" s="12"/>
      <c r="C597" s="11"/>
      <c r="D597" s="13"/>
      <c r="E597" s="11"/>
      <c r="F597" t="e">
        <f t="array" ref="F597">PROFEXHyperlinkAddress(B597:B597)</f>
        <v>#NAME?</v>
      </c>
    </row>
    <row r="598" ht="57.75" spans="1:6">
      <c r="A598" s="11"/>
      <c r="B598" s="14" t="s">
        <v>21</v>
      </c>
      <c r="C598" s="11"/>
      <c r="D598" s="13"/>
      <c r="E598" s="11"/>
      <c r="F598" t="e">
        <f t="array" ref="F598">PROFEXHyperlinkAddress(B598:B598)</f>
        <v>#NAME?</v>
      </c>
    </row>
    <row r="599" spans="1:6">
      <c r="A599" s="11"/>
      <c r="B599" s="12"/>
      <c r="C599" s="11"/>
      <c r="D599" s="13"/>
      <c r="E599" s="11"/>
      <c r="F599" t="e">
        <f t="array" ref="F599">PROFEXHyperlinkAddress(B599:B599)</f>
        <v>#NAME?</v>
      </c>
    </row>
    <row r="600" ht="25.5" spans="1:6">
      <c r="A600" s="15"/>
      <c r="B600" s="14" t="s">
        <v>5</v>
      </c>
      <c r="C600" s="15"/>
      <c r="D600" s="16"/>
      <c r="E600" s="15"/>
      <c r="F600" t="e">
        <f t="array" ref="F600">PROFEXHyperlinkAddress(B600:B600)</f>
        <v>#NAME?</v>
      </c>
    </row>
    <row r="601" ht="165" spans="1:6">
      <c r="A601" s="17">
        <v>5436097</v>
      </c>
      <c r="B601" s="18" t="s">
        <v>237</v>
      </c>
      <c r="C601" s="17" t="s">
        <v>1</v>
      </c>
      <c r="D601" s="19" t="s">
        <v>7</v>
      </c>
      <c r="E601" s="17" t="s">
        <v>154</v>
      </c>
      <c r="F601" t="e">
        <f t="array" ref="F601">PROFEXHyperlinkAddress(B601:B601)</f>
        <v>#NAME?</v>
      </c>
    </row>
    <row r="602" spans="1:6">
      <c r="A602" s="11"/>
      <c r="B602" s="12"/>
      <c r="C602" s="11"/>
      <c r="D602" s="13"/>
      <c r="E602" s="11"/>
      <c r="F602" t="e">
        <f t="array" ref="F602">PROFEXHyperlinkAddress(B602:B602)</f>
        <v>#NAME?</v>
      </c>
    </row>
    <row r="603" ht="57.75" spans="1:6">
      <c r="A603" s="11"/>
      <c r="B603" s="14" t="s">
        <v>21</v>
      </c>
      <c r="C603" s="11"/>
      <c r="D603" s="13"/>
      <c r="E603" s="11"/>
      <c r="F603" t="e">
        <f t="array" ref="F603">PROFEXHyperlinkAddress(B603:B603)</f>
        <v>#NAME?</v>
      </c>
    </row>
    <row r="604" spans="1:6">
      <c r="A604" s="11"/>
      <c r="B604" s="12"/>
      <c r="C604" s="11"/>
      <c r="D604" s="13"/>
      <c r="E604" s="11"/>
      <c r="F604" t="e">
        <f t="array" ref="F604">PROFEXHyperlinkAddress(B604:B604)</f>
        <v>#NAME?</v>
      </c>
    </row>
    <row r="605" ht="25.5" spans="1:6">
      <c r="A605" s="15"/>
      <c r="B605" s="14" t="s">
        <v>5</v>
      </c>
      <c r="C605" s="15"/>
      <c r="D605" s="16"/>
      <c r="E605" s="15"/>
      <c r="F605" t="e">
        <f t="array" ref="F605">PROFEXHyperlinkAddress(B605:B605)</f>
        <v>#NAME?</v>
      </c>
    </row>
    <row r="606" ht="135" spans="1:6">
      <c r="A606" s="17">
        <v>5435097</v>
      </c>
      <c r="B606" s="18" t="s">
        <v>238</v>
      </c>
      <c r="C606" s="17" t="s">
        <v>1</v>
      </c>
      <c r="D606" s="19" t="s">
        <v>7</v>
      </c>
      <c r="E606" s="17" t="s">
        <v>140</v>
      </c>
      <c r="F606" t="e">
        <f t="array" ref="F606">PROFEXHyperlinkAddress(B606:B606)</f>
        <v>#NAME?</v>
      </c>
    </row>
    <row r="607" spans="1:6">
      <c r="A607" s="11"/>
      <c r="B607" s="12"/>
      <c r="C607" s="11"/>
      <c r="D607" s="13"/>
      <c r="E607" s="11"/>
      <c r="F607" t="e">
        <f t="array" ref="F607">PROFEXHyperlinkAddress(B607:B607)</f>
        <v>#NAME?</v>
      </c>
    </row>
    <row r="608" ht="57.75" spans="1:6">
      <c r="A608" s="11"/>
      <c r="B608" s="14" t="s">
        <v>21</v>
      </c>
      <c r="C608" s="11"/>
      <c r="D608" s="13"/>
      <c r="E608" s="11"/>
      <c r="F608" t="e">
        <f t="array" ref="F608">PROFEXHyperlinkAddress(B608:B608)</f>
        <v>#NAME?</v>
      </c>
    </row>
    <row r="609" spans="1:6">
      <c r="A609" s="11"/>
      <c r="B609" s="12"/>
      <c r="C609" s="11"/>
      <c r="D609" s="13"/>
      <c r="E609" s="11"/>
      <c r="F609" t="e">
        <f t="array" ref="F609">PROFEXHyperlinkAddress(B609:B609)</f>
        <v>#NAME?</v>
      </c>
    </row>
    <row r="610" ht="25.5" spans="1:6">
      <c r="A610" s="15"/>
      <c r="B610" s="14" t="s">
        <v>5</v>
      </c>
      <c r="C610" s="15"/>
      <c r="D610" s="16"/>
      <c r="E610" s="15"/>
      <c r="F610" t="e">
        <f t="array" ref="F610">PROFEXHyperlinkAddress(B610:B610)</f>
        <v>#NAME?</v>
      </c>
    </row>
    <row r="611" ht="135" spans="1:6">
      <c r="A611" s="17">
        <v>5434097</v>
      </c>
      <c r="B611" s="18" t="s">
        <v>239</v>
      </c>
      <c r="C611" s="17" t="s">
        <v>1</v>
      </c>
      <c r="D611" s="19" t="s">
        <v>7</v>
      </c>
      <c r="E611" s="17" t="s">
        <v>91</v>
      </c>
      <c r="F611" t="e">
        <f t="array" ref="F611">PROFEXHyperlinkAddress(B611:B611)</f>
        <v>#NAME?</v>
      </c>
    </row>
    <row r="612" spans="1:6">
      <c r="A612" s="11"/>
      <c r="B612" s="12"/>
      <c r="C612" s="11"/>
      <c r="D612" s="13"/>
      <c r="E612" s="11"/>
      <c r="F612" t="e">
        <f t="array" ref="F612">PROFEXHyperlinkAddress(B612:B612)</f>
        <v>#NAME?</v>
      </c>
    </row>
    <row r="613" ht="57.75" spans="1:6">
      <c r="A613" s="11"/>
      <c r="B613" s="14" t="s">
        <v>21</v>
      </c>
      <c r="C613" s="11"/>
      <c r="D613" s="13"/>
      <c r="E613" s="11"/>
      <c r="F613" t="e">
        <f t="array" ref="F613">PROFEXHyperlinkAddress(B613:B613)</f>
        <v>#NAME?</v>
      </c>
    </row>
    <row r="614" spans="1:6">
      <c r="A614" s="11"/>
      <c r="B614" s="12"/>
      <c r="C614" s="11"/>
      <c r="D614" s="13"/>
      <c r="E614" s="11"/>
      <c r="F614" t="e">
        <f t="array" ref="F614">PROFEXHyperlinkAddress(B614:B614)</f>
        <v>#NAME?</v>
      </c>
    </row>
    <row r="615" ht="25.5" spans="1:6">
      <c r="A615" s="15"/>
      <c r="B615" s="14" t="s">
        <v>5</v>
      </c>
      <c r="C615" s="15"/>
      <c r="D615" s="16"/>
      <c r="E615" s="15"/>
      <c r="F615" t="e">
        <f t="array" ref="F615">PROFEXHyperlinkAddress(B615:B615)</f>
        <v>#NAME?</v>
      </c>
    </row>
    <row r="616" ht="150" spans="1:6">
      <c r="A616" s="17">
        <v>5433097</v>
      </c>
      <c r="B616" s="18" t="s">
        <v>240</v>
      </c>
      <c r="C616" s="17" t="s">
        <v>1</v>
      </c>
      <c r="D616" s="19" t="s">
        <v>7</v>
      </c>
      <c r="E616" s="17" t="s">
        <v>48</v>
      </c>
      <c r="F616" t="e">
        <f t="array" ref="F616">PROFEXHyperlinkAddress(B616:B616)</f>
        <v>#NAME?</v>
      </c>
    </row>
    <row r="617" spans="1:6">
      <c r="A617" s="11"/>
      <c r="B617" s="12"/>
      <c r="C617" s="11"/>
      <c r="D617" s="13"/>
      <c r="E617" s="11"/>
      <c r="F617" t="e">
        <f t="array" ref="F617">PROFEXHyperlinkAddress(B617:B617)</f>
        <v>#NAME?</v>
      </c>
    </row>
    <row r="618" ht="57.75" spans="1:6">
      <c r="A618" s="11"/>
      <c r="B618" s="14" t="s">
        <v>21</v>
      </c>
      <c r="C618" s="11"/>
      <c r="D618" s="13"/>
      <c r="E618" s="11"/>
      <c r="F618" t="e">
        <f t="array" ref="F618">PROFEXHyperlinkAddress(B618:B618)</f>
        <v>#NAME?</v>
      </c>
    </row>
    <row r="619" spans="1:6">
      <c r="A619" s="11"/>
      <c r="B619" s="12"/>
      <c r="C619" s="11"/>
      <c r="D619" s="13"/>
      <c r="E619" s="11"/>
      <c r="F619" t="e">
        <f t="array" ref="F619">PROFEXHyperlinkAddress(B619:B619)</f>
        <v>#NAME?</v>
      </c>
    </row>
    <row r="620" ht="25.5" spans="1:6">
      <c r="A620" s="15"/>
      <c r="B620" s="14" t="s">
        <v>5</v>
      </c>
      <c r="C620" s="15"/>
      <c r="D620" s="16"/>
      <c r="E620" s="15"/>
      <c r="F620" t="e">
        <f t="array" ref="F620">PROFEXHyperlinkAddress(B620:B620)</f>
        <v>#NAME?</v>
      </c>
    </row>
    <row r="621" ht="135" spans="1:6">
      <c r="A621" s="17">
        <v>5432097</v>
      </c>
      <c r="B621" s="18" t="s">
        <v>241</v>
      </c>
      <c r="C621" s="17" t="s">
        <v>1</v>
      </c>
      <c r="D621" s="19" t="s">
        <v>2</v>
      </c>
      <c r="E621" s="17" t="s">
        <v>242</v>
      </c>
      <c r="F621" t="e">
        <f t="array" ref="F621">PROFEXHyperlinkAddress(B621:B621)</f>
        <v>#NAME?</v>
      </c>
    </row>
    <row r="622" spans="1:6">
      <c r="A622" s="11"/>
      <c r="B622" s="12"/>
      <c r="C622" s="11"/>
      <c r="D622" s="13"/>
      <c r="E622" s="11"/>
      <c r="F622" t="e">
        <f t="array" ref="F622">PROFEXHyperlinkAddress(B622:B622)</f>
        <v>#NAME?</v>
      </c>
    </row>
    <row r="623" ht="57.75" spans="1:6">
      <c r="A623" s="11"/>
      <c r="B623" s="14" t="s">
        <v>21</v>
      </c>
      <c r="C623" s="11"/>
      <c r="D623" s="13"/>
      <c r="E623" s="11"/>
      <c r="F623" t="e">
        <f t="array" ref="F623">PROFEXHyperlinkAddress(B623:B623)</f>
        <v>#NAME?</v>
      </c>
    </row>
    <row r="624" spans="1:6">
      <c r="A624" s="11"/>
      <c r="B624" s="12"/>
      <c r="C624" s="11"/>
      <c r="D624" s="13"/>
      <c r="E624" s="11"/>
      <c r="F624" t="e">
        <f t="array" ref="F624">PROFEXHyperlinkAddress(B624:B624)</f>
        <v>#NAME?</v>
      </c>
    </row>
    <row r="625" ht="25.5" spans="1:6">
      <c r="A625" s="15"/>
      <c r="B625" s="14" t="s">
        <v>5</v>
      </c>
      <c r="C625" s="15"/>
      <c r="D625" s="16"/>
      <c r="E625" s="15"/>
      <c r="F625" t="e">
        <f t="array" ref="F625">PROFEXHyperlinkAddress(B625:B625)</f>
        <v>#NAME?</v>
      </c>
    </row>
    <row r="626" ht="165" spans="1:6">
      <c r="A626" s="17">
        <v>5431097</v>
      </c>
      <c r="B626" s="18" t="s">
        <v>243</v>
      </c>
      <c r="C626" s="17" t="s">
        <v>1</v>
      </c>
      <c r="D626" s="19" t="s">
        <v>76</v>
      </c>
      <c r="E626" s="17" t="s">
        <v>244</v>
      </c>
      <c r="F626" t="e">
        <f t="array" ref="F626">PROFEXHyperlinkAddress(B626:B626)</f>
        <v>#NAME?</v>
      </c>
    </row>
    <row r="627" spans="1:6">
      <c r="A627" s="11"/>
      <c r="B627" s="12"/>
      <c r="C627" s="11"/>
      <c r="D627" s="13"/>
      <c r="E627" s="11"/>
      <c r="F627" t="e">
        <f t="array" ref="F627">PROFEXHyperlinkAddress(B627:B627)</f>
        <v>#NAME?</v>
      </c>
    </row>
    <row r="628" ht="49.5" spans="1:6">
      <c r="A628" s="11"/>
      <c r="B628" s="14" t="s">
        <v>78</v>
      </c>
      <c r="C628" s="11"/>
      <c r="D628" s="13"/>
      <c r="E628" s="11"/>
      <c r="F628" t="e">
        <f t="array" ref="F628">PROFEXHyperlinkAddress(B628:B628)</f>
        <v>#NAME?</v>
      </c>
    </row>
    <row r="629" spans="1:6">
      <c r="A629" s="11"/>
      <c r="B629" s="12"/>
      <c r="C629" s="11"/>
      <c r="D629" s="13"/>
      <c r="E629" s="11"/>
      <c r="F629" t="e">
        <f t="array" ref="F629">PROFEXHyperlinkAddress(B629:B629)</f>
        <v>#NAME?</v>
      </c>
    </row>
    <row r="630" ht="25.5" spans="1:6">
      <c r="A630" s="15"/>
      <c r="B630" s="14" t="s">
        <v>5</v>
      </c>
      <c r="C630" s="15"/>
      <c r="D630" s="16"/>
      <c r="E630" s="15"/>
      <c r="F630" t="e">
        <f t="array" ref="F630">PROFEXHyperlinkAddress(B630:B630)</f>
        <v>#NAME?</v>
      </c>
    </row>
    <row r="631" ht="165" spans="1:6">
      <c r="A631" s="17">
        <v>5430097</v>
      </c>
      <c r="B631" s="18" t="s">
        <v>245</v>
      </c>
      <c r="C631" s="17" t="s">
        <v>149</v>
      </c>
      <c r="D631" s="19" t="s">
        <v>2</v>
      </c>
      <c r="E631" s="17" t="s">
        <v>246</v>
      </c>
      <c r="F631" t="e">
        <f t="array" ref="F631">PROFEXHyperlinkAddress(B631:B631)</f>
        <v>#NAME?</v>
      </c>
    </row>
    <row r="632" spans="1:6">
      <c r="A632" s="11"/>
      <c r="B632" s="12"/>
      <c r="C632" s="11"/>
      <c r="D632" s="13"/>
      <c r="E632" s="11"/>
      <c r="F632" t="e">
        <f t="array" ref="F632">PROFEXHyperlinkAddress(B632:B632)</f>
        <v>#NAME?</v>
      </c>
    </row>
    <row r="633" ht="57.75" spans="1:6">
      <c r="A633" s="11"/>
      <c r="B633" s="14" t="s">
        <v>4</v>
      </c>
      <c r="C633" s="11"/>
      <c r="D633" s="13"/>
      <c r="E633" s="11"/>
      <c r="F633" t="e">
        <f t="array" ref="F633">PROFEXHyperlinkAddress(B633:B633)</f>
        <v>#NAME?</v>
      </c>
    </row>
    <row r="634" spans="1:6">
      <c r="A634" s="11"/>
      <c r="B634" s="12"/>
      <c r="C634" s="11"/>
      <c r="D634" s="13"/>
      <c r="E634" s="11"/>
      <c r="F634" t="e">
        <f t="array" ref="F634">PROFEXHyperlinkAddress(B634:B634)</f>
        <v>#NAME?</v>
      </c>
    </row>
    <row r="635" ht="25.5" spans="1:6">
      <c r="A635" s="15"/>
      <c r="B635" s="14" t="s">
        <v>5</v>
      </c>
      <c r="C635" s="15"/>
      <c r="D635" s="16"/>
      <c r="E635" s="15"/>
      <c r="F635" t="e">
        <f t="array" ref="F635">PROFEXHyperlinkAddress(B635:B635)</f>
        <v>#NAME?</v>
      </c>
    </row>
    <row r="636" ht="180" spans="1:6">
      <c r="A636" s="17">
        <v>5428097</v>
      </c>
      <c r="B636" s="18" t="s">
        <v>247</v>
      </c>
      <c r="C636" s="17" t="s">
        <v>1</v>
      </c>
      <c r="D636" s="19" t="s">
        <v>2</v>
      </c>
      <c r="E636" s="17" t="s">
        <v>248</v>
      </c>
      <c r="F636" t="e">
        <f t="array" ref="F636">PROFEXHyperlinkAddress(B636:B636)</f>
        <v>#NAME?</v>
      </c>
    </row>
    <row r="637" spans="1:6">
      <c r="A637" s="11"/>
      <c r="B637" s="12"/>
      <c r="C637" s="11"/>
      <c r="D637" s="13"/>
      <c r="E637" s="11"/>
      <c r="F637" t="e">
        <f t="array" ref="F637">PROFEXHyperlinkAddress(B637:B637)</f>
        <v>#NAME?</v>
      </c>
    </row>
    <row r="638" ht="57.75" spans="1:6">
      <c r="A638" s="11"/>
      <c r="B638" s="14" t="s">
        <v>21</v>
      </c>
      <c r="C638" s="11"/>
      <c r="D638" s="13"/>
      <c r="E638" s="11"/>
      <c r="F638" t="e">
        <f t="array" ref="F638">PROFEXHyperlinkAddress(B638:B638)</f>
        <v>#NAME?</v>
      </c>
    </row>
    <row r="639" spans="1:6">
      <c r="A639" s="11"/>
      <c r="B639" s="12"/>
      <c r="C639" s="11"/>
      <c r="D639" s="13"/>
      <c r="E639" s="11"/>
      <c r="F639" t="e">
        <f t="array" ref="F639">PROFEXHyperlinkAddress(B639:B639)</f>
        <v>#NAME?</v>
      </c>
    </row>
    <row r="640" ht="25.5" spans="1:6">
      <c r="A640" s="15"/>
      <c r="B640" s="14" t="s">
        <v>5</v>
      </c>
      <c r="C640" s="15"/>
      <c r="D640" s="16"/>
      <c r="E640" s="15"/>
      <c r="F640" t="e">
        <f t="array" ref="F640">PROFEXHyperlinkAddress(B640:B640)</f>
        <v>#NAME?</v>
      </c>
    </row>
    <row r="641" ht="210" spans="1:6">
      <c r="A641" s="17">
        <v>5427097</v>
      </c>
      <c r="B641" s="18" t="s">
        <v>249</v>
      </c>
      <c r="C641" s="17" t="s">
        <v>1</v>
      </c>
      <c r="D641" s="19" t="s">
        <v>2</v>
      </c>
      <c r="E641" s="17" t="s">
        <v>228</v>
      </c>
      <c r="F641" t="e">
        <f t="array" ref="F641">PROFEXHyperlinkAddress(B641:B641)</f>
        <v>#NAME?</v>
      </c>
    </row>
    <row r="642" spans="1:6">
      <c r="A642" s="11"/>
      <c r="B642" s="12"/>
      <c r="C642" s="11"/>
      <c r="D642" s="13"/>
      <c r="E642" s="11"/>
      <c r="F642" t="e">
        <f t="array" ref="F642">PROFEXHyperlinkAddress(B642:B642)</f>
        <v>#NAME?</v>
      </c>
    </row>
    <row r="643" ht="57.75" spans="1:6">
      <c r="A643" s="11"/>
      <c r="B643" s="14" t="s">
        <v>21</v>
      </c>
      <c r="C643" s="11"/>
      <c r="D643" s="13"/>
      <c r="E643" s="11"/>
      <c r="F643" t="e">
        <f t="array" ref="F643">PROFEXHyperlinkAddress(B643:B643)</f>
        <v>#NAME?</v>
      </c>
    </row>
    <row r="644" spans="1:6">
      <c r="A644" s="11"/>
      <c r="B644" s="12"/>
      <c r="C644" s="11"/>
      <c r="D644" s="13"/>
      <c r="E644" s="11"/>
      <c r="F644" t="e">
        <f t="array" ref="F644">PROFEXHyperlinkAddress(B644:B644)</f>
        <v>#NAME?</v>
      </c>
    </row>
    <row r="645" ht="25.5" spans="1:6">
      <c r="A645" s="15"/>
      <c r="B645" s="14" t="s">
        <v>5</v>
      </c>
      <c r="C645" s="15"/>
      <c r="D645" s="16"/>
      <c r="E645" s="15"/>
      <c r="F645" t="e">
        <f t="array" ref="F645">PROFEXHyperlinkAddress(B645:B645)</f>
        <v>#NAME?</v>
      </c>
    </row>
    <row r="646" ht="195" spans="1:6">
      <c r="A646" s="17">
        <v>5426097</v>
      </c>
      <c r="B646" s="18" t="s">
        <v>250</v>
      </c>
      <c r="C646" s="17" t="s">
        <v>1</v>
      </c>
      <c r="D646" s="19" t="s">
        <v>2</v>
      </c>
      <c r="E646" s="17" t="s">
        <v>215</v>
      </c>
      <c r="F646" t="e">
        <f t="array" ref="F646">PROFEXHyperlinkAddress(B646:B646)</f>
        <v>#NAME?</v>
      </c>
    </row>
    <row r="647" spans="1:6">
      <c r="A647" s="11"/>
      <c r="B647" s="12"/>
      <c r="C647" s="11"/>
      <c r="D647" s="13"/>
      <c r="E647" s="11"/>
      <c r="F647" t="e">
        <f t="array" ref="F647">PROFEXHyperlinkAddress(B647:B647)</f>
        <v>#NAME?</v>
      </c>
    </row>
    <row r="648" ht="57.75" spans="1:6">
      <c r="A648" s="11"/>
      <c r="B648" s="14" t="s">
        <v>21</v>
      </c>
      <c r="C648" s="11"/>
      <c r="D648" s="13"/>
      <c r="E648" s="11"/>
      <c r="F648" t="e">
        <f t="array" ref="F648">PROFEXHyperlinkAddress(B648:B648)</f>
        <v>#NAME?</v>
      </c>
    </row>
    <row r="649" spans="1:6">
      <c r="A649" s="11"/>
      <c r="B649" s="12"/>
      <c r="C649" s="11"/>
      <c r="D649" s="13"/>
      <c r="E649" s="11"/>
      <c r="F649" t="e">
        <f t="array" ref="F649">PROFEXHyperlinkAddress(B649:B649)</f>
        <v>#NAME?</v>
      </c>
    </row>
    <row r="650" ht="25.5" spans="1:6">
      <c r="A650" s="15"/>
      <c r="B650" s="14" t="s">
        <v>5</v>
      </c>
      <c r="C650" s="15"/>
      <c r="D650" s="16"/>
      <c r="E650" s="15"/>
      <c r="F650" t="e">
        <f t="array" ref="F650">PROFEXHyperlinkAddress(B650:B650)</f>
        <v>#NAME?</v>
      </c>
    </row>
    <row r="651" ht="255" spans="1:6">
      <c r="A651" s="17">
        <v>5425097</v>
      </c>
      <c r="B651" s="18" t="s">
        <v>251</v>
      </c>
      <c r="C651" s="17" t="s">
        <v>1</v>
      </c>
      <c r="D651" s="19" t="s">
        <v>2</v>
      </c>
      <c r="E651" s="17" t="s">
        <v>252</v>
      </c>
      <c r="F651" t="e">
        <f t="array" ref="F651">PROFEXHyperlinkAddress(B651:B651)</f>
        <v>#NAME?</v>
      </c>
    </row>
    <row r="652" spans="1:6">
      <c r="A652" s="11"/>
      <c r="B652" s="12"/>
      <c r="C652" s="11"/>
      <c r="D652" s="13"/>
      <c r="E652" s="11"/>
      <c r="F652" t="e">
        <f t="array" ref="F652">PROFEXHyperlinkAddress(B652:B652)</f>
        <v>#NAME?</v>
      </c>
    </row>
    <row r="653" ht="57.75" spans="1:6">
      <c r="A653" s="11"/>
      <c r="B653" s="14" t="s">
        <v>21</v>
      </c>
      <c r="C653" s="11"/>
      <c r="D653" s="13"/>
      <c r="E653" s="11"/>
      <c r="F653" t="e">
        <f t="array" ref="F653">PROFEXHyperlinkAddress(B653:B653)</f>
        <v>#NAME?</v>
      </c>
    </row>
    <row r="654" spans="1:6">
      <c r="A654" s="11"/>
      <c r="B654" s="12"/>
      <c r="C654" s="11"/>
      <c r="D654" s="13"/>
      <c r="E654" s="11"/>
      <c r="F654" t="e">
        <f t="array" ref="F654">PROFEXHyperlinkAddress(B654:B654)</f>
        <v>#NAME?</v>
      </c>
    </row>
    <row r="655" ht="25.5" spans="1:6">
      <c r="A655" s="15"/>
      <c r="B655" s="14" t="s">
        <v>5</v>
      </c>
      <c r="C655" s="15"/>
      <c r="D655" s="16"/>
      <c r="E655" s="15"/>
      <c r="F655" t="e">
        <f t="array" ref="F655">PROFEXHyperlinkAddress(B655:B655)</f>
        <v>#NAME?</v>
      </c>
    </row>
    <row r="656" ht="255" spans="1:6">
      <c r="A656" s="17">
        <v>5422097</v>
      </c>
      <c r="B656" s="18" t="s">
        <v>253</v>
      </c>
      <c r="C656" s="17" t="s">
        <v>1</v>
      </c>
      <c r="D656" s="19" t="s">
        <v>2</v>
      </c>
      <c r="E656" s="17" t="s">
        <v>254</v>
      </c>
      <c r="F656" t="e">
        <f t="array" ref="F656">PROFEXHyperlinkAddress(B656:B656)</f>
        <v>#NAME?</v>
      </c>
    </row>
    <row r="657" spans="1:6">
      <c r="A657" s="11"/>
      <c r="B657" s="12"/>
      <c r="C657" s="11"/>
      <c r="D657" s="13"/>
      <c r="E657" s="11"/>
      <c r="F657" t="e">
        <f t="array" ref="F657">PROFEXHyperlinkAddress(B657:B657)</f>
        <v>#NAME?</v>
      </c>
    </row>
    <row r="658" ht="57.75" spans="1:6">
      <c r="A658" s="11"/>
      <c r="B658" s="14" t="s">
        <v>21</v>
      </c>
      <c r="C658" s="11"/>
      <c r="D658" s="13"/>
      <c r="E658" s="11"/>
      <c r="F658" t="e">
        <f t="array" ref="F658">PROFEXHyperlinkAddress(B658:B658)</f>
        <v>#NAME?</v>
      </c>
    </row>
    <row r="659" spans="1:6">
      <c r="A659" s="11"/>
      <c r="B659" s="12"/>
      <c r="C659" s="11"/>
      <c r="D659" s="13"/>
      <c r="E659" s="11"/>
      <c r="F659" t="e">
        <f t="array" ref="F659">PROFEXHyperlinkAddress(B659:B659)</f>
        <v>#NAME?</v>
      </c>
    </row>
    <row r="660" ht="25.5" spans="1:6">
      <c r="A660" s="15"/>
      <c r="B660" s="14" t="s">
        <v>5</v>
      </c>
      <c r="C660" s="15"/>
      <c r="D660" s="16"/>
      <c r="E660" s="15"/>
      <c r="F660" t="e">
        <f t="array" ref="F660">PROFEXHyperlinkAddress(B660:B660)</f>
        <v>#NAME?</v>
      </c>
    </row>
    <row r="661" ht="135" spans="1:6">
      <c r="A661" s="17">
        <v>5419097</v>
      </c>
      <c r="B661" s="18" t="s">
        <v>255</v>
      </c>
      <c r="C661" s="17" t="s">
        <v>1</v>
      </c>
      <c r="D661" s="19" t="s">
        <v>2</v>
      </c>
      <c r="E661" s="17" t="s">
        <v>256</v>
      </c>
      <c r="F661" t="e">
        <f t="array" ref="F661">PROFEXHyperlinkAddress(B661:B661)</f>
        <v>#NAME?</v>
      </c>
    </row>
    <row r="662" spans="1:6">
      <c r="A662" s="11"/>
      <c r="B662" s="12"/>
      <c r="C662" s="11"/>
      <c r="D662" s="13"/>
      <c r="E662" s="11"/>
      <c r="F662" t="e">
        <f t="array" ref="F662">PROFEXHyperlinkAddress(B662:B662)</f>
        <v>#NAME?</v>
      </c>
    </row>
    <row r="663" ht="57.75" spans="1:6">
      <c r="A663" s="11"/>
      <c r="B663" s="14" t="s">
        <v>21</v>
      </c>
      <c r="C663" s="11"/>
      <c r="D663" s="13"/>
      <c r="E663" s="11"/>
      <c r="F663" t="e">
        <f t="array" ref="F663">PROFEXHyperlinkAddress(B663:B663)</f>
        <v>#NAME?</v>
      </c>
    </row>
    <row r="664" spans="1:6">
      <c r="A664" s="11"/>
      <c r="B664" s="12"/>
      <c r="C664" s="11"/>
      <c r="D664" s="13"/>
      <c r="E664" s="11"/>
      <c r="F664" t="e">
        <f t="array" ref="F664">PROFEXHyperlinkAddress(B664:B664)</f>
        <v>#NAME?</v>
      </c>
    </row>
    <row r="665" ht="25.5" spans="1:6">
      <c r="A665" s="15"/>
      <c r="B665" s="14" t="s">
        <v>5</v>
      </c>
      <c r="C665" s="15"/>
      <c r="D665" s="16"/>
      <c r="E665" s="15"/>
      <c r="F665" t="e">
        <f t="array" ref="F665">PROFEXHyperlinkAddress(B665:B665)</f>
        <v>#NAME?</v>
      </c>
    </row>
    <row r="666" ht="195" spans="1:6">
      <c r="A666" s="17">
        <v>5418097</v>
      </c>
      <c r="B666" s="18" t="s">
        <v>257</v>
      </c>
      <c r="C666" s="17" t="s">
        <v>1</v>
      </c>
      <c r="D666" s="19" t="s">
        <v>7</v>
      </c>
      <c r="E666" s="17" t="s">
        <v>202</v>
      </c>
      <c r="F666" t="e">
        <f t="array" ref="F666">PROFEXHyperlinkAddress(B666:B666)</f>
        <v>#NAME?</v>
      </c>
    </row>
    <row r="667" spans="1:6">
      <c r="A667" s="11"/>
      <c r="B667" s="12"/>
      <c r="C667" s="11"/>
      <c r="D667" s="13"/>
      <c r="E667" s="11"/>
      <c r="F667" t="e">
        <f t="array" ref="F667">PROFEXHyperlinkAddress(B667:B667)</f>
        <v>#NAME?</v>
      </c>
    </row>
    <row r="668" ht="57.75" spans="1:6">
      <c r="A668" s="11"/>
      <c r="B668" s="14" t="s">
        <v>21</v>
      </c>
      <c r="C668" s="11"/>
      <c r="D668" s="13"/>
      <c r="E668" s="11"/>
      <c r="F668" t="e">
        <f t="array" ref="F668">PROFEXHyperlinkAddress(B668:B668)</f>
        <v>#NAME?</v>
      </c>
    </row>
    <row r="669" spans="1:6">
      <c r="A669" s="11"/>
      <c r="B669" s="12"/>
      <c r="C669" s="11"/>
      <c r="D669" s="13"/>
      <c r="E669" s="11"/>
      <c r="F669" t="e">
        <f t="array" ref="F669">PROFEXHyperlinkAddress(B669:B669)</f>
        <v>#NAME?</v>
      </c>
    </row>
    <row r="670" ht="25.5" spans="1:6">
      <c r="A670" s="15"/>
      <c r="B670" s="14" t="s">
        <v>5</v>
      </c>
      <c r="C670" s="15"/>
      <c r="D670" s="16"/>
      <c r="E670" s="15"/>
      <c r="F670" t="e">
        <f t="array" ref="F670">PROFEXHyperlinkAddress(B670:B670)</f>
        <v>#NAME?</v>
      </c>
    </row>
    <row r="671" ht="165" spans="1:6">
      <c r="A671" s="17">
        <v>5417097</v>
      </c>
      <c r="B671" s="18" t="s">
        <v>258</v>
      </c>
      <c r="C671" s="17" t="s">
        <v>1</v>
      </c>
      <c r="D671" s="19" t="s">
        <v>2</v>
      </c>
      <c r="E671" s="17" t="s">
        <v>259</v>
      </c>
      <c r="F671" t="e">
        <f t="array" ref="F671">PROFEXHyperlinkAddress(B671:B671)</f>
        <v>#NAME?</v>
      </c>
    </row>
    <row r="672" spans="1:6">
      <c r="A672" s="11"/>
      <c r="B672" s="12"/>
      <c r="C672" s="11"/>
      <c r="D672" s="13"/>
      <c r="E672" s="11"/>
      <c r="F672" t="e">
        <f t="array" ref="F672">PROFEXHyperlinkAddress(B672:B672)</f>
        <v>#NAME?</v>
      </c>
    </row>
    <row r="673" ht="57.75" spans="1:6">
      <c r="A673" s="11"/>
      <c r="B673" s="14" t="s">
        <v>21</v>
      </c>
      <c r="C673" s="11"/>
      <c r="D673" s="13"/>
      <c r="E673" s="11"/>
      <c r="F673" t="e">
        <f t="array" ref="F673">PROFEXHyperlinkAddress(B673:B673)</f>
        <v>#NAME?</v>
      </c>
    </row>
    <row r="674" spans="1:6">
      <c r="A674" s="11"/>
      <c r="B674" s="12"/>
      <c r="C674" s="11"/>
      <c r="D674" s="13"/>
      <c r="E674" s="11"/>
      <c r="F674" t="e">
        <f t="array" ref="F674">PROFEXHyperlinkAddress(B674:B674)</f>
        <v>#NAME?</v>
      </c>
    </row>
    <row r="675" ht="25.5" spans="1:6">
      <c r="A675" s="15"/>
      <c r="B675" s="14" t="s">
        <v>5</v>
      </c>
      <c r="C675" s="15"/>
      <c r="D675" s="16"/>
      <c r="E675" s="15"/>
      <c r="F675" t="e">
        <f t="array" ref="F675">PROFEXHyperlinkAddress(B675:B675)</f>
        <v>#NAME?</v>
      </c>
    </row>
    <row r="676" ht="180" spans="1:6">
      <c r="A676" s="17">
        <v>5416097</v>
      </c>
      <c r="B676" s="18" t="s">
        <v>260</v>
      </c>
      <c r="C676" s="17" t="s">
        <v>1</v>
      </c>
      <c r="D676" s="19" t="s">
        <v>7</v>
      </c>
      <c r="E676" s="17" t="s">
        <v>200</v>
      </c>
      <c r="F676" t="e">
        <f t="array" ref="F676">PROFEXHyperlinkAddress(B676:B676)</f>
        <v>#NAME?</v>
      </c>
    </row>
    <row r="677" spans="1:6">
      <c r="A677" s="11"/>
      <c r="B677" s="12"/>
      <c r="C677" s="11"/>
      <c r="D677" s="13"/>
      <c r="E677" s="11"/>
      <c r="F677" t="e">
        <f t="array" ref="F677">PROFEXHyperlinkAddress(B677:B677)</f>
        <v>#NAME?</v>
      </c>
    </row>
    <row r="678" ht="57.75" spans="1:6">
      <c r="A678" s="11"/>
      <c r="B678" s="14" t="s">
        <v>21</v>
      </c>
      <c r="C678" s="11"/>
      <c r="D678" s="13"/>
      <c r="E678" s="11"/>
      <c r="F678" t="e">
        <f t="array" ref="F678">PROFEXHyperlinkAddress(B678:B678)</f>
        <v>#NAME?</v>
      </c>
    </row>
    <row r="679" spans="1:6">
      <c r="A679" s="11"/>
      <c r="B679" s="12"/>
      <c r="C679" s="11"/>
      <c r="D679" s="13"/>
      <c r="E679" s="11"/>
      <c r="F679" t="e">
        <f t="array" ref="F679">PROFEXHyperlinkAddress(B679:B679)</f>
        <v>#NAME?</v>
      </c>
    </row>
    <row r="680" ht="25.5" spans="1:6">
      <c r="A680" s="15"/>
      <c r="B680" s="14" t="s">
        <v>5</v>
      </c>
      <c r="C680" s="15"/>
      <c r="D680" s="16"/>
      <c r="E680" s="15"/>
      <c r="F680" t="e">
        <f t="array" ref="F680">PROFEXHyperlinkAddress(B680:B680)</f>
        <v>#NAME?</v>
      </c>
    </row>
    <row r="681" ht="240" spans="1:6">
      <c r="A681" s="17">
        <v>5415097</v>
      </c>
      <c r="B681" s="18" t="s">
        <v>261</v>
      </c>
      <c r="C681" s="17" t="s">
        <v>1</v>
      </c>
      <c r="D681" s="19" t="s">
        <v>2</v>
      </c>
      <c r="E681" s="17" t="s">
        <v>262</v>
      </c>
      <c r="F681" t="e">
        <f t="array" ref="F681">PROFEXHyperlinkAddress(B681:B681)</f>
        <v>#NAME?</v>
      </c>
    </row>
    <row r="682" spans="1:6">
      <c r="A682" s="11"/>
      <c r="B682" s="12"/>
      <c r="C682" s="11"/>
      <c r="D682" s="13"/>
      <c r="E682" s="11"/>
      <c r="F682" t="e">
        <f t="array" ref="F682">PROFEXHyperlinkAddress(B682:B682)</f>
        <v>#NAME?</v>
      </c>
    </row>
    <row r="683" ht="49.5" spans="1:6">
      <c r="A683" s="11"/>
      <c r="B683" s="14" t="s">
        <v>78</v>
      </c>
      <c r="C683" s="11"/>
      <c r="D683" s="13"/>
      <c r="E683" s="11"/>
      <c r="F683" t="e">
        <f t="array" ref="F683">PROFEXHyperlinkAddress(B683:B683)</f>
        <v>#NAME?</v>
      </c>
    </row>
    <row r="684" spans="1:6">
      <c r="A684" s="11"/>
      <c r="B684" s="12"/>
      <c r="C684" s="11"/>
      <c r="D684" s="13"/>
      <c r="E684" s="11"/>
      <c r="F684" t="e">
        <f t="array" ref="F684">PROFEXHyperlinkAddress(B684:B684)</f>
        <v>#NAME?</v>
      </c>
    </row>
    <row r="685" ht="25.5" spans="1:6">
      <c r="A685" s="15"/>
      <c r="B685" s="14" t="s">
        <v>5</v>
      </c>
      <c r="C685" s="15"/>
      <c r="D685" s="16"/>
      <c r="E685" s="15"/>
      <c r="F685" t="e">
        <f t="array" ref="F685">PROFEXHyperlinkAddress(B685:B685)</f>
        <v>#NAME?</v>
      </c>
    </row>
    <row r="686" ht="240" spans="1:6">
      <c r="A686" s="17">
        <v>5413097</v>
      </c>
      <c r="B686" s="18" t="s">
        <v>263</v>
      </c>
      <c r="C686" s="17" t="s">
        <v>1</v>
      </c>
      <c r="D686" s="19" t="s">
        <v>2</v>
      </c>
      <c r="E686" s="17" t="s">
        <v>264</v>
      </c>
      <c r="F686" t="e">
        <f t="array" ref="F686">PROFEXHyperlinkAddress(B686:B686)</f>
        <v>#NAME?</v>
      </c>
    </row>
    <row r="687" spans="1:6">
      <c r="A687" s="11"/>
      <c r="B687" s="12"/>
      <c r="C687" s="11"/>
      <c r="D687" s="13"/>
      <c r="E687" s="11"/>
      <c r="F687" t="e">
        <f t="array" ref="F687">PROFEXHyperlinkAddress(B687:B687)</f>
        <v>#NAME?</v>
      </c>
    </row>
    <row r="688" ht="57.75" spans="1:6">
      <c r="A688" s="11"/>
      <c r="B688" s="14" t="s">
        <v>21</v>
      </c>
      <c r="C688" s="11"/>
      <c r="D688" s="13"/>
      <c r="E688" s="11"/>
      <c r="F688" t="e">
        <f t="array" ref="F688">PROFEXHyperlinkAddress(B688:B688)</f>
        <v>#NAME?</v>
      </c>
    </row>
    <row r="689" spans="1:6">
      <c r="A689" s="11"/>
      <c r="B689" s="12"/>
      <c r="C689" s="11"/>
      <c r="D689" s="13"/>
      <c r="E689" s="11"/>
      <c r="F689" t="e">
        <f t="array" ref="F689">PROFEXHyperlinkAddress(B689:B689)</f>
        <v>#NAME?</v>
      </c>
    </row>
    <row r="690" ht="25.5" spans="1:6">
      <c r="A690" s="15"/>
      <c r="B690" s="14" t="s">
        <v>265</v>
      </c>
      <c r="C690" s="15"/>
      <c r="D690" s="16"/>
      <c r="E690" s="15"/>
      <c r="F690" t="e">
        <f t="array" ref="F690">PROFEXHyperlinkAddress(B690:B690)</f>
        <v>#NAME?</v>
      </c>
    </row>
    <row r="691" ht="225" spans="1:6">
      <c r="A691" s="17">
        <v>5412097</v>
      </c>
      <c r="B691" s="18" t="s">
        <v>266</v>
      </c>
      <c r="C691" s="17" t="s">
        <v>1</v>
      </c>
      <c r="D691" s="19" t="s">
        <v>2</v>
      </c>
      <c r="E691" s="17" t="s">
        <v>267</v>
      </c>
      <c r="F691" t="e">
        <f t="array" ref="F691">PROFEXHyperlinkAddress(B691:B691)</f>
        <v>#NAME?</v>
      </c>
    </row>
    <row r="692" spans="1:6">
      <c r="A692" s="11"/>
      <c r="B692" s="12"/>
      <c r="C692" s="11"/>
      <c r="D692" s="13"/>
      <c r="E692" s="11"/>
      <c r="F692" t="e">
        <f t="array" ref="F692">PROFEXHyperlinkAddress(B692:B692)</f>
        <v>#NAME?</v>
      </c>
    </row>
    <row r="693" ht="57.75" spans="1:6">
      <c r="A693" s="11"/>
      <c r="B693" s="14" t="s">
        <v>21</v>
      </c>
      <c r="C693" s="11"/>
      <c r="D693" s="13"/>
      <c r="E693" s="11"/>
      <c r="F693" t="e">
        <f t="array" ref="F693">PROFEXHyperlinkAddress(B693:B693)</f>
        <v>#NAME?</v>
      </c>
    </row>
    <row r="694" spans="1:6">
      <c r="A694" s="11"/>
      <c r="B694" s="12"/>
      <c r="C694" s="11"/>
      <c r="D694" s="13"/>
      <c r="E694" s="11"/>
      <c r="F694" t="e">
        <f t="array" ref="F694">PROFEXHyperlinkAddress(B694:B694)</f>
        <v>#NAME?</v>
      </c>
    </row>
    <row r="695" ht="25.5" spans="1:6">
      <c r="A695" s="15"/>
      <c r="B695" s="14" t="s">
        <v>268</v>
      </c>
      <c r="C695" s="15"/>
      <c r="D695" s="16"/>
      <c r="E695" s="15"/>
      <c r="F695" t="e">
        <f t="array" ref="F695">PROFEXHyperlinkAddress(B695:B695)</f>
        <v>#NAME?</v>
      </c>
    </row>
    <row r="696" ht="225" spans="1:6">
      <c r="A696" s="17">
        <v>5411097</v>
      </c>
      <c r="B696" s="18" t="s">
        <v>269</v>
      </c>
      <c r="C696" s="17" t="s">
        <v>1</v>
      </c>
      <c r="D696" s="19" t="s">
        <v>2</v>
      </c>
      <c r="E696" s="17" t="s">
        <v>267</v>
      </c>
      <c r="F696" t="e">
        <f t="array" ref="F696">PROFEXHyperlinkAddress(B696:B696)</f>
        <v>#NAME?</v>
      </c>
    </row>
    <row r="697" spans="1:6">
      <c r="A697" s="11"/>
      <c r="B697" s="12"/>
      <c r="C697" s="11"/>
      <c r="D697" s="13"/>
      <c r="E697" s="11"/>
      <c r="F697" t="e">
        <f t="array" ref="F697">PROFEXHyperlinkAddress(B697:B697)</f>
        <v>#NAME?</v>
      </c>
    </row>
    <row r="698" ht="57.75" spans="1:6">
      <c r="A698" s="11"/>
      <c r="B698" s="14" t="s">
        <v>21</v>
      </c>
      <c r="C698" s="11"/>
      <c r="D698" s="13"/>
      <c r="E698" s="11"/>
      <c r="F698" t="e">
        <f t="array" ref="F698">PROFEXHyperlinkAddress(B698:B698)</f>
        <v>#NAME?</v>
      </c>
    </row>
    <row r="699" spans="1:6">
      <c r="A699" s="11"/>
      <c r="B699" s="12"/>
      <c r="C699" s="11"/>
      <c r="D699" s="13"/>
      <c r="E699" s="11"/>
      <c r="F699" t="e">
        <f t="array" ref="F699">PROFEXHyperlinkAddress(B699:B699)</f>
        <v>#NAME?</v>
      </c>
    </row>
    <row r="700" ht="25.5" spans="1:6">
      <c r="A700" s="15"/>
      <c r="B700" s="14" t="s">
        <v>270</v>
      </c>
      <c r="C700" s="15"/>
      <c r="D700" s="16"/>
      <c r="E700" s="15"/>
      <c r="F700" t="e">
        <f t="array" ref="F700">PROFEXHyperlinkAddress(B700:B700)</f>
        <v>#NAME?</v>
      </c>
    </row>
    <row r="701" ht="225" spans="1:6">
      <c r="A701" s="17">
        <v>5409097</v>
      </c>
      <c r="B701" s="18" t="s">
        <v>271</v>
      </c>
      <c r="C701" s="17" t="s">
        <v>1</v>
      </c>
      <c r="D701" s="19" t="s">
        <v>2</v>
      </c>
      <c r="E701" s="17" t="s">
        <v>272</v>
      </c>
      <c r="F701" t="e">
        <f t="array" ref="F701">PROFEXHyperlinkAddress(B701:B701)</f>
        <v>#NAME?</v>
      </c>
    </row>
    <row r="702" spans="1:6">
      <c r="A702" s="11"/>
      <c r="B702" s="12"/>
      <c r="C702" s="11"/>
      <c r="D702" s="13"/>
      <c r="E702" s="11"/>
      <c r="F702" t="e">
        <f t="array" ref="F702">PROFEXHyperlinkAddress(B702:B702)</f>
        <v>#NAME?</v>
      </c>
    </row>
    <row r="703" ht="57.75" spans="1:6">
      <c r="A703" s="11"/>
      <c r="B703" s="14" t="s">
        <v>21</v>
      </c>
      <c r="C703" s="11"/>
      <c r="D703" s="13"/>
      <c r="E703" s="11"/>
      <c r="F703" t="e">
        <f t="array" ref="F703">PROFEXHyperlinkAddress(B703:B703)</f>
        <v>#NAME?</v>
      </c>
    </row>
    <row r="704" spans="1:6">
      <c r="A704" s="11"/>
      <c r="B704" s="12"/>
      <c r="C704" s="11"/>
      <c r="D704" s="13"/>
      <c r="E704" s="11"/>
      <c r="F704" t="e">
        <f t="array" ref="F704">PROFEXHyperlinkAddress(B704:B704)</f>
        <v>#NAME?</v>
      </c>
    </row>
    <row r="705" ht="25.5" spans="1:6">
      <c r="A705" s="15"/>
      <c r="B705" s="14" t="s">
        <v>273</v>
      </c>
      <c r="C705" s="15"/>
      <c r="D705" s="16"/>
      <c r="E705" s="15"/>
      <c r="F705" t="e">
        <f t="array" ref="F705">PROFEXHyperlinkAddress(B705:B705)</f>
        <v>#NAME?</v>
      </c>
    </row>
    <row r="706" ht="165" spans="1:6">
      <c r="A706" s="17">
        <v>5407097</v>
      </c>
      <c r="B706" s="18" t="s">
        <v>274</v>
      </c>
      <c r="C706" s="17" t="s">
        <v>1</v>
      </c>
      <c r="D706" s="19" t="s">
        <v>2</v>
      </c>
      <c r="E706" s="17" t="s">
        <v>275</v>
      </c>
      <c r="F706" t="e">
        <f t="array" ref="F706">PROFEXHyperlinkAddress(B706:B706)</f>
        <v>#NAME?</v>
      </c>
    </row>
    <row r="707" spans="1:6">
      <c r="A707" s="11"/>
      <c r="B707" s="12"/>
      <c r="C707" s="11"/>
      <c r="D707" s="13"/>
      <c r="E707" s="11"/>
      <c r="F707" t="e">
        <f t="array" ref="F707">PROFEXHyperlinkAddress(B707:B707)</f>
        <v>#NAME?</v>
      </c>
    </row>
    <row r="708" ht="57.75" spans="1:6">
      <c r="A708" s="11"/>
      <c r="B708" s="14" t="s">
        <v>21</v>
      </c>
      <c r="C708" s="11"/>
      <c r="D708" s="13"/>
      <c r="E708" s="11"/>
      <c r="F708" t="e">
        <f t="array" ref="F708">PROFEXHyperlinkAddress(B708:B708)</f>
        <v>#NAME?</v>
      </c>
    </row>
    <row r="709" spans="1:6">
      <c r="A709" s="11"/>
      <c r="B709" s="12"/>
      <c r="C709" s="11"/>
      <c r="D709" s="13"/>
      <c r="E709" s="11"/>
      <c r="F709" t="e">
        <f t="array" ref="F709">PROFEXHyperlinkAddress(B709:B709)</f>
        <v>#NAME?</v>
      </c>
    </row>
    <row r="710" ht="25.5" spans="1:6">
      <c r="A710" s="15"/>
      <c r="B710" s="14" t="s">
        <v>276</v>
      </c>
      <c r="C710" s="15"/>
      <c r="D710" s="16"/>
      <c r="E710" s="15"/>
      <c r="F710" t="e">
        <f t="array" ref="F710">PROFEXHyperlinkAddress(B710:B710)</f>
        <v>#NAME?</v>
      </c>
    </row>
    <row r="711" ht="90" spans="1:6">
      <c r="A711" s="17">
        <v>5406097</v>
      </c>
      <c r="B711" s="18" t="s">
        <v>277</v>
      </c>
      <c r="C711" s="17" t="s">
        <v>1</v>
      </c>
      <c r="D711" s="19" t="s">
        <v>2</v>
      </c>
      <c r="E711" s="17" t="s">
        <v>278</v>
      </c>
      <c r="F711" t="e">
        <f t="array" ref="F711">PROFEXHyperlinkAddress(B711:B711)</f>
        <v>#NAME?</v>
      </c>
    </row>
    <row r="712" spans="1:6">
      <c r="A712" s="11"/>
      <c r="B712" s="12"/>
      <c r="C712" s="11"/>
      <c r="D712" s="13"/>
      <c r="E712" s="11"/>
      <c r="F712" t="e">
        <f t="array" ref="F712">PROFEXHyperlinkAddress(B712:B712)</f>
        <v>#NAME?</v>
      </c>
    </row>
    <row r="713" ht="57.75" spans="1:6">
      <c r="A713" s="11"/>
      <c r="B713" s="14" t="s">
        <v>21</v>
      </c>
      <c r="C713" s="11"/>
      <c r="D713" s="13"/>
      <c r="E713" s="11"/>
      <c r="F713" t="e">
        <f t="array" ref="F713">PROFEXHyperlinkAddress(B713:B713)</f>
        <v>#NAME?</v>
      </c>
    </row>
    <row r="714" spans="1:6">
      <c r="A714" s="11"/>
      <c r="B714" s="12"/>
      <c r="C714" s="11"/>
      <c r="D714" s="13"/>
      <c r="E714" s="11"/>
      <c r="F714" t="e">
        <f t="array" ref="F714">PROFEXHyperlinkAddress(B714:B714)</f>
        <v>#NAME?</v>
      </c>
    </row>
    <row r="715" ht="25.5" spans="1:6">
      <c r="A715" s="15"/>
      <c r="B715" s="14" t="s">
        <v>279</v>
      </c>
      <c r="C715" s="15"/>
      <c r="D715" s="16"/>
      <c r="E715" s="15"/>
      <c r="F715" t="e">
        <f t="array" ref="F715">PROFEXHyperlinkAddress(B715:B715)</f>
        <v>#NAME?</v>
      </c>
    </row>
    <row r="716" ht="105" spans="1:6">
      <c r="A716" s="17">
        <v>5405097</v>
      </c>
      <c r="B716" s="18" t="s">
        <v>197</v>
      </c>
      <c r="C716" s="17" t="s">
        <v>1</v>
      </c>
      <c r="D716" s="19" t="s">
        <v>2</v>
      </c>
      <c r="E716" s="17" t="s">
        <v>280</v>
      </c>
      <c r="F716" t="e">
        <f t="array" ref="F716">PROFEXHyperlinkAddress(B716:B716)</f>
        <v>#NAME?</v>
      </c>
    </row>
    <row r="717" spans="1:6">
      <c r="A717" s="11"/>
      <c r="B717" s="12"/>
      <c r="C717" s="11"/>
      <c r="D717" s="13"/>
      <c r="E717" s="11"/>
      <c r="F717" t="e">
        <f t="array" ref="F717">PROFEXHyperlinkAddress(B717:B717)</f>
        <v>#NAME?</v>
      </c>
    </row>
    <row r="718" ht="57.75" spans="1:6">
      <c r="A718" s="11"/>
      <c r="B718" s="14" t="s">
        <v>16</v>
      </c>
      <c r="C718" s="11"/>
      <c r="D718" s="13"/>
      <c r="E718" s="11"/>
      <c r="F718" t="e">
        <f t="array" ref="F718">PROFEXHyperlinkAddress(B718:B718)</f>
        <v>#NAME?</v>
      </c>
    </row>
    <row r="719" spans="1:6">
      <c r="A719" s="11"/>
      <c r="B719" s="12"/>
      <c r="C719" s="11"/>
      <c r="D719" s="13"/>
      <c r="E719" s="11"/>
      <c r="F719" t="e">
        <f t="array" ref="F719">PROFEXHyperlinkAddress(B719:B719)</f>
        <v>#NAME?</v>
      </c>
    </row>
    <row r="720" ht="25.5" spans="1:6">
      <c r="A720" s="15"/>
      <c r="B720" s="14" t="s">
        <v>5</v>
      </c>
      <c r="C720" s="15"/>
      <c r="D720" s="16"/>
      <c r="E720" s="15"/>
      <c r="F720" t="e">
        <f t="array" ref="F720">PROFEXHyperlinkAddress(B720:B720)</f>
        <v>#NAME?</v>
      </c>
    </row>
    <row r="721" ht="135" spans="1:6">
      <c r="A721" s="17">
        <v>5404097</v>
      </c>
      <c r="B721" s="18" t="s">
        <v>281</v>
      </c>
      <c r="C721" s="17" t="s">
        <v>1</v>
      </c>
      <c r="D721" s="19" t="s">
        <v>2</v>
      </c>
      <c r="E721" s="17" t="s">
        <v>282</v>
      </c>
      <c r="F721" t="e">
        <f t="array" ref="F721">PROFEXHyperlinkAddress(B721:B721)</f>
        <v>#NAME?</v>
      </c>
    </row>
    <row r="722" spans="1:6">
      <c r="A722" s="11"/>
      <c r="B722" s="12"/>
      <c r="C722" s="11"/>
      <c r="D722" s="13"/>
      <c r="E722" s="11"/>
      <c r="F722" t="e">
        <f t="array" ref="F722">PROFEXHyperlinkAddress(B722:B722)</f>
        <v>#NAME?</v>
      </c>
    </row>
    <row r="723" ht="57.75" spans="1:6">
      <c r="A723" s="11"/>
      <c r="B723" s="14" t="s">
        <v>21</v>
      </c>
      <c r="C723" s="11"/>
      <c r="D723" s="13"/>
      <c r="E723" s="11"/>
      <c r="F723" t="e">
        <f t="array" ref="F723">PROFEXHyperlinkAddress(B723:B723)</f>
        <v>#NAME?</v>
      </c>
    </row>
    <row r="724" spans="1:6">
      <c r="A724" s="11"/>
      <c r="B724" s="12"/>
      <c r="C724" s="11"/>
      <c r="D724" s="13"/>
      <c r="E724" s="11"/>
      <c r="F724" t="e">
        <f t="array" ref="F724">PROFEXHyperlinkAddress(B724:B724)</f>
        <v>#NAME?</v>
      </c>
    </row>
    <row r="725" ht="25.5" spans="1:6">
      <c r="A725" s="15"/>
      <c r="B725" s="14" t="s">
        <v>283</v>
      </c>
      <c r="C725" s="15"/>
      <c r="D725" s="16"/>
      <c r="E725" s="15"/>
      <c r="F725" t="e">
        <f t="array" ref="F725">PROFEXHyperlinkAddress(B725:B725)</f>
        <v>#NAME?</v>
      </c>
    </row>
    <row r="726" ht="180" spans="1:6">
      <c r="A726" s="17">
        <v>5400097</v>
      </c>
      <c r="B726" s="18" t="s">
        <v>284</v>
      </c>
      <c r="C726" s="17" t="s">
        <v>1</v>
      </c>
      <c r="D726" s="19" t="s">
        <v>2</v>
      </c>
      <c r="E726" s="17" t="s">
        <v>285</v>
      </c>
      <c r="F726" t="e">
        <f t="array" ref="F726">PROFEXHyperlinkAddress(B726:B726)</f>
        <v>#NAME?</v>
      </c>
    </row>
    <row r="727" spans="1:6">
      <c r="A727" s="11"/>
      <c r="B727" s="12"/>
      <c r="C727" s="11"/>
      <c r="D727" s="13"/>
      <c r="E727" s="11"/>
      <c r="F727" t="e">
        <f t="array" ref="F727">PROFEXHyperlinkAddress(B727:B727)</f>
        <v>#NAME?</v>
      </c>
    </row>
    <row r="728" ht="49.5" spans="1:6">
      <c r="A728" s="11"/>
      <c r="B728" s="14" t="s">
        <v>188</v>
      </c>
      <c r="C728" s="11"/>
      <c r="D728" s="13"/>
      <c r="E728" s="11"/>
      <c r="F728" t="e">
        <f t="array" ref="F728">PROFEXHyperlinkAddress(B728:B728)</f>
        <v>#NAME?</v>
      </c>
    </row>
    <row r="729" spans="1:6">
      <c r="A729" s="11"/>
      <c r="B729" s="12"/>
      <c r="C729" s="11"/>
      <c r="D729" s="13"/>
      <c r="E729" s="11"/>
      <c r="F729" t="e">
        <f t="array" ref="F729">PROFEXHyperlinkAddress(B729:B729)</f>
        <v>#NAME?</v>
      </c>
    </row>
    <row r="730" ht="25.5" spans="1:6">
      <c r="A730" s="15"/>
      <c r="B730" s="14" t="s">
        <v>286</v>
      </c>
      <c r="C730" s="15"/>
      <c r="D730" s="16"/>
      <c r="E730" s="15"/>
      <c r="F730" t="e">
        <f t="array" ref="F730">PROFEXHyperlinkAddress(B730:B730)</f>
        <v>#NAME?</v>
      </c>
    </row>
    <row r="731" ht="135" spans="1:6">
      <c r="A731" s="17">
        <v>5399097</v>
      </c>
      <c r="B731" s="18" t="s">
        <v>287</v>
      </c>
      <c r="C731" s="17" t="s">
        <v>1</v>
      </c>
      <c r="D731" s="19" t="s">
        <v>7</v>
      </c>
      <c r="E731" s="17" t="s">
        <v>198</v>
      </c>
      <c r="F731" t="e">
        <f t="array" ref="F731">PROFEXHyperlinkAddress(B731:B731)</f>
        <v>#NAME?</v>
      </c>
    </row>
    <row r="732" spans="1:6">
      <c r="A732" s="11"/>
      <c r="B732" s="12"/>
      <c r="C732" s="11"/>
      <c r="D732" s="13"/>
      <c r="E732" s="11"/>
      <c r="F732" t="e">
        <f t="array" ref="F732">PROFEXHyperlinkAddress(B732:B732)</f>
        <v>#NAME?</v>
      </c>
    </row>
    <row r="733" ht="57.75" spans="1:6">
      <c r="A733" s="11"/>
      <c r="B733" s="14" t="s">
        <v>4</v>
      </c>
      <c r="C733" s="11"/>
      <c r="D733" s="13"/>
      <c r="E733" s="11"/>
      <c r="F733" t="e">
        <f t="array" ref="F733">PROFEXHyperlinkAddress(B733:B733)</f>
        <v>#NAME?</v>
      </c>
    </row>
    <row r="734" spans="1:6">
      <c r="A734" s="11"/>
      <c r="B734" s="12"/>
      <c r="C734" s="11"/>
      <c r="D734" s="13"/>
      <c r="E734" s="11"/>
      <c r="F734" t="e">
        <f t="array" ref="F734">PROFEXHyperlinkAddress(B734:B734)</f>
        <v>#NAME?</v>
      </c>
    </row>
    <row r="735" ht="25.5" spans="1:6">
      <c r="A735" s="15"/>
      <c r="B735" s="14" t="s">
        <v>5</v>
      </c>
      <c r="C735" s="15"/>
      <c r="D735" s="16"/>
      <c r="E735" s="15"/>
      <c r="F735" t="e">
        <f t="array" ref="F735">PROFEXHyperlinkAddress(B735:B735)</f>
        <v>#NAME?</v>
      </c>
    </row>
    <row r="736" ht="135" spans="1:6">
      <c r="A736" s="17">
        <v>5397097</v>
      </c>
      <c r="B736" s="18" t="s">
        <v>288</v>
      </c>
      <c r="C736" s="17" t="s">
        <v>1</v>
      </c>
      <c r="D736" s="19" t="s">
        <v>2</v>
      </c>
      <c r="E736" s="17" t="s">
        <v>289</v>
      </c>
      <c r="F736" t="e">
        <f t="array" ref="F736">PROFEXHyperlinkAddress(B736:B736)</f>
        <v>#NAME?</v>
      </c>
    </row>
    <row r="737" spans="1:6">
      <c r="A737" s="11"/>
      <c r="B737" s="12"/>
      <c r="C737" s="11"/>
      <c r="D737" s="13"/>
      <c r="E737" s="11"/>
      <c r="F737" t="e">
        <f t="array" ref="F737">PROFEXHyperlinkAddress(B737:B737)</f>
        <v>#NAME?</v>
      </c>
    </row>
    <row r="738" ht="57.75" spans="1:6">
      <c r="A738" s="11"/>
      <c r="B738" s="14" t="s">
        <v>21</v>
      </c>
      <c r="C738" s="11"/>
      <c r="D738" s="13"/>
      <c r="E738" s="11"/>
      <c r="F738" t="e">
        <f t="array" ref="F738">PROFEXHyperlinkAddress(B738:B738)</f>
        <v>#NAME?</v>
      </c>
    </row>
    <row r="739" spans="1:6">
      <c r="A739" s="11"/>
      <c r="B739" s="12"/>
      <c r="C739" s="11"/>
      <c r="D739" s="13"/>
      <c r="E739" s="11"/>
      <c r="F739" t="e">
        <f t="array" ref="F739">PROFEXHyperlinkAddress(B739:B739)</f>
        <v>#NAME?</v>
      </c>
    </row>
    <row r="740" ht="25.5" spans="1:6">
      <c r="A740" s="15"/>
      <c r="B740" s="14" t="s">
        <v>290</v>
      </c>
      <c r="C740" s="15"/>
      <c r="D740" s="16"/>
      <c r="E740" s="15"/>
      <c r="F740" t="e">
        <f t="array" ref="F740">PROFEXHyperlinkAddress(B740:B740)</f>
        <v>#NAME?</v>
      </c>
    </row>
    <row r="741" ht="270" spans="1:6">
      <c r="A741" s="17">
        <v>5396097</v>
      </c>
      <c r="B741" s="18" t="s">
        <v>291</v>
      </c>
      <c r="C741" s="17" t="s">
        <v>1</v>
      </c>
      <c r="D741" s="19" t="s">
        <v>2</v>
      </c>
      <c r="E741" s="17" t="s">
        <v>292</v>
      </c>
      <c r="F741" t="e">
        <f t="array" ref="F741">PROFEXHyperlinkAddress(B741:B741)</f>
        <v>#NAME?</v>
      </c>
    </row>
    <row r="742" spans="1:6">
      <c r="A742" s="11"/>
      <c r="B742" s="12"/>
      <c r="C742" s="11"/>
      <c r="D742" s="13"/>
      <c r="E742" s="11"/>
      <c r="F742" t="e">
        <f t="array" ref="F742">PROFEXHyperlinkAddress(B742:B742)</f>
        <v>#NAME?</v>
      </c>
    </row>
    <row r="743" ht="49.5" spans="1:6">
      <c r="A743" s="11"/>
      <c r="B743" s="14" t="s">
        <v>78</v>
      </c>
      <c r="C743" s="11"/>
      <c r="D743" s="13"/>
      <c r="E743" s="11"/>
      <c r="F743" t="e">
        <f t="array" ref="F743">PROFEXHyperlinkAddress(B743:B743)</f>
        <v>#NAME?</v>
      </c>
    </row>
    <row r="744" spans="1:6">
      <c r="A744" s="11"/>
      <c r="B744" s="12"/>
      <c r="C744" s="11"/>
      <c r="D744" s="13"/>
      <c r="E744" s="11"/>
      <c r="F744" t="e">
        <f t="array" ref="F744">PROFEXHyperlinkAddress(B744:B744)</f>
        <v>#NAME?</v>
      </c>
    </row>
    <row r="745" ht="25.5" spans="1:6">
      <c r="A745" s="15"/>
      <c r="B745" s="14" t="s">
        <v>5</v>
      </c>
      <c r="C745" s="15"/>
      <c r="D745" s="16"/>
      <c r="E745" s="15"/>
      <c r="F745" t="e">
        <f t="array" ref="F745">PROFEXHyperlinkAddress(B745:B745)</f>
        <v>#NAME?</v>
      </c>
    </row>
    <row r="746" ht="165" spans="1:6">
      <c r="A746" s="17">
        <v>5395097</v>
      </c>
      <c r="B746" s="18" t="s">
        <v>293</v>
      </c>
      <c r="C746" s="17" t="s">
        <v>1</v>
      </c>
      <c r="D746" s="19" t="s">
        <v>2</v>
      </c>
      <c r="E746" s="17" t="s">
        <v>294</v>
      </c>
      <c r="F746" t="e">
        <f t="array" ref="F746">PROFEXHyperlinkAddress(B746:B746)</f>
        <v>#NAME?</v>
      </c>
    </row>
    <row r="747" spans="1:6">
      <c r="A747" s="11"/>
      <c r="B747" s="12"/>
      <c r="C747" s="11"/>
      <c r="D747" s="13"/>
      <c r="E747" s="11"/>
      <c r="F747" t="e">
        <f t="array" ref="F747">PROFEXHyperlinkAddress(B747:B747)</f>
        <v>#NAME?</v>
      </c>
    </row>
    <row r="748" ht="49.5" spans="1:6">
      <c r="A748" s="11"/>
      <c r="B748" s="14" t="s">
        <v>78</v>
      </c>
      <c r="C748" s="11"/>
      <c r="D748" s="13"/>
      <c r="E748" s="11"/>
      <c r="F748" t="e">
        <f t="array" ref="F748">PROFEXHyperlinkAddress(B748:B748)</f>
        <v>#NAME?</v>
      </c>
    </row>
    <row r="749" spans="1:6">
      <c r="A749" s="11"/>
      <c r="B749" s="12"/>
      <c r="C749" s="11"/>
      <c r="D749" s="13"/>
      <c r="E749" s="11"/>
      <c r="F749" t="e">
        <f t="array" ref="F749">PROFEXHyperlinkAddress(B749:B749)</f>
        <v>#NAME?</v>
      </c>
    </row>
    <row r="750" ht="25.5" spans="1:6">
      <c r="A750" s="15"/>
      <c r="B750" s="14" t="s">
        <v>5</v>
      </c>
      <c r="C750" s="15"/>
      <c r="D750" s="16"/>
      <c r="E750" s="15"/>
      <c r="F750" t="e">
        <f t="array" ref="F750">PROFEXHyperlinkAddress(B750:B750)</f>
        <v>#NAME?</v>
      </c>
    </row>
    <row r="751" ht="225" spans="1:6">
      <c r="A751" s="17">
        <v>5394097</v>
      </c>
      <c r="B751" s="18" t="s">
        <v>295</v>
      </c>
      <c r="C751" s="17" t="s">
        <v>1</v>
      </c>
      <c r="D751" s="19" t="s">
        <v>76</v>
      </c>
      <c r="E751" s="17" t="s">
        <v>296</v>
      </c>
      <c r="F751" t="e">
        <f t="array" ref="F751">PROFEXHyperlinkAddress(B751:B751)</f>
        <v>#NAME?</v>
      </c>
    </row>
    <row r="752" spans="1:6">
      <c r="A752" s="11"/>
      <c r="B752" s="12"/>
      <c r="C752" s="11"/>
      <c r="D752" s="13"/>
      <c r="E752" s="11"/>
      <c r="F752" t="e">
        <f t="array" ref="F752">PROFEXHyperlinkAddress(B752:B752)</f>
        <v>#NAME?</v>
      </c>
    </row>
    <row r="753" ht="49.5" spans="1:6">
      <c r="A753" s="11"/>
      <c r="B753" s="14" t="s">
        <v>78</v>
      </c>
      <c r="C753" s="11"/>
      <c r="D753" s="13"/>
      <c r="E753" s="11"/>
      <c r="F753" t="e">
        <f t="array" ref="F753">PROFEXHyperlinkAddress(B753:B753)</f>
        <v>#NAME?</v>
      </c>
    </row>
    <row r="754" spans="1:6">
      <c r="A754" s="11"/>
      <c r="B754" s="12"/>
      <c r="C754" s="11"/>
      <c r="D754" s="13"/>
      <c r="E754" s="11"/>
      <c r="F754" t="e">
        <f t="array" ref="F754">PROFEXHyperlinkAddress(B754:B754)</f>
        <v>#NAME?</v>
      </c>
    </row>
    <row r="755" ht="25.5" spans="1:6">
      <c r="A755" s="15"/>
      <c r="B755" s="14" t="s">
        <v>5</v>
      </c>
      <c r="C755" s="15"/>
      <c r="D755" s="16"/>
      <c r="E755" s="15"/>
      <c r="F755" t="e">
        <f t="array" ref="F755">PROFEXHyperlinkAddress(B755:B755)</f>
        <v>#NAME?</v>
      </c>
    </row>
    <row r="756" ht="195" spans="1:6">
      <c r="A756" s="17">
        <v>5393097</v>
      </c>
      <c r="B756" s="18" t="s">
        <v>297</v>
      </c>
      <c r="C756" s="17" t="s">
        <v>1</v>
      </c>
      <c r="D756" s="19" t="s">
        <v>2</v>
      </c>
      <c r="E756" s="17" t="s">
        <v>298</v>
      </c>
      <c r="F756" t="e">
        <f t="array" ref="F756">PROFEXHyperlinkAddress(B756:B756)</f>
        <v>#NAME?</v>
      </c>
    </row>
    <row r="757" spans="1:6">
      <c r="A757" s="11"/>
      <c r="B757" s="12"/>
      <c r="C757" s="11"/>
      <c r="D757" s="13"/>
      <c r="E757" s="11"/>
      <c r="F757" t="e">
        <f t="array" ref="F757">PROFEXHyperlinkAddress(B757:B757)</f>
        <v>#NAME?</v>
      </c>
    </row>
    <row r="758" ht="49.5" spans="1:6">
      <c r="A758" s="11"/>
      <c r="B758" s="14" t="s">
        <v>78</v>
      </c>
      <c r="C758" s="11"/>
      <c r="D758" s="13"/>
      <c r="E758" s="11"/>
      <c r="F758" t="e">
        <f t="array" ref="F758">PROFEXHyperlinkAddress(B758:B758)</f>
        <v>#NAME?</v>
      </c>
    </row>
    <row r="759" spans="1:6">
      <c r="A759" s="11"/>
      <c r="B759" s="12"/>
      <c r="C759" s="11"/>
      <c r="D759" s="13"/>
      <c r="E759" s="11"/>
      <c r="F759" t="e">
        <f t="array" ref="F759">PROFEXHyperlinkAddress(B759:B759)</f>
        <v>#NAME?</v>
      </c>
    </row>
    <row r="760" ht="25.5" spans="1:6">
      <c r="A760" s="15"/>
      <c r="B760" s="14" t="s">
        <v>5</v>
      </c>
      <c r="C760" s="15"/>
      <c r="D760" s="16"/>
      <c r="E760" s="15"/>
      <c r="F760" t="e">
        <f t="array" ref="F760">PROFEXHyperlinkAddress(B760:B760)</f>
        <v>#NAME?</v>
      </c>
    </row>
    <row r="761" ht="165" spans="1:6">
      <c r="A761" s="17">
        <v>5392097</v>
      </c>
      <c r="B761" s="18" t="s">
        <v>299</v>
      </c>
      <c r="C761" s="17" t="s">
        <v>1</v>
      </c>
      <c r="D761" s="19" t="s">
        <v>2</v>
      </c>
      <c r="E761" s="17" t="s">
        <v>300</v>
      </c>
      <c r="F761" t="e">
        <f t="array" ref="F761">PROFEXHyperlinkAddress(B761:B761)</f>
        <v>#NAME?</v>
      </c>
    </row>
    <row r="762" spans="1:6">
      <c r="A762" s="11"/>
      <c r="B762" s="12"/>
      <c r="C762" s="11"/>
      <c r="D762" s="13"/>
      <c r="E762" s="11"/>
      <c r="F762" t="e">
        <f t="array" ref="F762">PROFEXHyperlinkAddress(B762:B762)</f>
        <v>#NAME?</v>
      </c>
    </row>
    <row r="763" ht="57.75" spans="1:6">
      <c r="A763" s="11"/>
      <c r="B763" s="14" t="s">
        <v>21</v>
      </c>
      <c r="C763" s="11"/>
      <c r="D763" s="13"/>
      <c r="E763" s="11"/>
      <c r="F763" t="e">
        <f t="array" ref="F763">PROFEXHyperlinkAddress(B763:B763)</f>
        <v>#NAME?</v>
      </c>
    </row>
    <row r="764" spans="1:6">
      <c r="A764" s="11"/>
      <c r="B764" s="12"/>
      <c r="C764" s="11"/>
      <c r="D764" s="13"/>
      <c r="E764" s="11"/>
      <c r="F764" t="e">
        <f t="array" ref="F764">PROFEXHyperlinkAddress(B764:B764)</f>
        <v>#NAME?</v>
      </c>
    </row>
    <row r="765" ht="25.5" spans="1:6">
      <c r="A765" s="15"/>
      <c r="B765" s="14" t="s">
        <v>301</v>
      </c>
      <c r="C765" s="15"/>
      <c r="D765" s="16"/>
      <c r="E765" s="15"/>
      <c r="F765" t="e">
        <f t="array" ref="F765">PROFEXHyperlinkAddress(B765:B765)</f>
        <v>#NAME?</v>
      </c>
    </row>
    <row r="766" ht="180" spans="1:6">
      <c r="A766" s="17">
        <v>5386097</v>
      </c>
      <c r="B766" s="18" t="s">
        <v>302</v>
      </c>
      <c r="C766" s="17" t="s">
        <v>1</v>
      </c>
      <c r="D766" s="19" t="s">
        <v>2</v>
      </c>
      <c r="E766" s="17" t="s">
        <v>303</v>
      </c>
      <c r="F766" t="e">
        <f t="array" ref="F766">PROFEXHyperlinkAddress(B766:B766)</f>
        <v>#NAME?</v>
      </c>
    </row>
    <row r="767" spans="1:6">
      <c r="A767" s="11"/>
      <c r="B767" s="12"/>
      <c r="C767" s="11"/>
      <c r="D767" s="13"/>
      <c r="E767" s="11"/>
      <c r="F767" t="e">
        <f t="array" ref="F767">PROFEXHyperlinkAddress(B767:B767)</f>
        <v>#NAME?</v>
      </c>
    </row>
    <row r="768" ht="57.75" spans="1:6">
      <c r="A768" s="11"/>
      <c r="B768" s="14" t="s">
        <v>21</v>
      </c>
      <c r="C768" s="11"/>
      <c r="D768" s="13"/>
      <c r="E768" s="11"/>
      <c r="F768" t="e">
        <f t="array" ref="F768">PROFEXHyperlinkAddress(B768:B768)</f>
        <v>#NAME?</v>
      </c>
    </row>
    <row r="769" spans="1:6">
      <c r="A769" s="11"/>
      <c r="B769" s="12"/>
      <c r="C769" s="11"/>
      <c r="D769" s="13"/>
      <c r="E769" s="11"/>
      <c r="F769" t="e">
        <f t="array" ref="F769">PROFEXHyperlinkAddress(B769:B769)</f>
        <v>#NAME?</v>
      </c>
    </row>
    <row r="770" ht="25.5" spans="1:6">
      <c r="A770" s="15"/>
      <c r="B770" s="14" t="s">
        <v>304</v>
      </c>
      <c r="C770" s="15"/>
      <c r="D770" s="16"/>
      <c r="E770" s="15"/>
      <c r="F770" t="e">
        <f t="array" ref="F770">PROFEXHyperlinkAddress(B770:B770)</f>
        <v>#NAME?</v>
      </c>
    </row>
    <row r="771" ht="195" spans="1:6">
      <c r="A771" s="17">
        <v>5385097</v>
      </c>
      <c r="B771" s="18" t="s">
        <v>305</v>
      </c>
      <c r="C771" s="17" t="s">
        <v>1</v>
      </c>
      <c r="D771" s="19" t="s">
        <v>2</v>
      </c>
      <c r="E771" s="17" t="s">
        <v>306</v>
      </c>
      <c r="F771" t="e">
        <f t="array" ref="F771">PROFEXHyperlinkAddress(B771:B771)</f>
        <v>#NAME?</v>
      </c>
    </row>
    <row r="772" spans="1:6">
      <c r="A772" s="11"/>
      <c r="B772" s="12"/>
      <c r="C772" s="11"/>
      <c r="D772" s="13"/>
      <c r="E772" s="11"/>
      <c r="F772" t="e">
        <f t="array" ref="F772">PROFEXHyperlinkAddress(B772:B772)</f>
        <v>#NAME?</v>
      </c>
    </row>
    <row r="773" ht="49.5" spans="1:6">
      <c r="A773" s="11"/>
      <c r="B773" s="14" t="s">
        <v>78</v>
      </c>
      <c r="C773" s="11"/>
      <c r="D773" s="13"/>
      <c r="E773" s="11"/>
      <c r="F773" t="e">
        <f t="array" ref="F773">PROFEXHyperlinkAddress(B773:B773)</f>
        <v>#NAME?</v>
      </c>
    </row>
    <row r="774" spans="1:6">
      <c r="A774" s="11"/>
      <c r="B774" s="12"/>
      <c r="C774" s="11"/>
      <c r="D774" s="13"/>
      <c r="E774" s="11"/>
      <c r="F774" t="e">
        <f t="array" ref="F774">PROFEXHyperlinkAddress(B774:B774)</f>
        <v>#NAME?</v>
      </c>
    </row>
    <row r="775" ht="25.5" spans="1:6">
      <c r="A775" s="15"/>
      <c r="B775" s="14" t="s">
        <v>5</v>
      </c>
      <c r="C775" s="15"/>
      <c r="D775" s="16"/>
      <c r="E775" s="15"/>
      <c r="F775" t="e">
        <f t="array" ref="F775">PROFEXHyperlinkAddress(B775:B775)</f>
        <v>#NAME?</v>
      </c>
    </row>
    <row r="776" ht="120" spans="1:6">
      <c r="A776" s="17">
        <v>5383097</v>
      </c>
      <c r="B776" s="18" t="s">
        <v>307</v>
      </c>
      <c r="C776" s="17" t="s">
        <v>1</v>
      </c>
      <c r="D776" s="19" t="s">
        <v>7</v>
      </c>
      <c r="E776" s="17" t="s">
        <v>182</v>
      </c>
      <c r="F776" t="e">
        <f t="array" ref="F776">PROFEXHyperlinkAddress(B776:B776)</f>
        <v>#NAME?</v>
      </c>
    </row>
    <row r="777" spans="1:6">
      <c r="A777" s="11"/>
      <c r="B777" s="12"/>
      <c r="C777" s="11"/>
      <c r="D777" s="13"/>
      <c r="E777" s="11"/>
      <c r="F777" t="e">
        <f t="array" ref="F777">PROFEXHyperlinkAddress(B777:B777)</f>
        <v>#NAME?</v>
      </c>
    </row>
    <row r="778" ht="57.75" spans="1:6">
      <c r="A778" s="11"/>
      <c r="B778" s="14" t="s">
        <v>16</v>
      </c>
      <c r="C778" s="11"/>
      <c r="D778" s="13"/>
      <c r="E778" s="11"/>
      <c r="F778" t="e">
        <f t="array" ref="F778">PROFEXHyperlinkAddress(B778:B778)</f>
        <v>#NAME?</v>
      </c>
    </row>
    <row r="779" spans="1:6">
      <c r="A779" s="11"/>
      <c r="B779" s="12"/>
      <c r="C779" s="11"/>
      <c r="D779" s="13"/>
      <c r="E779" s="11"/>
      <c r="F779" t="e">
        <f t="array" ref="F779">PROFEXHyperlinkAddress(B779:B779)</f>
        <v>#NAME?</v>
      </c>
    </row>
    <row r="780" ht="25.5" spans="1:6">
      <c r="A780" s="15"/>
      <c r="B780" s="14" t="s">
        <v>5</v>
      </c>
      <c r="C780" s="15"/>
      <c r="D780" s="16"/>
      <c r="E780" s="15"/>
      <c r="F780" t="e">
        <f t="array" ref="F780">PROFEXHyperlinkAddress(B780:B780)</f>
        <v>#NAME?</v>
      </c>
    </row>
    <row r="781" ht="150" spans="1:6">
      <c r="A781" s="17">
        <v>5378097</v>
      </c>
      <c r="B781" s="18" t="s">
        <v>308</v>
      </c>
      <c r="C781" s="17" t="s">
        <v>1</v>
      </c>
      <c r="D781" s="19" t="s">
        <v>2</v>
      </c>
      <c r="E781" s="17" t="s">
        <v>145</v>
      </c>
      <c r="F781" t="e">
        <f t="array" ref="F781">PROFEXHyperlinkAddress(B781:B781)</f>
        <v>#NAME?</v>
      </c>
    </row>
    <row r="782" spans="1:6">
      <c r="A782" s="11"/>
      <c r="B782" s="12"/>
      <c r="C782" s="11"/>
      <c r="D782" s="13"/>
      <c r="E782" s="11"/>
      <c r="F782" t="e">
        <f t="array" ref="F782">PROFEXHyperlinkAddress(B782:B782)</f>
        <v>#NAME?</v>
      </c>
    </row>
    <row r="783" ht="57.75" spans="1:6">
      <c r="A783" s="11"/>
      <c r="B783" s="14" t="s">
        <v>21</v>
      </c>
      <c r="C783" s="11"/>
      <c r="D783" s="13"/>
      <c r="E783" s="11"/>
      <c r="F783" t="e">
        <f t="array" ref="F783">PROFEXHyperlinkAddress(B783:B783)</f>
        <v>#NAME?</v>
      </c>
    </row>
    <row r="784" spans="1:6">
      <c r="A784" s="11"/>
      <c r="B784" s="12"/>
      <c r="C784" s="11"/>
      <c r="D784" s="13"/>
      <c r="E784" s="11"/>
      <c r="F784" t="e">
        <f t="array" ref="F784">PROFEXHyperlinkAddress(B784:B784)</f>
        <v>#NAME?</v>
      </c>
    </row>
    <row r="785" ht="25.5" spans="1:6">
      <c r="A785" s="15"/>
      <c r="B785" s="14" t="s">
        <v>5</v>
      </c>
      <c r="C785" s="15"/>
      <c r="D785" s="16"/>
      <c r="E785" s="15"/>
      <c r="F785" t="e">
        <f t="array" ref="F785">PROFEXHyperlinkAddress(B785:B785)</f>
        <v>#NAME?</v>
      </c>
    </row>
    <row r="786" ht="120" spans="1:6">
      <c r="A786" s="17">
        <v>5377097</v>
      </c>
      <c r="B786" s="18" t="s">
        <v>307</v>
      </c>
      <c r="C786" s="17" t="s">
        <v>1</v>
      </c>
      <c r="D786" s="19" t="s">
        <v>7</v>
      </c>
      <c r="E786" s="17" t="s">
        <v>225</v>
      </c>
      <c r="F786" t="e">
        <f t="array" ref="F786">PROFEXHyperlinkAddress(B786:B786)</f>
        <v>#NAME?</v>
      </c>
    </row>
    <row r="787" spans="1:6">
      <c r="A787" s="11"/>
      <c r="B787" s="12"/>
      <c r="C787" s="11"/>
      <c r="D787" s="13"/>
      <c r="E787" s="11"/>
      <c r="F787" t="e">
        <f t="array" ref="F787">PROFEXHyperlinkAddress(B787:B787)</f>
        <v>#NAME?</v>
      </c>
    </row>
    <row r="788" ht="57.75" spans="1:6">
      <c r="A788" s="11"/>
      <c r="B788" s="14" t="s">
        <v>4</v>
      </c>
      <c r="C788" s="11"/>
      <c r="D788" s="13"/>
      <c r="E788" s="11"/>
      <c r="F788" t="e">
        <f t="array" ref="F788">PROFEXHyperlinkAddress(B788:B788)</f>
        <v>#NAME?</v>
      </c>
    </row>
    <row r="789" spans="1:6">
      <c r="A789" s="11"/>
      <c r="B789" s="12"/>
      <c r="C789" s="11"/>
      <c r="D789" s="13"/>
      <c r="E789" s="11"/>
      <c r="F789" t="e">
        <f t="array" ref="F789">PROFEXHyperlinkAddress(B789:B789)</f>
        <v>#NAME?</v>
      </c>
    </row>
    <row r="790" ht="25.5" spans="1:6">
      <c r="A790" s="15"/>
      <c r="B790" s="14" t="s">
        <v>5</v>
      </c>
      <c r="C790" s="15"/>
      <c r="D790" s="16"/>
      <c r="E790" s="15"/>
      <c r="F790" t="e">
        <f t="array" ref="F790">PROFEXHyperlinkAddress(B790:B790)</f>
        <v>#NAME?</v>
      </c>
    </row>
    <row r="791" ht="195" spans="1:6">
      <c r="A791" s="17">
        <v>5375097</v>
      </c>
      <c r="B791" s="18" t="s">
        <v>309</v>
      </c>
      <c r="C791" s="17" t="s">
        <v>1</v>
      </c>
      <c r="D791" s="19" t="s">
        <v>2</v>
      </c>
      <c r="E791" s="17" t="s">
        <v>310</v>
      </c>
      <c r="F791" t="e">
        <f t="array" ref="F791">PROFEXHyperlinkAddress(B791:B791)</f>
        <v>#NAME?</v>
      </c>
    </row>
    <row r="792" spans="1:6">
      <c r="A792" s="11"/>
      <c r="B792" s="12"/>
      <c r="C792" s="11"/>
      <c r="D792" s="13"/>
      <c r="E792" s="11"/>
      <c r="F792" t="e">
        <f t="array" ref="F792">PROFEXHyperlinkAddress(B792:B792)</f>
        <v>#NAME?</v>
      </c>
    </row>
    <row r="793" ht="57.75" spans="1:6">
      <c r="A793" s="11"/>
      <c r="B793" s="14" t="s">
        <v>21</v>
      </c>
      <c r="C793" s="11"/>
      <c r="D793" s="13"/>
      <c r="E793" s="11"/>
      <c r="F793" t="e">
        <f t="array" ref="F793">PROFEXHyperlinkAddress(B793:B793)</f>
        <v>#NAME?</v>
      </c>
    </row>
    <row r="794" spans="1:6">
      <c r="A794" s="11"/>
      <c r="B794" s="12"/>
      <c r="C794" s="11"/>
      <c r="D794" s="13"/>
      <c r="E794" s="11"/>
      <c r="F794" t="e">
        <f t="array" ref="F794">PROFEXHyperlinkAddress(B794:B794)</f>
        <v>#NAME?</v>
      </c>
    </row>
    <row r="795" ht="25.5" spans="1:6">
      <c r="A795" s="15"/>
      <c r="B795" s="14" t="s">
        <v>311</v>
      </c>
      <c r="C795" s="15"/>
      <c r="D795" s="16"/>
      <c r="E795" s="15"/>
      <c r="F795" t="e">
        <f t="array" ref="F795">PROFEXHyperlinkAddress(B795:B795)</f>
        <v>#NAME?</v>
      </c>
    </row>
    <row r="796" ht="120" spans="1:6">
      <c r="A796" s="17">
        <v>5364097</v>
      </c>
      <c r="B796" s="18" t="s">
        <v>312</v>
      </c>
      <c r="C796" s="17" t="s">
        <v>1</v>
      </c>
      <c r="D796" s="19" t="s">
        <v>7</v>
      </c>
      <c r="E796" s="17" t="s">
        <v>198</v>
      </c>
      <c r="F796" t="e">
        <f t="array" ref="F796">PROFEXHyperlinkAddress(B796:B796)</f>
        <v>#NAME?</v>
      </c>
    </row>
    <row r="797" spans="1:6">
      <c r="A797" s="11"/>
      <c r="B797" s="12"/>
      <c r="C797" s="11"/>
      <c r="D797" s="13"/>
      <c r="E797" s="11"/>
      <c r="F797" t="e">
        <f t="array" ref="F797">PROFEXHyperlinkAddress(B797:B797)</f>
        <v>#NAME?</v>
      </c>
    </row>
    <row r="798" ht="57.75" spans="1:6">
      <c r="A798" s="11"/>
      <c r="B798" s="14" t="s">
        <v>21</v>
      </c>
      <c r="C798" s="11"/>
      <c r="D798" s="13"/>
      <c r="E798" s="11"/>
      <c r="F798" t="e">
        <f t="array" ref="F798">PROFEXHyperlinkAddress(B798:B798)</f>
        <v>#NAME?</v>
      </c>
    </row>
    <row r="799" spans="1:6">
      <c r="A799" s="11"/>
      <c r="B799" s="12"/>
      <c r="C799" s="11"/>
      <c r="D799" s="13"/>
      <c r="E799" s="11"/>
      <c r="F799" t="e">
        <f t="array" ref="F799">PROFEXHyperlinkAddress(B799:B799)</f>
        <v>#NAME?</v>
      </c>
    </row>
    <row r="800" ht="25.5" spans="1:6">
      <c r="A800" s="15"/>
      <c r="B800" s="14" t="s">
        <v>5</v>
      </c>
      <c r="C800" s="15"/>
      <c r="D800" s="16"/>
      <c r="E800" s="15"/>
      <c r="F800" t="e">
        <f t="array" ref="F800">PROFEXHyperlinkAddress(B800:B800)</f>
        <v>#NAME?</v>
      </c>
    </row>
    <row r="801" ht="195" spans="1:6">
      <c r="A801" s="17">
        <v>5356097</v>
      </c>
      <c r="B801" s="18" t="s">
        <v>313</v>
      </c>
      <c r="C801" s="17" t="s">
        <v>1</v>
      </c>
      <c r="D801" s="19" t="s">
        <v>7</v>
      </c>
      <c r="E801" s="17" t="s">
        <v>53</v>
      </c>
      <c r="F801" t="e">
        <f t="array" ref="F801">PROFEXHyperlinkAddress(B801:B801)</f>
        <v>#NAME?</v>
      </c>
    </row>
    <row r="802" spans="1:6">
      <c r="A802" s="11"/>
      <c r="B802" s="12"/>
      <c r="C802" s="11"/>
      <c r="D802" s="13"/>
      <c r="E802" s="11"/>
      <c r="F802" t="e">
        <f t="array" ref="F802">PROFEXHyperlinkAddress(B802:B802)</f>
        <v>#NAME?</v>
      </c>
    </row>
    <row r="803" ht="57.75" spans="1:6">
      <c r="A803" s="11"/>
      <c r="B803" s="14" t="s">
        <v>54</v>
      </c>
      <c r="C803" s="11"/>
      <c r="D803" s="13"/>
      <c r="E803" s="11"/>
      <c r="F803" t="e">
        <f t="array" ref="F803">PROFEXHyperlinkAddress(B803:B803)</f>
        <v>#NAME?</v>
      </c>
    </row>
    <row r="804" spans="1:6">
      <c r="A804" s="11"/>
      <c r="B804" s="12"/>
      <c r="C804" s="11"/>
      <c r="D804" s="13"/>
      <c r="E804" s="11"/>
      <c r="F804" t="e">
        <f t="array" ref="F804">PROFEXHyperlinkAddress(B804:B804)</f>
        <v>#NAME?</v>
      </c>
    </row>
    <row r="805" ht="25.5" spans="1:6">
      <c r="A805" s="15"/>
      <c r="B805" s="14" t="s">
        <v>5</v>
      </c>
      <c r="C805" s="15"/>
      <c r="D805" s="16"/>
      <c r="E805" s="15"/>
      <c r="F805" t="e">
        <f t="array" ref="F805">PROFEXHyperlinkAddress(B805:B805)</f>
        <v>#NAME?</v>
      </c>
    </row>
    <row r="806" ht="225" spans="1:6">
      <c r="A806" s="17">
        <v>5353097</v>
      </c>
      <c r="B806" s="18" t="s">
        <v>314</v>
      </c>
      <c r="C806" s="17" t="s">
        <v>1</v>
      </c>
      <c r="D806" s="19" t="s">
        <v>2</v>
      </c>
      <c r="E806" s="17" t="s">
        <v>168</v>
      </c>
      <c r="F806" t="e">
        <f t="array" ref="F806">PROFEXHyperlinkAddress(B806:B806)</f>
        <v>#NAME?</v>
      </c>
    </row>
    <row r="807" spans="1:6">
      <c r="A807" s="11"/>
      <c r="B807" s="12"/>
      <c r="C807" s="11"/>
      <c r="D807" s="13"/>
      <c r="E807" s="11"/>
      <c r="F807" t="e">
        <f t="array" ref="F807">PROFEXHyperlinkAddress(B807:B807)</f>
        <v>#NAME?</v>
      </c>
    </row>
    <row r="808" ht="57.75" spans="1:6">
      <c r="A808" s="11"/>
      <c r="B808" s="14" t="s">
        <v>54</v>
      </c>
      <c r="C808" s="11"/>
      <c r="D808" s="13"/>
      <c r="E808" s="11"/>
      <c r="F808" t="e">
        <f t="array" ref="F808">PROFEXHyperlinkAddress(B808:B808)</f>
        <v>#NAME?</v>
      </c>
    </row>
    <row r="809" spans="1:6">
      <c r="A809" s="11"/>
      <c r="B809" s="12"/>
      <c r="C809" s="11"/>
      <c r="D809" s="13"/>
      <c r="E809" s="11"/>
      <c r="F809" t="e">
        <f t="array" ref="F809">PROFEXHyperlinkAddress(B809:B809)</f>
        <v>#NAME?</v>
      </c>
    </row>
    <row r="810" ht="25.5" spans="1:6">
      <c r="A810" s="15"/>
      <c r="B810" s="14" t="s">
        <v>315</v>
      </c>
      <c r="C810" s="15"/>
      <c r="D810" s="16"/>
      <c r="E810" s="15"/>
      <c r="F810" t="e">
        <f t="array" ref="F810">PROFEXHyperlinkAddress(B810:B810)</f>
        <v>#NAME?</v>
      </c>
    </row>
    <row r="811" ht="255" spans="1:6">
      <c r="A811" s="17">
        <v>5352097</v>
      </c>
      <c r="B811" s="18" t="s">
        <v>316</v>
      </c>
      <c r="C811" s="17" t="s">
        <v>1</v>
      </c>
      <c r="D811" s="19" t="s">
        <v>7</v>
      </c>
      <c r="E811" s="17" t="s">
        <v>168</v>
      </c>
      <c r="F811" t="e">
        <f t="array" ref="F811">PROFEXHyperlinkAddress(B811:B811)</f>
        <v>#NAME?</v>
      </c>
    </row>
    <row r="812" spans="1:6">
      <c r="A812" s="11"/>
      <c r="B812" s="12"/>
      <c r="C812" s="11"/>
      <c r="D812" s="13"/>
      <c r="E812" s="11"/>
      <c r="F812" t="e">
        <f t="array" ref="F812">PROFEXHyperlinkAddress(B812:B812)</f>
        <v>#NAME?</v>
      </c>
    </row>
    <row r="813" ht="57.75" spans="1:6">
      <c r="A813" s="11"/>
      <c r="B813" s="14" t="s">
        <v>54</v>
      </c>
      <c r="C813" s="11"/>
      <c r="D813" s="13"/>
      <c r="E813" s="11"/>
      <c r="F813" t="e">
        <f t="array" ref="F813">PROFEXHyperlinkAddress(B813:B813)</f>
        <v>#NAME?</v>
      </c>
    </row>
    <row r="814" spans="1:6">
      <c r="A814" s="11"/>
      <c r="B814" s="12"/>
      <c r="C814" s="11"/>
      <c r="D814" s="13"/>
      <c r="E814" s="11"/>
      <c r="F814" t="e">
        <f t="array" ref="F814">PROFEXHyperlinkAddress(B814:B814)</f>
        <v>#NAME?</v>
      </c>
    </row>
    <row r="815" ht="25.5" spans="1:6">
      <c r="A815" s="15"/>
      <c r="B815" s="14" t="s">
        <v>5</v>
      </c>
      <c r="C815" s="15"/>
      <c r="D815" s="16"/>
      <c r="E815" s="15"/>
      <c r="F815" t="e">
        <f t="array" ref="F815">PROFEXHyperlinkAddress(B815:B815)</f>
        <v>#NAME?</v>
      </c>
    </row>
    <row r="816" ht="150" spans="1:6">
      <c r="A816" s="17">
        <v>5351097</v>
      </c>
      <c r="B816" s="18" t="s">
        <v>317</v>
      </c>
      <c r="C816" s="17" t="s">
        <v>1</v>
      </c>
      <c r="D816" s="19" t="s">
        <v>2</v>
      </c>
      <c r="E816" s="17" t="s">
        <v>318</v>
      </c>
      <c r="F816" t="e">
        <f t="array" ref="F816">PROFEXHyperlinkAddress(B816:B816)</f>
        <v>#NAME?</v>
      </c>
    </row>
    <row r="817" spans="1:6">
      <c r="A817" s="11"/>
      <c r="B817" s="12"/>
      <c r="C817" s="11"/>
      <c r="D817" s="13"/>
      <c r="E817" s="11"/>
      <c r="F817" t="e">
        <f t="array" ref="F817">PROFEXHyperlinkAddress(B817:B817)</f>
        <v>#NAME?</v>
      </c>
    </row>
    <row r="818" ht="57.75" spans="1:6">
      <c r="A818" s="11"/>
      <c r="B818" s="14" t="s">
        <v>4</v>
      </c>
      <c r="C818" s="11"/>
      <c r="D818" s="13"/>
      <c r="E818" s="11"/>
      <c r="F818" t="e">
        <f t="array" ref="F818">PROFEXHyperlinkAddress(B818:B818)</f>
        <v>#NAME?</v>
      </c>
    </row>
    <row r="819" spans="1:6">
      <c r="A819" s="11"/>
      <c r="B819" s="12"/>
      <c r="C819" s="11"/>
      <c r="D819" s="13"/>
      <c r="E819" s="11"/>
      <c r="F819" t="e">
        <f t="array" ref="F819">PROFEXHyperlinkAddress(B819:B819)</f>
        <v>#NAME?</v>
      </c>
    </row>
    <row r="820" ht="25.5" spans="1:6">
      <c r="A820" s="15"/>
      <c r="B820" s="14" t="s">
        <v>319</v>
      </c>
      <c r="C820" s="15"/>
      <c r="D820" s="16"/>
      <c r="E820" s="15"/>
      <c r="F820" t="e">
        <f t="array" ref="F820">PROFEXHyperlinkAddress(B820:B820)</f>
        <v>#NAME?</v>
      </c>
    </row>
    <row r="821" ht="270" spans="1:6">
      <c r="A821" s="17">
        <v>5347097</v>
      </c>
      <c r="B821" s="18" t="s">
        <v>320</v>
      </c>
      <c r="C821" s="17" t="s">
        <v>149</v>
      </c>
      <c r="D821" s="19" t="s">
        <v>2</v>
      </c>
      <c r="E821" s="17" t="s">
        <v>321</v>
      </c>
      <c r="F821" t="e">
        <f t="array" ref="F821">PROFEXHyperlinkAddress(B821:B821)</f>
        <v>#NAME?</v>
      </c>
    </row>
    <row r="822" spans="1:6">
      <c r="A822" s="11"/>
      <c r="B822" s="12"/>
      <c r="C822" s="11"/>
      <c r="D822" s="13"/>
      <c r="E822" s="11"/>
      <c r="F822" t="e">
        <f t="array" ref="F822">PROFEXHyperlinkAddress(B822:B822)</f>
        <v>#NAME?</v>
      </c>
    </row>
    <row r="823" ht="49.5" spans="1:6">
      <c r="A823" s="11"/>
      <c r="B823" s="14" t="s">
        <v>322</v>
      </c>
      <c r="C823" s="11"/>
      <c r="D823" s="13"/>
      <c r="E823" s="11"/>
      <c r="F823" t="e">
        <f t="array" ref="F823">PROFEXHyperlinkAddress(B823:B823)</f>
        <v>#NAME?</v>
      </c>
    </row>
    <row r="824" spans="1:6">
      <c r="A824" s="11"/>
      <c r="B824" s="12"/>
      <c r="C824" s="11"/>
      <c r="D824" s="13"/>
      <c r="E824" s="11"/>
      <c r="F824" t="e">
        <f t="array" ref="F824">PROFEXHyperlinkAddress(B824:B824)</f>
        <v>#NAME?</v>
      </c>
    </row>
    <row r="825" ht="25.5" spans="1:6">
      <c r="A825" s="15"/>
      <c r="B825" s="14" t="s">
        <v>5</v>
      </c>
      <c r="C825" s="15"/>
      <c r="D825" s="16"/>
      <c r="E825" s="15"/>
      <c r="F825" t="e">
        <f t="array" ref="F825">PROFEXHyperlinkAddress(B825:B825)</f>
        <v>#NAME?</v>
      </c>
    </row>
    <row r="826" ht="210" spans="1:6">
      <c r="A826" s="17">
        <v>5346097</v>
      </c>
      <c r="B826" s="18" t="s">
        <v>323</v>
      </c>
      <c r="C826" s="17" t="s">
        <v>149</v>
      </c>
      <c r="D826" s="19" t="s">
        <v>2</v>
      </c>
      <c r="E826" s="17" t="s">
        <v>324</v>
      </c>
      <c r="F826" t="e">
        <f t="array" ref="F826">PROFEXHyperlinkAddress(B826:B826)</f>
        <v>#NAME?</v>
      </c>
    </row>
    <row r="827" spans="1:6">
      <c r="A827" s="11"/>
      <c r="B827" s="12"/>
      <c r="C827" s="11"/>
      <c r="D827" s="13"/>
      <c r="E827" s="11"/>
      <c r="F827" t="e">
        <f t="array" ref="F827">PROFEXHyperlinkAddress(B827:B827)</f>
        <v>#NAME?</v>
      </c>
    </row>
    <row r="828" ht="57.75" spans="1:6">
      <c r="A828" s="11"/>
      <c r="B828" s="14" t="s">
        <v>21</v>
      </c>
      <c r="C828" s="11"/>
      <c r="D828" s="13"/>
      <c r="E828" s="11"/>
      <c r="F828" t="e">
        <f t="array" ref="F828">PROFEXHyperlinkAddress(B828:B828)</f>
        <v>#NAME?</v>
      </c>
    </row>
    <row r="829" spans="1:6">
      <c r="A829" s="11"/>
      <c r="B829" s="12"/>
      <c r="C829" s="11"/>
      <c r="D829" s="13"/>
      <c r="E829" s="11"/>
      <c r="F829" t="e">
        <f t="array" ref="F829">PROFEXHyperlinkAddress(B829:B829)</f>
        <v>#NAME?</v>
      </c>
    </row>
    <row r="830" ht="25.5" spans="1:6">
      <c r="A830" s="15"/>
      <c r="B830" s="14" t="s">
        <v>5</v>
      </c>
      <c r="C830" s="15"/>
      <c r="D830" s="16"/>
      <c r="E830" s="15"/>
      <c r="F830" t="e">
        <f t="array" ref="F830">PROFEXHyperlinkAddress(B830:B830)</f>
        <v>#NAME?</v>
      </c>
    </row>
    <row r="831" ht="120" spans="1:6">
      <c r="A831" s="17">
        <v>5343097</v>
      </c>
      <c r="B831" s="18" t="s">
        <v>325</v>
      </c>
      <c r="C831" s="17" t="s">
        <v>1</v>
      </c>
      <c r="D831" s="19" t="s">
        <v>2</v>
      </c>
      <c r="E831" s="17" t="s">
        <v>145</v>
      </c>
      <c r="F831" t="e">
        <f t="array" ref="F831">PROFEXHyperlinkAddress(B831:B831)</f>
        <v>#NAME?</v>
      </c>
    </row>
    <row r="832" spans="1:6">
      <c r="A832" s="11"/>
      <c r="B832" s="12"/>
      <c r="C832" s="11"/>
      <c r="D832" s="13"/>
      <c r="E832" s="11"/>
      <c r="F832" t="e">
        <f t="array" ref="F832">PROFEXHyperlinkAddress(B832:B832)</f>
        <v>#NAME?</v>
      </c>
    </row>
    <row r="833" ht="57.75" spans="1:6">
      <c r="A833" s="11"/>
      <c r="B833" s="14" t="s">
        <v>21</v>
      </c>
      <c r="C833" s="11"/>
      <c r="D833" s="13"/>
      <c r="E833" s="11"/>
      <c r="F833" t="e">
        <f t="array" ref="F833">PROFEXHyperlinkAddress(B833:B833)</f>
        <v>#NAME?</v>
      </c>
    </row>
    <row r="834" spans="1:6">
      <c r="A834" s="11"/>
      <c r="B834" s="12"/>
      <c r="C834" s="11"/>
      <c r="D834" s="13"/>
      <c r="E834" s="11"/>
      <c r="F834" t="e">
        <f t="array" ref="F834">PROFEXHyperlinkAddress(B834:B834)</f>
        <v>#NAME?</v>
      </c>
    </row>
    <row r="835" ht="25.5" spans="1:6">
      <c r="A835" s="15"/>
      <c r="B835" s="14" t="s">
        <v>5</v>
      </c>
      <c r="C835" s="15"/>
      <c r="D835" s="16"/>
      <c r="E835" s="15"/>
      <c r="F835" t="e">
        <f t="array" ref="F835">PROFEXHyperlinkAddress(B835:B835)</f>
        <v>#NAME?</v>
      </c>
    </row>
    <row r="836" ht="105" spans="1:6">
      <c r="A836" s="17">
        <v>5341097</v>
      </c>
      <c r="B836" s="18" t="s">
        <v>326</v>
      </c>
      <c r="C836" s="17" t="s">
        <v>1</v>
      </c>
      <c r="D836" s="19" t="s">
        <v>2</v>
      </c>
      <c r="E836" s="17" t="s">
        <v>168</v>
      </c>
      <c r="F836" t="e">
        <f t="array" ref="F836">PROFEXHyperlinkAddress(B836:B836)</f>
        <v>#NAME?</v>
      </c>
    </row>
    <row r="837" spans="1:6">
      <c r="A837" s="11"/>
      <c r="B837" s="12"/>
      <c r="C837" s="11"/>
      <c r="D837" s="13"/>
      <c r="E837" s="11"/>
      <c r="F837" t="e">
        <f t="array" ref="F837">PROFEXHyperlinkAddress(B837:B837)</f>
        <v>#NAME?</v>
      </c>
    </row>
    <row r="838" ht="57.75" spans="1:6">
      <c r="A838" s="11"/>
      <c r="B838" s="14" t="s">
        <v>4</v>
      </c>
      <c r="C838" s="11"/>
      <c r="D838" s="13"/>
      <c r="E838" s="11"/>
      <c r="F838" t="e">
        <f t="array" ref="F838">PROFEXHyperlinkAddress(B838:B838)</f>
        <v>#NAME?</v>
      </c>
    </row>
    <row r="839" spans="1:6">
      <c r="A839" s="11"/>
      <c r="B839" s="12"/>
      <c r="C839" s="11"/>
      <c r="D839" s="13"/>
      <c r="E839" s="11"/>
      <c r="F839" t="e">
        <f t="array" ref="F839">PROFEXHyperlinkAddress(B839:B839)</f>
        <v>#NAME?</v>
      </c>
    </row>
    <row r="840" ht="25.5" spans="1:6">
      <c r="A840" s="15"/>
      <c r="B840" s="14" t="s">
        <v>5</v>
      </c>
      <c r="C840" s="15"/>
      <c r="D840" s="16"/>
      <c r="E840" s="15"/>
      <c r="F840" t="e">
        <f t="array" ref="F840">PROFEXHyperlinkAddress(B840:B840)</f>
        <v>#NAME?</v>
      </c>
    </row>
    <row r="841" ht="75" spans="1:6">
      <c r="A841" s="17">
        <v>5339097</v>
      </c>
      <c r="B841" s="18" t="s">
        <v>327</v>
      </c>
      <c r="C841" s="17" t="s">
        <v>1</v>
      </c>
      <c r="D841" s="19" t="s">
        <v>2</v>
      </c>
      <c r="E841" s="17" t="s">
        <v>328</v>
      </c>
      <c r="F841" t="e">
        <f t="array" ref="F841">PROFEXHyperlinkAddress(B841:B841)</f>
        <v>#NAME?</v>
      </c>
    </row>
    <row r="842" spans="1:6">
      <c r="A842" s="11"/>
      <c r="B842" s="12"/>
      <c r="C842" s="11"/>
      <c r="D842" s="13"/>
      <c r="E842" s="11"/>
      <c r="F842" t="e">
        <f t="array" ref="F842">PROFEXHyperlinkAddress(B842:B842)</f>
        <v>#NAME?</v>
      </c>
    </row>
    <row r="843" ht="57.75" spans="1:6">
      <c r="A843" s="11"/>
      <c r="B843" s="14" t="s">
        <v>21</v>
      </c>
      <c r="C843" s="11"/>
      <c r="D843" s="13"/>
      <c r="E843" s="11"/>
      <c r="F843" t="e">
        <f t="array" ref="F843">PROFEXHyperlinkAddress(B843:B843)</f>
        <v>#NAME?</v>
      </c>
    </row>
    <row r="844" spans="1:6">
      <c r="A844" s="11"/>
      <c r="B844" s="12"/>
      <c r="C844" s="11"/>
      <c r="D844" s="13"/>
      <c r="E844" s="11"/>
      <c r="F844" t="e">
        <f t="array" ref="F844">PROFEXHyperlinkAddress(B844:B844)</f>
        <v>#NAME?</v>
      </c>
    </row>
    <row r="845" ht="25.5" spans="1:6">
      <c r="A845" s="15"/>
      <c r="B845" s="14" t="s">
        <v>5</v>
      </c>
      <c r="C845" s="15"/>
      <c r="D845" s="16"/>
      <c r="E845" s="15"/>
      <c r="F845" t="e">
        <f t="array" ref="F845">PROFEXHyperlinkAddress(B845:B845)</f>
        <v>#NAME?</v>
      </c>
    </row>
    <row r="846" ht="90" spans="1:6">
      <c r="A846" s="17">
        <v>5336097</v>
      </c>
      <c r="B846" s="18" t="s">
        <v>329</v>
      </c>
      <c r="C846" s="17" t="s">
        <v>1</v>
      </c>
      <c r="D846" s="19" t="s">
        <v>2</v>
      </c>
      <c r="E846" s="17" t="s">
        <v>145</v>
      </c>
      <c r="F846" t="e">
        <f t="array" ref="F846">PROFEXHyperlinkAddress(B846:B846)</f>
        <v>#NAME?</v>
      </c>
    </row>
    <row r="847" spans="1:6">
      <c r="A847" s="11"/>
      <c r="B847" s="12"/>
      <c r="C847" s="11"/>
      <c r="D847" s="13"/>
      <c r="E847" s="11"/>
      <c r="F847" t="e">
        <f t="array" ref="F847">PROFEXHyperlinkAddress(B847:B847)</f>
        <v>#NAME?</v>
      </c>
    </row>
    <row r="848" ht="57.75" spans="1:6">
      <c r="A848" s="11"/>
      <c r="B848" s="14" t="s">
        <v>21</v>
      </c>
      <c r="C848" s="11"/>
      <c r="D848" s="13"/>
      <c r="E848" s="11"/>
      <c r="F848" t="e">
        <f t="array" ref="F848">PROFEXHyperlinkAddress(B848:B848)</f>
        <v>#NAME?</v>
      </c>
    </row>
    <row r="849" spans="1:6">
      <c r="A849" s="11"/>
      <c r="B849" s="12"/>
      <c r="C849" s="11"/>
      <c r="D849" s="13"/>
      <c r="E849" s="11"/>
      <c r="F849" t="e">
        <f t="array" ref="F849">PROFEXHyperlinkAddress(B849:B849)</f>
        <v>#NAME?</v>
      </c>
    </row>
    <row r="850" ht="25.5" spans="1:6">
      <c r="A850" s="15"/>
      <c r="B850" s="14" t="s">
        <v>5</v>
      </c>
      <c r="C850" s="15"/>
      <c r="D850" s="16"/>
      <c r="E850" s="15"/>
      <c r="F850" t="e">
        <f t="array" ref="F850">PROFEXHyperlinkAddress(B850:B850)</f>
        <v>#NAME?</v>
      </c>
    </row>
    <row r="851" ht="180" spans="1:6">
      <c r="A851" s="17">
        <v>5335097</v>
      </c>
      <c r="B851" s="18" t="s">
        <v>330</v>
      </c>
      <c r="C851" s="17" t="s">
        <v>1</v>
      </c>
      <c r="D851" s="19" t="s">
        <v>2</v>
      </c>
      <c r="E851" s="17" t="s">
        <v>331</v>
      </c>
      <c r="F851" t="e">
        <f t="array" ref="F851">PROFEXHyperlinkAddress(B851:B851)</f>
        <v>#NAME?</v>
      </c>
    </row>
    <row r="852" spans="1:6">
      <c r="A852" s="11"/>
      <c r="B852" s="12"/>
      <c r="C852" s="11"/>
      <c r="D852" s="13"/>
      <c r="E852" s="11"/>
      <c r="F852" t="e">
        <f t="array" ref="F852">PROFEXHyperlinkAddress(B852:B852)</f>
        <v>#NAME?</v>
      </c>
    </row>
    <row r="853" ht="57.75" spans="1:6">
      <c r="A853" s="11"/>
      <c r="B853" s="14" t="s">
        <v>21</v>
      </c>
      <c r="C853" s="11"/>
      <c r="D853" s="13"/>
      <c r="E853" s="11"/>
      <c r="F853" t="e">
        <f t="array" ref="F853">PROFEXHyperlinkAddress(B853:B853)</f>
        <v>#NAME?</v>
      </c>
    </row>
    <row r="854" spans="1:6">
      <c r="A854" s="11"/>
      <c r="B854" s="12"/>
      <c r="C854" s="11"/>
      <c r="D854" s="13"/>
      <c r="E854" s="11"/>
      <c r="F854" t="e">
        <f t="array" ref="F854">PROFEXHyperlinkAddress(B854:B854)</f>
        <v>#NAME?</v>
      </c>
    </row>
    <row r="855" ht="25.5" spans="1:6">
      <c r="A855" s="15"/>
      <c r="B855" s="14" t="s">
        <v>5</v>
      </c>
      <c r="C855" s="15"/>
      <c r="D855" s="16"/>
      <c r="E855" s="15"/>
      <c r="F855" t="e">
        <f t="array" ref="F855">PROFEXHyperlinkAddress(B855:B855)</f>
        <v>#NAME?</v>
      </c>
    </row>
    <row r="856" ht="165" spans="1:6">
      <c r="A856" s="17">
        <v>5334097</v>
      </c>
      <c r="B856" s="18" t="s">
        <v>332</v>
      </c>
      <c r="C856" s="17" t="s">
        <v>1</v>
      </c>
      <c r="D856" s="19" t="s">
        <v>2</v>
      </c>
      <c r="E856" s="17" t="s">
        <v>333</v>
      </c>
      <c r="F856" t="e">
        <f t="array" ref="F856">PROFEXHyperlinkAddress(B856:B856)</f>
        <v>#NAME?</v>
      </c>
    </row>
    <row r="857" spans="1:6">
      <c r="A857" s="11"/>
      <c r="B857" s="12"/>
      <c r="C857" s="11"/>
      <c r="D857" s="13"/>
      <c r="E857" s="11"/>
      <c r="F857" t="e">
        <f t="array" ref="F857">PROFEXHyperlinkAddress(B857:B857)</f>
        <v>#NAME?</v>
      </c>
    </row>
    <row r="858" ht="57.75" spans="1:6">
      <c r="A858" s="11"/>
      <c r="B858" s="14" t="s">
        <v>21</v>
      </c>
      <c r="C858" s="11"/>
      <c r="D858" s="13"/>
      <c r="E858" s="11"/>
      <c r="F858" t="e">
        <f t="array" ref="F858">PROFEXHyperlinkAddress(B858:B858)</f>
        <v>#NAME?</v>
      </c>
    </row>
    <row r="859" spans="1:6">
      <c r="A859" s="11"/>
      <c r="B859" s="12"/>
      <c r="C859" s="11"/>
      <c r="D859" s="13"/>
      <c r="E859" s="11"/>
      <c r="F859" t="e">
        <f t="array" ref="F859">PROFEXHyperlinkAddress(B859:B859)</f>
        <v>#NAME?</v>
      </c>
    </row>
    <row r="860" ht="25.5" spans="1:6">
      <c r="A860" s="15"/>
      <c r="B860" s="14" t="s">
        <v>5</v>
      </c>
      <c r="C860" s="15"/>
      <c r="D860" s="16"/>
      <c r="E860" s="15"/>
      <c r="F860" t="e">
        <f t="array" ref="F860">PROFEXHyperlinkAddress(B860:B860)</f>
        <v>#NAME?</v>
      </c>
    </row>
    <row r="861" ht="135" spans="1:6">
      <c r="A861" s="17">
        <v>5333097</v>
      </c>
      <c r="B861" s="18" t="s">
        <v>334</v>
      </c>
      <c r="C861" s="17" t="s">
        <v>1</v>
      </c>
      <c r="D861" s="19" t="s">
        <v>2</v>
      </c>
      <c r="E861" s="17" t="s">
        <v>335</v>
      </c>
      <c r="F861" t="e">
        <f t="array" ref="F861">PROFEXHyperlinkAddress(B861:B861)</f>
        <v>#NAME?</v>
      </c>
    </row>
    <row r="862" spans="1:6">
      <c r="A862" s="11"/>
      <c r="B862" s="12"/>
      <c r="C862" s="11"/>
      <c r="D862" s="13"/>
      <c r="E862" s="11"/>
      <c r="F862" t="e">
        <f t="array" ref="F862">PROFEXHyperlinkAddress(B862:B862)</f>
        <v>#NAME?</v>
      </c>
    </row>
    <row r="863" ht="57.75" spans="1:6">
      <c r="A863" s="11"/>
      <c r="B863" s="14" t="s">
        <v>21</v>
      </c>
      <c r="C863" s="11"/>
      <c r="D863" s="13"/>
      <c r="E863" s="11"/>
      <c r="F863" t="e">
        <f t="array" ref="F863">PROFEXHyperlinkAddress(B863:B863)</f>
        <v>#NAME?</v>
      </c>
    </row>
    <row r="864" spans="1:6">
      <c r="A864" s="11"/>
      <c r="B864" s="12"/>
      <c r="C864" s="11"/>
      <c r="D864" s="13"/>
      <c r="E864" s="11"/>
      <c r="F864" t="e">
        <f t="array" ref="F864">PROFEXHyperlinkAddress(B864:B864)</f>
        <v>#NAME?</v>
      </c>
    </row>
    <row r="865" ht="25.5" spans="1:6">
      <c r="A865" s="15"/>
      <c r="B865" s="14" t="s">
        <v>5</v>
      </c>
      <c r="C865" s="15"/>
      <c r="D865" s="16"/>
      <c r="E865" s="15"/>
      <c r="F865" t="e">
        <f t="array" ref="F865">PROFEXHyperlinkAddress(B865:B865)</f>
        <v>#NAME?</v>
      </c>
    </row>
    <row r="866" ht="255" spans="1:6">
      <c r="A866" s="17">
        <v>5332097</v>
      </c>
      <c r="B866" s="18" t="s">
        <v>316</v>
      </c>
      <c r="C866" s="17" t="s">
        <v>1</v>
      </c>
      <c r="D866" s="19" t="s">
        <v>7</v>
      </c>
      <c r="E866" s="17" t="s">
        <v>168</v>
      </c>
      <c r="F866" t="e">
        <f t="array" ref="F866">PROFEXHyperlinkAddress(B866:B866)</f>
        <v>#NAME?</v>
      </c>
    </row>
    <row r="867" spans="1:6">
      <c r="A867" s="11"/>
      <c r="B867" s="12"/>
      <c r="C867" s="11"/>
      <c r="D867" s="13"/>
      <c r="E867" s="11"/>
      <c r="F867" t="e">
        <f t="array" ref="F867">PROFEXHyperlinkAddress(B867:B867)</f>
        <v>#NAME?</v>
      </c>
    </row>
    <row r="868" ht="57.75" spans="1:6">
      <c r="A868" s="11"/>
      <c r="B868" s="14" t="s">
        <v>54</v>
      </c>
      <c r="C868" s="11"/>
      <c r="D868" s="13"/>
      <c r="E868" s="11"/>
      <c r="F868" t="e">
        <f t="array" ref="F868">PROFEXHyperlinkAddress(B868:B868)</f>
        <v>#NAME?</v>
      </c>
    </row>
    <row r="869" spans="1:6">
      <c r="A869" s="11"/>
      <c r="B869" s="12"/>
      <c r="C869" s="11"/>
      <c r="D869" s="13"/>
      <c r="E869" s="11"/>
      <c r="F869" t="e">
        <f t="array" ref="F869">PROFEXHyperlinkAddress(B869:B869)</f>
        <v>#NAME?</v>
      </c>
    </row>
    <row r="870" ht="25.5" spans="1:6">
      <c r="A870" s="15"/>
      <c r="B870" s="14" t="s">
        <v>5</v>
      </c>
      <c r="C870" s="15"/>
      <c r="D870" s="16"/>
      <c r="E870" s="15"/>
      <c r="F870" t="e">
        <f t="array" ref="F870">PROFEXHyperlinkAddress(B870:B870)</f>
        <v>#NAME?</v>
      </c>
    </row>
    <row r="871" ht="180" spans="1:6">
      <c r="A871" s="17">
        <v>5331097</v>
      </c>
      <c r="B871" s="18" t="s">
        <v>336</v>
      </c>
      <c r="C871" s="17" t="s">
        <v>1</v>
      </c>
      <c r="D871" s="19" t="s">
        <v>7</v>
      </c>
      <c r="E871" s="17" t="s">
        <v>303</v>
      </c>
      <c r="F871" t="e">
        <f t="array" ref="F871">PROFEXHyperlinkAddress(B871:B871)</f>
        <v>#NAME?</v>
      </c>
    </row>
    <row r="872" spans="1:6">
      <c r="A872" s="11"/>
      <c r="B872" s="12"/>
      <c r="C872" s="11"/>
      <c r="D872" s="13"/>
      <c r="E872" s="11"/>
      <c r="F872" t="e">
        <f t="array" ref="F872">PROFEXHyperlinkAddress(B872:B872)</f>
        <v>#NAME?</v>
      </c>
    </row>
    <row r="873" ht="57.75" spans="1:6">
      <c r="A873" s="11"/>
      <c r="B873" s="14" t="s">
        <v>21</v>
      </c>
      <c r="C873" s="11"/>
      <c r="D873" s="13"/>
      <c r="E873" s="11"/>
      <c r="F873" t="e">
        <f t="array" ref="F873">PROFEXHyperlinkAddress(B873:B873)</f>
        <v>#NAME?</v>
      </c>
    </row>
    <row r="874" spans="1:6">
      <c r="A874" s="11"/>
      <c r="B874" s="12"/>
      <c r="C874" s="11"/>
      <c r="D874" s="13"/>
      <c r="E874" s="11"/>
      <c r="F874" t="e">
        <f t="array" ref="F874">PROFEXHyperlinkAddress(B874:B874)</f>
        <v>#NAME?</v>
      </c>
    </row>
    <row r="875" ht="25.5" spans="1:6">
      <c r="A875" s="15"/>
      <c r="B875" s="14" t="s">
        <v>5</v>
      </c>
      <c r="C875" s="15"/>
      <c r="D875" s="16"/>
      <c r="E875" s="15"/>
      <c r="F875" t="e">
        <f t="array" ref="F875">PROFEXHyperlinkAddress(B875:B875)</f>
        <v>#NAME?</v>
      </c>
    </row>
    <row r="876" ht="135" spans="1:6">
      <c r="A876" s="17">
        <v>5329097</v>
      </c>
      <c r="B876" s="18" t="s">
        <v>337</v>
      </c>
      <c r="C876" s="17" t="s">
        <v>1</v>
      </c>
      <c r="D876" s="19" t="s">
        <v>7</v>
      </c>
      <c r="E876" s="17" t="s">
        <v>168</v>
      </c>
      <c r="F876" t="e">
        <f t="array" ref="F876">PROFEXHyperlinkAddress(B876:B876)</f>
        <v>#NAME?</v>
      </c>
    </row>
    <row r="877" spans="1:6">
      <c r="A877" s="11"/>
      <c r="B877" s="12"/>
      <c r="C877" s="11"/>
      <c r="D877" s="13"/>
      <c r="E877" s="11"/>
      <c r="F877" t="e">
        <f t="array" ref="F877">PROFEXHyperlinkAddress(B877:B877)</f>
        <v>#NAME?</v>
      </c>
    </row>
    <row r="878" ht="57.75" spans="1:6">
      <c r="A878" s="11"/>
      <c r="B878" s="14" t="s">
        <v>4</v>
      </c>
      <c r="C878" s="11"/>
      <c r="D878" s="13"/>
      <c r="E878" s="11"/>
      <c r="F878" t="e">
        <f t="array" ref="F878">PROFEXHyperlinkAddress(B878:B878)</f>
        <v>#NAME?</v>
      </c>
    </row>
    <row r="879" spans="1:6">
      <c r="A879" s="11"/>
      <c r="B879" s="12"/>
      <c r="C879" s="11"/>
      <c r="D879" s="13"/>
      <c r="E879" s="11"/>
      <c r="F879" t="e">
        <f t="array" ref="F879">PROFEXHyperlinkAddress(B879:B879)</f>
        <v>#NAME?</v>
      </c>
    </row>
    <row r="880" ht="25.5" spans="1:6">
      <c r="A880" s="15"/>
      <c r="B880" s="14" t="s">
        <v>5</v>
      </c>
      <c r="C880" s="15"/>
      <c r="D880" s="16"/>
      <c r="E880" s="15"/>
      <c r="F880" t="e">
        <f t="array" ref="F880">PROFEXHyperlinkAddress(B880:B880)</f>
        <v>#NAME?</v>
      </c>
    </row>
    <row r="881" ht="225" spans="1:6">
      <c r="A881" s="17">
        <v>5327097</v>
      </c>
      <c r="B881" s="18" t="s">
        <v>338</v>
      </c>
      <c r="C881" s="17" t="s">
        <v>1</v>
      </c>
      <c r="D881" s="19" t="s">
        <v>7</v>
      </c>
      <c r="E881" s="17" t="s">
        <v>168</v>
      </c>
      <c r="F881" t="e">
        <f t="array" ref="F881">PROFEXHyperlinkAddress(B881:B881)</f>
        <v>#NAME?</v>
      </c>
    </row>
    <row r="882" spans="1:6">
      <c r="A882" s="11"/>
      <c r="B882" s="12"/>
      <c r="C882" s="11"/>
      <c r="D882" s="13"/>
      <c r="E882" s="11"/>
      <c r="F882" t="e">
        <f t="array" ref="F882">PROFEXHyperlinkAddress(B882:B882)</f>
        <v>#NAME?</v>
      </c>
    </row>
    <row r="883" ht="57.75" spans="1:6">
      <c r="A883" s="11"/>
      <c r="B883" s="14" t="s">
        <v>54</v>
      </c>
      <c r="C883" s="11"/>
      <c r="D883" s="13"/>
      <c r="E883" s="11"/>
      <c r="F883" t="e">
        <f t="array" ref="F883">PROFEXHyperlinkAddress(B883:B883)</f>
        <v>#NAME?</v>
      </c>
    </row>
    <row r="884" spans="1:6">
      <c r="A884" s="11"/>
      <c r="B884" s="12"/>
      <c r="C884" s="11"/>
      <c r="D884" s="13"/>
      <c r="E884" s="11"/>
      <c r="F884" t="e">
        <f t="array" ref="F884">PROFEXHyperlinkAddress(B884:B884)</f>
        <v>#NAME?</v>
      </c>
    </row>
    <row r="885" ht="25.5" spans="1:6">
      <c r="A885" s="15"/>
      <c r="B885" s="14" t="s">
        <v>5</v>
      </c>
      <c r="C885" s="15"/>
      <c r="D885" s="16"/>
      <c r="E885" s="15"/>
      <c r="F885" t="e">
        <f t="array" ref="F885">PROFEXHyperlinkAddress(B885:B885)</f>
        <v>#NAME?</v>
      </c>
    </row>
    <row r="886" ht="105" spans="1:6">
      <c r="A886" s="17">
        <v>5326097</v>
      </c>
      <c r="B886" s="18" t="s">
        <v>339</v>
      </c>
      <c r="C886" s="17" t="s">
        <v>1</v>
      </c>
      <c r="D886" s="19" t="s">
        <v>2</v>
      </c>
      <c r="E886" s="17" t="s">
        <v>340</v>
      </c>
      <c r="F886" t="e">
        <f t="array" ref="F886">PROFEXHyperlinkAddress(B886:B886)</f>
        <v>#NAME?</v>
      </c>
    </row>
    <row r="887" spans="1:6">
      <c r="A887" s="11"/>
      <c r="B887" s="12"/>
      <c r="C887" s="11"/>
      <c r="D887" s="13"/>
      <c r="E887" s="11"/>
      <c r="F887" t="e">
        <f t="array" ref="F887">PROFEXHyperlinkAddress(B887:B887)</f>
        <v>#NAME?</v>
      </c>
    </row>
    <row r="888" ht="57.75" spans="1:6">
      <c r="A888" s="11"/>
      <c r="B888" s="14" t="s">
        <v>4</v>
      </c>
      <c r="C888" s="11"/>
      <c r="D888" s="13"/>
      <c r="E888" s="11"/>
      <c r="F888" t="e">
        <f t="array" ref="F888">PROFEXHyperlinkAddress(B888:B888)</f>
        <v>#NAME?</v>
      </c>
    </row>
    <row r="889" spans="1:6">
      <c r="A889" s="11"/>
      <c r="B889" s="12"/>
      <c r="C889" s="11"/>
      <c r="D889" s="13"/>
      <c r="E889" s="11"/>
      <c r="F889" t="e">
        <f t="array" ref="F889">PROFEXHyperlinkAddress(B889:B889)</f>
        <v>#NAME?</v>
      </c>
    </row>
    <row r="890" ht="25.5" spans="1:6">
      <c r="A890" s="15"/>
      <c r="B890" s="14" t="s">
        <v>341</v>
      </c>
      <c r="C890" s="15"/>
      <c r="D890" s="16"/>
      <c r="E890" s="15"/>
      <c r="F890" t="e">
        <f t="array" ref="F890">PROFEXHyperlinkAddress(B890:B890)</f>
        <v>#NAME?</v>
      </c>
    </row>
    <row r="891" ht="165" spans="1:6">
      <c r="A891" s="17">
        <v>5325097</v>
      </c>
      <c r="B891" s="18" t="s">
        <v>342</v>
      </c>
      <c r="C891" s="17" t="s">
        <v>1</v>
      </c>
      <c r="D891" s="19" t="s">
        <v>7</v>
      </c>
      <c r="E891" s="17" t="s">
        <v>53</v>
      </c>
      <c r="F891" t="e">
        <f t="array" ref="F891">PROFEXHyperlinkAddress(B891:B891)</f>
        <v>#NAME?</v>
      </c>
    </row>
    <row r="892" spans="1:6">
      <c r="A892" s="11"/>
      <c r="B892" s="12"/>
      <c r="C892" s="11"/>
      <c r="D892" s="13"/>
      <c r="E892" s="11"/>
      <c r="F892" t="e">
        <f t="array" ref="F892">PROFEXHyperlinkAddress(B892:B892)</f>
        <v>#NAME?</v>
      </c>
    </row>
    <row r="893" ht="57.75" spans="1:6">
      <c r="A893" s="11"/>
      <c r="B893" s="14" t="s">
        <v>54</v>
      </c>
      <c r="C893" s="11"/>
      <c r="D893" s="13"/>
      <c r="E893" s="11"/>
      <c r="F893" t="e">
        <f t="array" ref="F893">PROFEXHyperlinkAddress(B893:B893)</f>
        <v>#NAME?</v>
      </c>
    </row>
    <row r="894" spans="1:6">
      <c r="A894" s="11"/>
      <c r="B894" s="12"/>
      <c r="C894" s="11"/>
      <c r="D894" s="13"/>
      <c r="E894" s="11"/>
      <c r="F894" t="e">
        <f t="array" ref="F894">PROFEXHyperlinkAddress(B894:B894)</f>
        <v>#NAME?</v>
      </c>
    </row>
    <row r="895" ht="25.5" spans="1:6">
      <c r="A895" s="15"/>
      <c r="B895" s="14" t="s">
        <v>5</v>
      </c>
      <c r="C895" s="15"/>
      <c r="D895" s="16"/>
      <c r="E895" s="15"/>
      <c r="F895" t="e">
        <f t="array" ref="F895">PROFEXHyperlinkAddress(B895:B895)</f>
        <v>#NAME?</v>
      </c>
    </row>
    <row r="896" ht="150" spans="1:6">
      <c r="A896" s="17">
        <v>5324097</v>
      </c>
      <c r="B896" s="18" t="s">
        <v>343</v>
      </c>
      <c r="C896" s="17" t="s">
        <v>1</v>
      </c>
      <c r="D896" s="19" t="s">
        <v>7</v>
      </c>
      <c r="E896" s="17" t="s">
        <v>318</v>
      </c>
      <c r="F896" t="e">
        <f t="array" ref="F896">PROFEXHyperlinkAddress(B896:B896)</f>
        <v>#NAME?</v>
      </c>
    </row>
    <row r="897" spans="1:6">
      <c r="A897" s="11"/>
      <c r="B897" s="12"/>
      <c r="C897" s="11"/>
      <c r="D897" s="13"/>
      <c r="E897" s="11"/>
      <c r="F897" t="e">
        <f t="array" ref="F897">PROFEXHyperlinkAddress(B897:B897)</f>
        <v>#NAME?</v>
      </c>
    </row>
    <row r="898" ht="57.75" spans="1:6">
      <c r="A898" s="11"/>
      <c r="B898" s="14" t="s">
        <v>4</v>
      </c>
      <c r="C898" s="11"/>
      <c r="D898" s="13"/>
      <c r="E898" s="11"/>
      <c r="F898" t="e">
        <f t="array" ref="F898">PROFEXHyperlinkAddress(B898:B898)</f>
        <v>#NAME?</v>
      </c>
    </row>
    <row r="899" spans="1:6">
      <c r="A899" s="11"/>
      <c r="B899" s="12"/>
      <c r="C899" s="11"/>
      <c r="D899" s="13"/>
      <c r="E899" s="11"/>
      <c r="F899" t="e">
        <f t="array" ref="F899">PROFEXHyperlinkAddress(B899:B899)</f>
        <v>#NAME?</v>
      </c>
    </row>
    <row r="900" ht="25.5" spans="1:6">
      <c r="A900" s="15"/>
      <c r="B900" s="14" t="s">
        <v>5</v>
      </c>
      <c r="C900" s="15"/>
      <c r="D900" s="16"/>
      <c r="E900" s="15"/>
      <c r="F900" t="e">
        <f t="array" ref="F900">PROFEXHyperlinkAddress(B900:B900)</f>
        <v>#NAME?</v>
      </c>
    </row>
    <row r="901" ht="105" spans="1:6">
      <c r="A901" s="17">
        <v>5320097</v>
      </c>
      <c r="B901" s="18" t="s">
        <v>344</v>
      </c>
      <c r="C901" s="17" t="s">
        <v>1</v>
      </c>
      <c r="D901" s="19" t="s">
        <v>7</v>
      </c>
      <c r="E901" s="17" t="s">
        <v>168</v>
      </c>
      <c r="F901" t="e">
        <f t="array" ref="F901">PROFEXHyperlinkAddress(B901:B901)</f>
        <v>#NAME?</v>
      </c>
    </row>
    <row r="902" spans="1:6">
      <c r="A902" s="11"/>
      <c r="B902" s="12"/>
      <c r="C902" s="11"/>
      <c r="D902" s="13"/>
      <c r="E902" s="11"/>
      <c r="F902" t="e">
        <f t="array" ref="F902">PROFEXHyperlinkAddress(B902:B902)</f>
        <v>#NAME?</v>
      </c>
    </row>
    <row r="903" ht="57.75" spans="1:6">
      <c r="A903" s="11"/>
      <c r="B903" s="14" t="s">
        <v>4</v>
      </c>
      <c r="C903" s="11"/>
      <c r="D903" s="13"/>
      <c r="E903" s="11"/>
      <c r="F903" t="e">
        <f t="array" ref="F903">PROFEXHyperlinkAddress(B903:B903)</f>
        <v>#NAME?</v>
      </c>
    </row>
    <row r="904" spans="1:6">
      <c r="A904" s="11"/>
      <c r="B904" s="12"/>
      <c r="C904" s="11"/>
      <c r="D904" s="13"/>
      <c r="E904" s="11"/>
      <c r="F904" t="e">
        <f t="array" ref="F904">PROFEXHyperlinkAddress(B904:B904)</f>
        <v>#NAME?</v>
      </c>
    </row>
    <row r="905" ht="25.5" spans="1:6">
      <c r="A905" s="15"/>
      <c r="B905" s="14" t="s">
        <v>5</v>
      </c>
      <c r="C905" s="15"/>
      <c r="D905" s="16"/>
      <c r="E905" s="15"/>
      <c r="F905" t="e">
        <f t="array" ref="F905">PROFEXHyperlinkAddress(B905:B905)</f>
        <v>#NAME?</v>
      </c>
    </row>
    <row r="906" ht="105" spans="1:6">
      <c r="A906" s="17">
        <v>5319097</v>
      </c>
      <c r="B906" s="18" t="s">
        <v>345</v>
      </c>
      <c r="C906" s="17" t="s">
        <v>1</v>
      </c>
      <c r="D906" s="19" t="s">
        <v>2</v>
      </c>
      <c r="E906" s="17" t="s">
        <v>20</v>
      </c>
      <c r="F906" t="e">
        <f t="array" ref="F906">PROFEXHyperlinkAddress(B906:B906)</f>
        <v>#NAME?</v>
      </c>
    </row>
    <row r="907" spans="1:6">
      <c r="A907" s="11"/>
      <c r="B907" s="12"/>
      <c r="C907" s="11"/>
      <c r="D907" s="13"/>
      <c r="E907" s="11"/>
      <c r="F907" t="e">
        <f t="array" ref="F907">PROFEXHyperlinkAddress(B907:B907)</f>
        <v>#NAME?</v>
      </c>
    </row>
    <row r="908" ht="57.75" spans="1:6">
      <c r="A908" s="11"/>
      <c r="B908" s="14" t="s">
        <v>4</v>
      </c>
      <c r="C908" s="11"/>
      <c r="D908" s="13"/>
      <c r="E908" s="11"/>
      <c r="F908" t="e">
        <f t="array" ref="F908">PROFEXHyperlinkAddress(B908:B908)</f>
        <v>#NAME?</v>
      </c>
    </row>
    <row r="909" spans="1:6">
      <c r="A909" s="11"/>
      <c r="B909" s="12"/>
      <c r="C909" s="11"/>
      <c r="D909" s="13"/>
      <c r="E909" s="11"/>
      <c r="F909" t="e">
        <f t="array" ref="F909">PROFEXHyperlinkAddress(B909:B909)</f>
        <v>#NAME?</v>
      </c>
    </row>
    <row r="910" ht="25.5" spans="1:6">
      <c r="A910" s="15"/>
      <c r="B910" s="14" t="s">
        <v>5</v>
      </c>
      <c r="C910" s="15"/>
      <c r="D910" s="16"/>
      <c r="E910" s="15"/>
      <c r="F910" t="e">
        <f t="array" ref="F910">PROFEXHyperlinkAddress(B910:B910)</f>
        <v>#NAME?</v>
      </c>
    </row>
    <row r="911" ht="90" spans="1:6">
      <c r="A911" s="17">
        <v>5318097</v>
      </c>
      <c r="B911" s="18" t="s">
        <v>346</v>
      </c>
      <c r="C911" s="17" t="s">
        <v>1</v>
      </c>
      <c r="D911" s="19" t="s">
        <v>2</v>
      </c>
      <c r="E911" s="17" t="s">
        <v>347</v>
      </c>
      <c r="F911" t="e">
        <f t="array" ref="F911">PROFEXHyperlinkAddress(B911:B911)</f>
        <v>#NAME?</v>
      </c>
    </row>
    <row r="912" spans="1:6">
      <c r="A912" s="11"/>
      <c r="B912" s="12"/>
      <c r="C912" s="11"/>
      <c r="D912" s="13"/>
      <c r="E912" s="11"/>
      <c r="F912" t="e">
        <f t="array" ref="F912">PROFEXHyperlinkAddress(B912:B912)</f>
        <v>#NAME?</v>
      </c>
    </row>
    <row r="913" ht="57.75" spans="1:6">
      <c r="A913" s="11"/>
      <c r="B913" s="14" t="s">
        <v>4</v>
      </c>
      <c r="C913" s="11"/>
      <c r="D913" s="13"/>
      <c r="E913" s="11"/>
      <c r="F913" t="e">
        <f t="array" ref="F913">PROFEXHyperlinkAddress(B913:B913)</f>
        <v>#NAME?</v>
      </c>
    </row>
    <row r="914" spans="1:6">
      <c r="A914" s="11"/>
      <c r="B914" s="12"/>
      <c r="C914" s="11"/>
      <c r="D914" s="13"/>
      <c r="E914" s="11"/>
      <c r="F914" t="e">
        <f t="array" ref="F914">PROFEXHyperlinkAddress(B914:B914)</f>
        <v>#NAME?</v>
      </c>
    </row>
    <row r="915" ht="25.5" spans="1:6">
      <c r="A915" s="15"/>
      <c r="B915" s="14" t="s">
        <v>5</v>
      </c>
      <c r="C915" s="15"/>
      <c r="D915" s="16"/>
      <c r="E915" s="15"/>
      <c r="F915" t="e">
        <f t="array" ref="F915">PROFEXHyperlinkAddress(B915:B915)</f>
        <v>#NAME?</v>
      </c>
    </row>
    <row r="916" ht="60" spans="1:6">
      <c r="A916" s="17">
        <v>5316097</v>
      </c>
      <c r="B916" s="18" t="s">
        <v>348</v>
      </c>
      <c r="C916" s="17" t="s">
        <v>1</v>
      </c>
      <c r="D916" s="19" t="s">
        <v>2</v>
      </c>
      <c r="E916" s="17" t="s">
        <v>349</v>
      </c>
      <c r="F916" t="e">
        <f t="array" ref="F916">PROFEXHyperlinkAddress(B916:B916)</f>
        <v>#NAME?</v>
      </c>
    </row>
    <row r="917" spans="1:6">
      <c r="A917" s="11"/>
      <c r="B917" s="12"/>
      <c r="C917" s="11"/>
      <c r="D917" s="13"/>
      <c r="E917" s="11"/>
      <c r="F917" t="e">
        <f t="array" ref="F917">PROFEXHyperlinkAddress(B917:B917)</f>
        <v>#NAME?</v>
      </c>
    </row>
    <row r="918" ht="57.75" spans="1:6">
      <c r="A918" s="11"/>
      <c r="B918" s="14" t="s">
        <v>4</v>
      </c>
      <c r="C918" s="11"/>
      <c r="D918" s="13"/>
      <c r="E918" s="11"/>
      <c r="F918" t="e">
        <f t="array" ref="F918">PROFEXHyperlinkAddress(B918:B918)</f>
        <v>#NAME?</v>
      </c>
    </row>
    <row r="919" spans="1:6">
      <c r="A919" s="11"/>
      <c r="B919" s="12"/>
      <c r="C919" s="11"/>
      <c r="D919" s="13"/>
      <c r="E919" s="11"/>
      <c r="F919" t="e">
        <f t="array" ref="F919">PROFEXHyperlinkAddress(B919:B919)</f>
        <v>#NAME?</v>
      </c>
    </row>
    <row r="920" ht="25.5" spans="1:6">
      <c r="A920" s="15"/>
      <c r="B920" s="14" t="s">
        <v>5</v>
      </c>
      <c r="C920" s="15"/>
      <c r="D920" s="16"/>
      <c r="E920" s="15"/>
      <c r="F920" t="e">
        <f t="array" ref="F920">PROFEXHyperlinkAddress(B920:B920)</f>
        <v>#NAME?</v>
      </c>
    </row>
    <row r="921" ht="165" spans="1:6">
      <c r="A921" s="17">
        <v>5314097</v>
      </c>
      <c r="B921" s="18" t="s">
        <v>350</v>
      </c>
      <c r="C921" s="17" t="s">
        <v>1</v>
      </c>
      <c r="D921" s="19" t="s">
        <v>2</v>
      </c>
      <c r="E921" s="17" t="s">
        <v>351</v>
      </c>
      <c r="F921" t="e">
        <f t="array" ref="F921">PROFEXHyperlinkAddress(B921:B921)</f>
        <v>#NAME?</v>
      </c>
    </row>
    <row r="922" spans="1:6">
      <c r="A922" s="11"/>
      <c r="B922" s="12"/>
      <c r="C922" s="11"/>
      <c r="D922" s="13"/>
      <c r="E922" s="11"/>
      <c r="F922" t="e">
        <f t="array" ref="F922">PROFEXHyperlinkAddress(B922:B922)</f>
        <v>#NAME?</v>
      </c>
    </row>
    <row r="923" ht="57.75" spans="1:6">
      <c r="A923" s="11"/>
      <c r="B923" s="14" t="s">
        <v>4</v>
      </c>
      <c r="C923" s="11"/>
      <c r="D923" s="13"/>
      <c r="E923" s="11"/>
      <c r="F923" t="e">
        <f t="array" ref="F923">PROFEXHyperlinkAddress(B923:B923)</f>
        <v>#NAME?</v>
      </c>
    </row>
    <row r="924" spans="1:6">
      <c r="A924" s="11"/>
      <c r="B924" s="12"/>
      <c r="C924" s="11"/>
      <c r="D924" s="13"/>
      <c r="E924" s="11"/>
      <c r="F924" t="e">
        <f t="array" ref="F924">PROFEXHyperlinkAddress(B924:B924)</f>
        <v>#NAME?</v>
      </c>
    </row>
    <row r="925" ht="25.5" spans="1:6">
      <c r="A925" s="15"/>
      <c r="B925" s="14" t="s">
        <v>352</v>
      </c>
      <c r="C925" s="15"/>
      <c r="D925" s="16"/>
      <c r="E925" s="15"/>
      <c r="F925" t="e">
        <f t="array" ref="F925">PROFEXHyperlinkAddress(B925:B925)</f>
        <v>#NAME?</v>
      </c>
    </row>
    <row r="926" ht="180" spans="1:6">
      <c r="A926" s="17">
        <v>5292097</v>
      </c>
      <c r="B926" s="18" t="s">
        <v>353</v>
      </c>
      <c r="C926" s="17" t="s">
        <v>1</v>
      </c>
      <c r="D926" s="19" t="s">
        <v>2</v>
      </c>
      <c r="E926" s="17" t="s">
        <v>354</v>
      </c>
      <c r="F926" t="e">
        <f t="array" ref="F926">PROFEXHyperlinkAddress(B926:B926)</f>
        <v>#NAME?</v>
      </c>
    </row>
    <row r="927" spans="1:6">
      <c r="A927" s="11"/>
      <c r="B927" s="12"/>
      <c r="C927" s="11"/>
      <c r="D927" s="13"/>
      <c r="E927" s="11"/>
      <c r="F927" t="e">
        <f t="array" ref="F927">PROFEXHyperlinkAddress(B927:B927)</f>
        <v>#NAME?</v>
      </c>
    </row>
    <row r="928" ht="57.75" spans="1:6">
      <c r="A928" s="11"/>
      <c r="B928" s="14" t="s">
        <v>16</v>
      </c>
      <c r="C928" s="11"/>
      <c r="D928" s="13"/>
      <c r="E928" s="11"/>
      <c r="F928" t="e">
        <f t="array" ref="F928">PROFEXHyperlinkAddress(B928:B928)</f>
        <v>#NAME?</v>
      </c>
    </row>
    <row r="929" spans="1:6">
      <c r="A929" s="11"/>
      <c r="B929" s="12"/>
      <c r="C929" s="11"/>
      <c r="D929" s="13"/>
      <c r="E929" s="11"/>
      <c r="F929" t="e">
        <f t="array" ref="F929">PROFEXHyperlinkAddress(B929:B929)</f>
        <v>#NAME?</v>
      </c>
    </row>
    <row r="930" ht="25.5" spans="1:6">
      <c r="A930" s="15"/>
      <c r="B930" s="14" t="s">
        <v>5</v>
      </c>
      <c r="C930" s="15"/>
      <c r="D930" s="16"/>
      <c r="E930" s="15"/>
      <c r="F930" t="e">
        <f t="array" ref="F930">PROFEXHyperlinkAddress(B930:B930)</f>
        <v>#NAME?</v>
      </c>
    </row>
    <row r="931" ht="300" spans="1:6">
      <c r="A931" s="17">
        <v>5291097</v>
      </c>
      <c r="B931" s="18" t="s">
        <v>355</v>
      </c>
      <c r="C931" s="17" t="s">
        <v>149</v>
      </c>
      <c r="D931" s="19" t="s">
        <v>76</v>
      </c>
      <c r="E931" s="17" t="s">
        <v>321</v>
      </c>
      <c r="F931" t="e">
        <f t="array" ref="F931">PROFEXHyperlinkAddress(B931:B931)</f>
        <v>#NAME?</v>
      </c>
    </row>
    <row r="932" spans="1:6">
      <c r="A932" s="11"/>
      <c r="B932" s="12"/>
      <c r="C932" s="11"/>
      <c r="D932" s="13"/>
      <c r="E932" s="11"/>
      <c r="F932" t="e">
        <f t="array" ref="F932">PROFEXHyperlinkAddress(B932:B932)</f>
        <v>#NAME?</v>
      </c>
    </row>
    <row r="933" ht="49.5" spans="1:6">
      <c r="A933" s="11"/>
      <c r="B933" s="14" t="s">
        <v>322</v>
      </c>
      <c r="C933" s="11"/>
      <c r="D933" s="13"/>
      <c r="E933" s="11"/>
      <c r="F933" t="e">
        <f t="array" ref="F933">PROFEXHyperlinkAddress(B933:B933)</f>
        <v>#NAME?</v>
      </c>
    </row>
    <row r="934" spans="1:6">
      <c r="A934" s="11"/>
      <c r="B934" s="12"/>
      <c r="C934" s="11"/>
      <c r="D934" s="13"/>
      <c r="E934" s="11"/>
      <c r="F934" t="e">
        <f t="array" ref="F934">PROFEXHyperlinkAddress(B934:B934)</f>
        <v>#NAME?</v>
      </c>
    </row>
    <row r="935" ht="25.5" spans="1:6">
      <c r="A935" s="15"/>
      <c r="B935" s="14" t="s">
        <v>5</v>
      </c>
      <c r="C935" s="15"/>
      <c r="D935" s="16"/>
      <c r="E935" s="15"/>
      <c r="F935" t="e">
        <f t="array" ref="F935">PROFEXHyperlinkAddress(B935:B935)</f>
        <v>#NAME?</v>
      </c>
    </row>
    <row r="936" ht="270" spans="1:6">
      <c r="A936" s="17">
        <v>5289097</v>
      </c>
      <c r="B936" s="18" t="s">
        <v>356</v>
      </c>
      <c r="C936" s="17" t="s">
        <v>149</v>
      </c>
      <c r="D936" s="19" t="s">
        <v>76</v>
      </c>
      <c r="E936" s="17" t="s">
        <v>321</v>
      </c>
      <c r="F936" t="e">
        <f t="array" ref="F936">PROFEXHyperlinkAddress(B936:B936)</f>
        <v>#NAME?</v>
      </c>
    </row>
    <row r="937" spans="1:6">
      <c r="A937" s="11"/>
      <c r="B937" s="12"/>
      <c r="C937" s="11"/>
      <c r="D937" s="13"/>
      <c r="E937" s="11"/>
      <c r="F937" t="e">
        <f t="array" ref="F937">PROFEXHyperlinkAddress(B937:B937)</f>
        <v>#NAME?</v>
      </c>
    </row>
    <row r="938" ht="49.5" spans="1:6">
      <c r="A938" s="11"/>
      <c r="B938" s="14" t="s">
        <v>78</v>
      </c>
      <c r="C938" s="11"/>
      <c r="D938" s="13"/>
      <c r="E938" s="11"/>
      <c r="F938" t="e">
        <f t="array" ref="F938">PROFEXHyperlinkAddress(B938:B938)</f>
        <v>#NAME?</v>
      </c>
    </row>
    <row r="939" spans="1:6">
      <c r="A939" s="11"/>
      <c r="B939" s="12"/>
      <c r="C939" s="11"/>
      <c r="D939" s="13"/>
      <c r="E939" s="11"/>
      <c r="F939" t="e">
        <f t="array" ref="F939">PROFEXHyperlinkAddress(B939:B939)</f>
        <v>#NAME?</v>
      </c>
    </row>
    <row r="940" ht="25.5" spans="1:6">
      <c r="A940" s="15"/>
      <c r="B940" s="14" t="s">
        <v>5</v>
      </c>
      <c r="C940" s="15"/>
      <c r="D940" s="16"/>
      <c r="E940" s="15"/>
      <c r="F940" t="e">
        <f t="array" ref="F940">PROFEXHyperlinkAddress(B940:B940)</f>
        <v>#NAME?</v>
      </c>
    </row>
    <row r="941" ht="90" spans="1:6">
      <c r="A941" s="17">
        <v>5288097</v>
      </c>
      <c r="B941" s="18" t="s">
        <v>357</v>
      </c>
      <c r="C941" s="17" t="s">
        <v>1</v>
      </c>
      <c r="D941" s="19" t="s">
        <v>2</v>
      </c>
      <c r="E941" s="17" t="s">
        <v>358</v>
      </c>
      <c r="F941" t="e">
        <f t="array" ref="F941">PROFEXHyperlinkAddress(B941:B941)</f>
        <v>#NAME?</v>
      </c>
    </row>
    <row r="942" spans="1:6">
      <c r="A942" s="11"/>
      <c r="B942" s="12"/>
      <c r="C942" s="11"/>
      <c r="D942" s="13"/>
      <c r="E942" s="11"/>
      <c r="F942" t="e">
        <f t="array" ref="F942">PROFEXHyperlinkAddress(B942:B942)</f>
        <v>#NAME?</v>
      </c>
    </row>
    <row r="943" ht="57.75" spans="1:6">
      <c r="A943" s="11"/>
      <c r="B943" s="14" t="s">
        <v>21</v>
      </c>
      <c r="C943" s="11"/>
      <c r="D943" s="13"/>
      <c r="E943" s="11"/>
      <c r="F943" t="e">
        <f t="array" ref="F943">PROFEXHyperlinkAddress(B943:B943)</f>
        <v>#NAME?</v>
      </c>
    </row>
    <row r="944" spans="1:6">
      <c r="A944" s="11"/>
      <c r="B944" s="12"/>
      <c r="C944" s="11"/>
      <c r="D944" s="13"/>
      <c r="E944" s="11"/>
      <c r="F944" t="e">
        <f t="array" ref="F944">PROFEXHyperlinkAddress(B944:B944)</f>
        <v>#NAME?</v>
      </c>
    </row>
    <row r="945" ht="25.5" spans="1:6">
      <c r="A945" s="15"/>
      <c r="B945" s="14" t="s">
        <v>359</v>
      </c>
      <c r="C945" s="15"/>
      <c r="D945" s="16"/>
      <c r="E945" s="15"/>
      <c r="F945" t="e">
        <f t="array" ref="F945">PROFEXHyperlinkAddress(B945:B945)</f>
        <v>#NAME?</v>
      </c>
    </row>
    <row r="946" ht="150" spans="1:6">
      <c r="A946" s="17">
        <v>5285097</v>
      </c>
      <c r="B946" s="18" t="s">
        <v>360</v>
      </c>
      <c r="C946" s="17" t="s">
        <v>361</v>
      </c>
      <c r="D946" s="19" t="s">
        <v>2</v>
      </c>
      <c r="E946" s="17" t="s">
        <v>362</v>
      </c>
      <c r="F946" t="e">
        <f t="array" ref="F946">PROFEXHyperlinkAddress(B946:B946)</f>
        <v>#NAME?</v>
      </c>
    </row>
    <row r="947" spans="1:6">
      <c r="A947" s="11"/>
      <c r="B947" s="12"/>
      <c r="C947" s="11"/>
      <c r="D947" s="13"/>
      <c r="E947" s="11"/>
      <c r="F947" t="e">
        <f t="array" ref="F947">PROFEXHyperlinkAddress(B947:B947)</f>
        <v>#NAME?</v>
      </c>
    </row>
    <row r="948" ht="57.75" spans="1:6">
      <c r="A948" s="11"/>
      <c r="B948" s="14" t="s">
        <v>16</v>
      </c>
      <c r="C948" s="11"/>
      <c r="D948" s="13"/>
      <c r="E948" s="11"/>
      <c r="F948" t="e">
        <f t="array" ref="F948">PROFEXHyperlinkAddress(B948:B948)</f>
        <v>#NAME?</v>
      </c>
    </row>
    <row r="949" spans="1:6">
      <c r="A949" s="11"/>
      <c r="B949" s="12"/>
      <c r="C949" s="11"/>
      <c r="D949" s="13"/>
      <c r="E949" s="11"/>
      <c r="F949" t="e">
        <f t="array" ref="F949">PROFEXHyperlinkAddress(B949:B949)</f>
        <v>#NAME?</v>
      </c>
    </row>
    <row r="950" ht="25.5" spans="1:6">
      <c r="A950" s="15"/>
      <c r="B950" s="14" t="s">
        <v>5</v>
      </c>
      <c r="C950" s="15"/>
      <c r="D950" s="16"/>
      <c r="E950" s="15"/>
      <c r="F950" t="e">
        <f t="array" ref="F950">PROFEXHyperlinkAddress(B950:B950)</f>
        <v>#NAME?</v>
      </c>
    </row>
    <row r="951" ht="165" spans="1:6">
      <c r="A951" s="17">
        <v>5281097</v>
      </c>
      <c r="B951" s="18" t="s">
        <v>363</v>
      </c>
      <c r="C951" s="17" t="s">
        <v>1</v>
      </c>
      <c r="D951" s="19" t="s">
        <v>7</v>
      </c>
      <c r="E951" s="17" t="s">
        <v>223</v>
      </c>
      <c r="F951" t="e">
        <f t="array" ref="F951">PROFEXHyperlinkAddress(B951:B951)</f>
        <v>#NAME?</v>
      </c>
    </row>
    <row r="952" spans="1:6">
      <c r="A952" s="11"/>
      <c r="B952" s="12"/>
      <c r="C952" s="11"/>
      <c r="D952" s="13"/>
      <c r="E952" s="11"/>
      <c r="F952" t="e">
        <f t="array" ref="F952">PROFEXHyperlinkAddress(B952:B952)</f>
        <v>#NAME?</v>
      </c>
    </row>
    <row r="953" ht="49.5" spans="1:6">
      <c r="A953" s="11"/>
      <c r="B953" s="14" t="s">
        <v>188</v>
      </c>
      <c r="C953" s="11"/>
      <c r="D953" s="13"/>
      <c r="E953" s="11"/>
      <c r="F953" t="e">
        <f t="array" ref="F953">PROFEXHyperlinkAddress(B953:B953)</f>
        <v>#NAME?</v>
      </c>
    </row>
    <row r="954" spans="1:6">
      <c r="A954" s="11"/>
      <c r="B954" s="12"/>
      <c r="C954" s="11"/>
      <c r="D954" s="13"/>
      <c r="E954" s="11"/>
      <c r="F954" t="e">
        <f t="array" ref="F954">PROFEXHyperlinkAddress(B954:B954)</f>
        <v>#NAME?</v>
      </c>
    </row>
    <row r="955" ht="25.5" spans="1:6">
      <c r="A955" s="15"/>
      <c r="B955" s="14" t="s">
        <v>5</v>
      </c>
      <c r="C955" s="15"/>
      <c r="D955" s="16"/>
      <c r="E955" s="15"/>
      <c r="F955" t="e">
        <f t="array" ref="F955">PROFEXHyperlinkAddress(B955:B955)</f>
        <v>#NAME?</v>
      </c>
    </row>
    <row r="956" ht="225" spans="1:6">
      <c r="A956" s="17">
        <v>5279097</v>
      </c>
      <c r="B956" s="18" t="s">
        <v>184</v>
      </c>
      <c r="C956" s="17" t="s">
        <v>1</v>
      </c>
      <c r="D956" s="19" t="s">
        <v>2</v>
      </c>
      <c r="E956" s="17" t="s">
        <v>364</v>
      </c>
      <c r="F956" t="e">
        <f t="array" ref="F956">PROFEXHyperlinkAddress(B956:B956)</f>
        <v>#NAME?</v>
      </c>
    </row>
    <row r="957" spans="1:6">
      <c r="A957" s="11"/>
      <c r="B957" s="12"/>
      <c r="C957" s="11"/>
      <c r="D957" s="13"/>
      <c r="E957" s="11"/>
      <c r="F957" t="e">
        <f t="array" ref="F957">PROFEXHyperlinkAddress(B957:B957)</f>
        <v>#NAME?</v>
      </c>
    </row>
    <row r="958" ht="49.5" spans="1:6">
      <c r="A958" s="11"/>
      <c r="B958" s="14" t="s">
        <v>78</v>
      </c>
      <c r="C958" s="11"/>
      <c r="D958" s="13"/>
      <c r="E958" s="11"/>
      <c r="F958" t="e">
        <f t="array" ref="F958">PROFEXHyperlinkAddress(B958:B958)</f>
        <v>#NAME?</v>
      </c>
    </row>
    <row r="959" spans="1:6">
      <c r="A959" s="11"/>
      <c r="B959" s="12"/>
      <c r="C959" s="11"/>
      <c r="D959" s="13"/>
      <c r="E959" s="11"/>
      <c r="F959" t="e">
        <f t="array" ref="F959">PROFEXHyperlinkAddress(B959:B959)</f>
        <v>#NAME?</v>
      </c>
    </row>
    <row r="960" ht="25.5" spans="1:6">
      <c r="A960" s="15"/>
      <c r="B960" s="14" t="s">
        <v>5</v>
      </c>
      <c r="C960" s="15"/>
      <c r="D960" s="16"/>
      <c r="E960" s="15"/>
      <c r="F960" t="e">
        <f t="array" ref="F960">PROFEXHyperlinkAddress(B960:B960)</f>
        <v>#NAME?</v>
      </c>
    </row>
    <row r="961" ht="75" spans="1:6">
      <c r="A961" s="17">
        <v>5275097</v>
      </c>
      <c r="B961" s="18" t="s">
        <v>365</v>
      </c>
      <c r="C961" s="17" t="s">
        <v>1</v>
      </c>
      <c r="D961" s="19" t="s">
        <v>2</v>
      </c>
      <c r="E961" s="17" t="s">
        <v>366</v>
      </c>
      <c r="F961" t="e">
        <f t="array" ref="F961">PROFEXHyperlinkAddress(B961:B961)</f>
        <v>#NAME?</v>
      </c>
    </row>
    <row r="962" spans="1:6">
      <c r="A962" s="11"/>
      <c r="B962" s="12"/>
      <c r="C962" s="11"/>
      <c r="D962" s="13"/>
      <c r="E962" s="11"/>
      <c r="F962" t="e">
        <f t="array" ref="F962">PROFEXHyperlinkAddress(B962:B962)</f>
        <v>#NAME?</v>
      </c>
    </row>
    <row r="963" ht="57.75" spans="1:6">
      <c r="A963" s="11"/>
      <c r="B963" s="14" t="s">
        <v>21</v>
      </c>
      <c r="C963" s="11"/>
      <c r="D963" s="13"/>
      <c r="E963" s="11"/>
      <c r="F963" t="e">
        <f t="array" ref="F963">PROFEXHyperlinkAddress(B963:B963)</f>
        <v>#NAME?</v>
      </c>
    </row>
    <row r="964" spans="1:6">
      <c r="A964" s="11"/>
      <c r="B964" s="12"/>
      <c r="C964" s="11"/>
      <c r="D964" s="13"/>
      <c r="E964" s="11"/>
      <c r="F964" t="e">
        <f t="array" ref="F964">PROFEXHyperlinkAddress(B964:B964)</f>
        <v>#NAME?</v>
      </c>
    </row>
    <row r="965" ht="25.5" spans="1:6">
      <c r="A965" s="15"/>
      <c r="B965" s="14" t="s">
        <v>5</v>
      </c>
      <c r="C965" s="15"/>
      <c r="D965" s="16"/>
      <c r="E965" s="15"/>
      <c r="F965" t="e">
        <f t="array" ref="F965">PROFEXHyperlinkAddress(B965:B965)</f>
        <v>#NAME?</v>
      </c>
    </row>
    <row r="966" ht="330" spans="1:6">
      <c r="A966" s="17">
        <v>5269097</v>
      </c>
      <c r="B966" s="18" t="s">
        <v>367</v>
      </c>
      <c r="C966" s="17" t="s">
        <v>1</v>
      </c>
      <c r="D966" s="19" t="s">
        <v>2</v>
      </c>
      <c r="E966" s="17" t="s">
        <v>48</v>
      </c>
      <c r="F966" t="e">
        <f t="array" ref="F966">PROFEXHyperlinkAddress(B966:B966)</f>
        <v>#NAME?</v>
      </c>
    </row>
    <row r="967" spans="1:6">
      <c r="A967" s="11"/>
      <c r="B967" s="12"/>
      <c r="C967" s="11"/>
      <c r="D967" s="13"/>
      <c r="E967" s="11"/>
      <c r="F967" t="e">
        <f t="array" ref="F967">PROFEXHyperlinkAddress(B967:B967)</f>
        <v>#NAME?</v>
      </c>
    </row>
    <row r="968" ht="57.75" spans="1:6">
      <c r="A968" s="11"/>
      <c r="B968" s="14" t="s">
        <v>16</v>
      </c>
      <c r="C968" s="11"/>
      <c r="D968" s="13"/>
      <c r="E968" s="11"/>
      <c r="F968" t="e">
        <f t="array" ref="F968">PROFEXHyperlinkAddress(B968:B968)</f>
        <v>#NAME?</v>
      </c>
    </row>
    <row r="969" spans="1:6">
      <c r="A969" s="11"/>
      <c r="B969" s="12"/>
      <c r="C969" s="11"/>
      <c r="D969" s="13"/>
      <c r="E969" s="11"/>
      <c r="F969" t="e">
        <f t="array" ref="F969">PROFEXHyperlinkAddress(B969:B969)</f>
        <v>#NAME?</v>
      </c>
    </row>
    <row r="970" ht="25.5" spans="1:6">
      <c r="A970" s="15"/>
      <c r="B970" s="14" t="s">
        <v>368</v>
      </c>
      <c r="C970" s="15"/>
      <c r="D970" s="16"/>
      <c r="E970" s="15"/>
      <c r="F970" t="e">
        <f t="array" ref="F970">PROFEXHyperlinkAddress(B970:B970)</f>
        <v>#NAME?</v>
      </c>
    </row>
    <row r="971" ht="285" spans="1:6">
      <c r="A971" s="17">
        <v>5268097</v>
      </c>
      <c r="B971" s="18" t="s">
        <v>369</v>
      </c>
      <c r="C971" s="17" t="s">
        <v>1</v>
      </c>
      <c r="D971" s="19" t="s">
        <v>2</v>
      </c>
      <c r="E971" s="17" t="s">
        <v>370</v>
      </c>
      <c r="F971" t="e">
        <f t="array" ref="F971">PROFEXHyperlinkAddress(B971:B971)</f>
        <v>#NAME?</v>
      </c>
    </row>
    <row r="972" spans="1:6">
      <c r="A972" s="11"/>
      <c r="B972" s="12"/>
      <c r="C972" s="11"/>
      <c r="D972" s="13"/>
      <c r="E972" s="11"/>
      <c r="F972" t="e">
        <f t="array" ref="F972">PROFEXHyperlinkAddress(B972:B972)</f>
        <v>#NAME?</v>
      </c>
    </row>
    <row r="973" ht="57.75" spans="1:6">
      <c r="A973" s="11"/>
      <c r="B973" s="14" t="s">
        <v>21</v>
      </c>
      <c r="C973" s="11"/>
      <c r="D973" s="13"/>
      <c r="E973" s="11"/>
      <c r="F973" t="e">
        <f t="array" ref="F973">PROFEXHyperlinkAddress(B973:B973)</f>
        <v>#NAME?</v>
      </c>
    </row>
    <row r="974" spans="1:6">
      <c r="A974" s="11"/>
      <c r="B974" s="12"/>
      <c r="C974" s="11"/>
      <c r="D974" s="13"/>
      <c r="E974" s="11"/>
      <c r="F974" t="e">
        <f t="array" ref="F974">PROFEXHyperlinkAddress(B974:B974)</f>
        <v>#NAME?</v>
      </c>
    </row>
    <row r="975" ht="25.5" spans="1:6">
      <c r="A975" s="15"/>
      <c r="B975" s="14" t="s">
        <v>5</v>
      </c>
      <c r="C975" s="15"/>
      <c r="D975" s="16"/>
      <c r="E975" s="15"/>
      <c r="F975" t="e">
        <f t="array" ref="F975">PROFEXHyperlinkAddress(B975:B975)</f>
        <v>#NAME?</v>
      </c>
    </row>
    <row r="976" ht="105" spans="1:6">
      <c r="A976" s="17">
        <v>5267097</v>
      </c>
      <c r="B976" s="18" t="s">
        <v>371</v>
      </c>
      <c r="C976" s="17" t="s">
        <v>1</v>
      </c>
      <c r="D976" s="19" t="s">
        <v>2</v>
      </c>
      <c r="E976" s="17" t="s">
        <v>372</v>
      </c>
      <c r="F976" t="e">
        <f t="array" ref="F976">PROFEXHyperlinkAddress(B976:B976)</f>
        <v>#NAME?</v>
      </c>
    </row>
    <row r="977" spans="1:6">
      <c r="A977" s="11"/>
      <c r="B977" s="12"/>
      <c r="C977" s="11"/>
      <c r="D977" s="13"/>
      <c r="E977" s="11"/>
      <c r="F977" t="e">
        <f t="array" ref="F977">PROFEXHyperlinkAddress(B977:B977)</f>
        <v>#NAME?</v>
      </c>
    </row>
    <row r="978" ht="57.75" spans="1:6">
      <c r="A978" s="11"/>
      <c r="B978" s="14" t="s">
        <v>21</v>
      </c>
      <c r="C978" s="11"/>
      <c r="D978" s="13"/>
      <c r="E978" s="11"/>
      <c r="F978" t="e">
        <f t="array" ref="F978">PROFEXHyperlinkAddress(B978:B978)</f>
        <v>#NAME?</v>
      </c>
    </row>
    <row r="979" spans="1:6">
      <c r="A979" s="11"/>
      <c r="B979" s="12"/>
      <c r="C979" s="11"/>
      <c r="D979" s="13"/>
      <c r="E979" s="11"/>
      <c r="F979" t="e">
        <f t="array" ref="F979">PROFEXHyperlinkAddress(B979:B979)</f>
        <v>#NAME?</v>
      </c>
    </row>
    <row r="980" ht="25.5" spans="1:6">
      <c r="A980" s="15"/>
      <c r="B980" s="14" t="s">
        <v>5</v>
      </c>
      <c r="C980" s="15"/>
      <c r="D980" s="16"/>
      <c r="E980" s="15"/>
      <c r="F980" t="e">
        <f t="array" ref="F980">PROFEXHyperlinkAddress(B980:B980)</f>
        <v>#NAME?</v>
      </c>
    </row>
    <row r="981" ht="120" spans="1:6">
      <c r="A981" s="17">
        <v>5263097</v>
      </c>
      <c r="B981" s="18" t="s">
        <v>373</v>
      </c>
      <c r="C981" s="17" t="s">
        <v>1</v>
      </c>
      <c r="D981" s="19" t="s">
        <v>2</v>
      </c>
      <c r="E981" s="17" t="s">
        <v>374</v>
      </c>
      <c r="F981" t="e">
        <f t="array" ref="F981">PROFEXHyperlinkAddress(B981:B981)</f>
        <v>#NAME?</v>
      </c>
    </row>
    <row r="982" spans="1:6">
      <c r="A982" s="11"/>
      <c r="B982" s="12"/>
      <c r="C982" s="11"/>
      <c r="D982" s="13"/>
      <c r="E982" s="11"/>
      <c r="F982" t="e">
        <f t="array" ref="F982">PROFEXHyperlinkAddress(B982:B982)</f>
        <v>#NAME?</v>
      </c>
    </row>
    <row r="983" ht="57.75" spans="1:6">
      <c r="A983" s="11"/>
      <c r="B983" s="14" t="s">
        <v>21</v>
      </c>
      <c r="C983" s="11"/>
      <c r="D983" s="13"/>
      <c r="E983" s="11"/>
      <c r="F983" t="e">
        <f t="array" ref="F983">PROFEXHyperlinkAddress(B983:B983)</f>
        <v>#NAME?</v>
      </c>
    </row>
    <row r="984" spans="1:6">
      <c r="A984" s="11"/>
      <c r="B984" s="12"/>
      <c r="C984" s="11"/>
      <c r="D984" s="13"/>
      <c r="E984" s="11"/>
      <c r="F984" t="e">
        <f t="array" ref="F984">PROFEXHyperlinkAddress(B984:B984)</f>
        <v>#NAME?</v>
      </c>
    </row>
    <row r="985" ht="25.5" spans="1:6">
      <c r="A985" s="15"/>
      <c r="B985" s="14" t="s">
        <v>5</v>
      </c>
      <c r="C985" s="15"/>
      <c r="D985" s="16"/>
      <c r="E985" s="15"/>
      <c r="F985" t="e">
        <f t="array" ref="F985">PROFEXHyperlinkAddress(B985:B985)</f>
        <v>#NAME?</v>
      </c>
    </row>
    <row r="986" ht="225" spans="1:6">
      <c r="A986" s="17">
        <v>5259097</v>
      </c>
      <c r="B986" s="18" t="s">
        <v>375</v>
      </c>
      <c r="C986" s="17" t="s">
        <v>1</v>
      </c>
      <c r="D986" s="19" t="s">
        <v>7</v>
      </c>
      <c r="E986" s="17" t="s">
        <v>374</v>
      </c>
      <c r="F986" t="e">
        <f t="array" ref="F986">PROFEXHyperlinkAddress(B986:B986)</f>
        <v>#NAME?</v>
      </c>
    </row>
    <row r="987" spans="1:6">
      <c r="A987" s="11"/>
      <c r="B987" s="12"/>
      <c r="C987" s="11"/>
      <c r="D987" s="13"/>
      <c r="E987" s="11"/>
      <c r="F987" t="e">
        <f t="array" ref="F987">PROFEXHyperlinkAddress(B987:B987)</f>
        <v>#NAME?</v>
      </c>
    </row>
    <row r="988" ht="57.75" spans="1:6">
      <c r="A988" s="11"/>
      <c r="B988" s="14" t="s">
        <v>21</v>
      </c>
      <c r="C988" s="11"/>
      <c r="D988" s="13"/>
      <c r="E988" s="11"/>
      <c r="F988" t="e">
        <f t="array" ref="F988">PROFEXHyperlinkAddress(B988:B988)</f>
        <v>#NAME?</v>
      </c>
    </row>
    <row r="989" spans="1:6">
      <c r="A989" s="11"/>
      <c r="B989" s="12"/>
      <c r="C989" s="11"/>
      <c r="D989" s="13"/>
      <c r="E989" s="11"/>
      <c r="F989" t="e">
        <f t="array" ref="F989">PROFEXHyperlinkAddress(B989:B989)</f>
        <v>#NAME?</v>
      </c>
    </row>
    <row r="990" ht="25.5" spans="1:6">
      <c r="A990" s="15"/>
      <c r="B990" s="14" t="s">
        <v>5</v>
      </c>
      <c r="C990" s="15"/>
      <c r="D990" s="16"/>
      <c r="E990" s="15"/>
      <c r="F990" t="e">
        <f t="array" ref="F990">PROFEXHyperlinkAddress(B990:B990)</f>
        <v>#NAME?</v>
      </c>
    </row>
    <row r="991" ht="105" spans="1:6">
      <c r="A991" s="17">
        <v>5257097</v>
      </c>
      <c r="B991" s="18" t="s">
        <v>376</v>
      </c>
      <c r="C991" s="17" t="s">
        <v>1</v>
      </c>
      <c r="D991" s="19" t="s">
        <v>7</v>
      </c>
      <c r="E991" s="17" t="s">
        <v>374</v>
      </c>
      <c r="F991" t="e">
        <f t="array" ref="F991">PROFEXHyperlinkAddress(B991:B991)</f>
        <v>#NAME?</v>
      </c>
    </row>
    <row r="992" spans="1:6">
      <c r="A992" s="11"/>
      <c r="B992" s="12"/>
      <c r="C992" s="11"/>
      <c r="D992" s="13"/>
      <c r="E992" s="11"/>
      <c r="F992" t="e">
        <f t="array" ref="F992">PROFEXHyperlinkAddress(B992:B992)</f>
        <v>#NAME?</v>
      </c>
    </row>
    <row r="993" ht="57.75" spans="1:6">
      <c r="A993" s="11"/>
      <c r="B993" s="14" t="s">
        <v>21</v>
      </c>
      <c r="C993" s="11"/>
      <c r="D993" s="13"/>
      <c r="E993" s="11"/>
      <c r="F993" t="e">
        <f t="array" ref="F993">PROFEXHyperlinkAddress(B993:B993)</f>
        <v>#NAME?</v>
      </c>
    </row>
    <row r="994" spans="1:6">
      <c r="A994" s="11"/>
      <c r="B994" s="12"/>
      <c r="C994" s="11"/>
      <c r="D994" s="13"/>
      <c r="E994" s="11"/>
      <c r="F994" t="e">
        <f t="array" ref="F994">PROFEXHyperlinkAddress(B994:B994)</f>
        <v>#NAME?</v>
      </c>
    </row>
    <row r="995" ht="25.5" spans="1:6">
      <c r="A995" s="15"/>
      <c r="B995" s="14" t="s">
        <v>5</v>
      </c>
      <c r="C995" s="15"/>
      <c r="D995" s="16"/>
      <c r="E995" s="15"/>
      <c r="F995" t="e">
        <f t="array" ref="F995">PROFEXHyperlinkAddress(B995:B995)</f>
        <v>#NAME?</v>
      </c>
    </row>
    <row r="996" ht="180" spans="1:6">
      <c r="A996" s="17">
        <v>5254097</v>
      </c>
      <c r="B996" s="18" t="s">
        <v>377</v>
      </c>
      <c r="C996" s="17" t="s">
        <v>1</v>
      </c>
      <c r="D996" s="19" t="s">
        <v>2</v>
      </c>
      <c r="E996" s="17" t="s">
        <v>374</v>
      </c>
      <c r="F996" t="e">
        <f t="array" ref="F996">PROFEXHyperlinkAddress(B996:B996)</f>
        <v>#NAME?</v>
      </c>
    </row>
    <row r="997" spans="1:6">
      <c r="A997" s="11"/>
      <c r="B997" s="12"/>
      <c r="C997" s="11"/>
      <c r="D997" s="13"/>
      <c r="E997" s="11"/>
      <c r="F997" t="e">
        <f t="array" ref="F997">PROFEXHyperlinkAddress(B997:B997)</f>
        <v>#NAME?</v>
      </c>
    </row>
    <row r="998" ht="57.75" spans="1:6">
      <c r="A998" s="11"/>
      <c r="B998" s="14" t="s">
        <v>21</v>
      </c>
      <c r="C998" s="11"/>
      <c r="D998" s="13"/>
      <c r="E998" s="11"/>
      <c r="F998" t="e">
        <f t="array" ref="F998">PROFEXHyperlinkAddress(B998:B998)</f>
        <v>#NAME?</v>
      </c>
    </row>
    <row r="999" spans="1:6">
      <c r="A999" s="11"/>
      <c r="B999" s="12"/>
      <c r="C999" s="11"/>
      <c r="D999" s="13"/>
      <c r="E999" s="11"/>
      <c r="F999" t="e">
        <f t="array" ref="F999">PROFEXHyperlinkAddress(B999:B999)</f>
        <v>#NAME?</v>
      </c>
    </row>
    <row r="1000" ht="25.5" spans="1:6">
      <c r="A1000" s="15"/>
      <c r="B1000" s="14" t="s">
        <v>5</v>
      </c>
      <c r="C1000" s="15"/>
      <c r="D1000" s="16"/>
      <c r="E1000" s="15"/>
      <c r="F1000" t="e">
        <f t="array" ref="F1000">PROFEXHyperlinkAddress(B1000:B1000)</f>
        <v>#NAME?</v>
      </c>
    </row>
    <row r="1001" ht="180" spans="1:6">
      <c r="A1001" s="17">
        <v>5253097</v>
      </c>
      <c r="B1001" s="18" t="s">
        <v>378</v>
      </c>
      <c r="C1001" s="17" t="s">
        <v>1</v>
      </c>
      <c r="D1001" s="19" t="s">
        <v>2</v>
      </c>
      <c r="E1001" s="17" t="s">
        <v>289</v>
      </c>
      <c r="F1001" t="e">
        <f t="array" ref="F1001">PROFEXHyperlinkAddress(B1001:B1001)</f>
        <v>#NAME?</v>
      </c>
    </row>
    <row r="1002" spans="1:6">
      <c r="A1002" s="11"/>
      <c r="B1002" s="12"/>
      <c r="C1002" s="11"/>
      <c r="D1002" s="13"/>
      <c r="E1002" s="11"/>
      <c r="F1002" t="e">
        <f t="array" ref="F1002">PROFEXHyperlinkAddress(B1002:B1002)</f>
        <v>#NAME?</v>
      </c>
    </row>
    <row r="1003" ht="57.75" spans="1:6">
      <c r="A1003" s="11"/>
      <c r="B1003" s="14" t="s">
        <v>21</v>
      </c>
      <c r="C1003" s="11"/>
      <c r="D1003" s="13"/>
      <c r="E1003" s="11"/>
      <c r="F1003" t="e">
        <f t="array" ref="F1003">PROFEXHyperlinkAddress(B1003:B1003)</f>
        <v>#NAME?</v>
      </c>
    </row>
    <row r="1004" spans="1:6">
      <c r="A1004" s="11"/>
      <c r="B1004" s="12"/>
      <c r="C1004" s="11"/>
      <c r="D1004" s="13"/>
      <c r="E1004" s="11"/>
      <c r="F1004" t="e">
        <f t="array" ref="F1004">PROFEXHyperlinkAddress(B1004:B1004)</f>
        <v>#NAME?</v>
      </c>
    </row>
    <row r="1005" ht="25.5" spans="1:6">
      <c r="A1005" s="15"/>
      <c r="B1005" s="14" t="s">
        <v>379</v>
      </c>
      <c r="C1005" s="15"/>
      <c r="D1005" s="16"/>
      <c r="E1005" s="15"/>
      <c r="F1005" t="e">
        <f t="array" ref="F1005">PROFEXHyperlinkAddress(B1005:B1005)</f>
        <v>#NAME?</v>
      </c>
    </row>
    <row r="1006" ht="75" spans="1:6">
      <c r="A1006" s="17">
        <v>5251097</v>
      </c>
      <c r="B1006" s="18" t="s">
        <v>380</v>
      </c>
      <c r="C1006" s="17" t="s">
        <v>1</v>
      </c>
      <c r="D1006" s="19" t="s">
        <v>2</v>
      </c>
      <c r="E1006" s="17" t="s">
        <v>374</v>
      </c>
      <c r="F1006" t="e">
        <f t="array" ref="F1006">PROFEXHyperlinkAddress(B1006:B1006)</f>
        <v>#NAME?</v>
      </c>
    </row>
    <row r="1007" spans="1:6">
      <c r="A1007" s="11"/>
      <c r="B1007" s="12"/>
      <c r="C1007" s="11"/>
      <c r="D1007" s="13"/>
      <c r="E1007" s="11"/>
      <c r="F1007" t="e">
        <f t="array" ref="F1007">PROFEXHyperlinkAddress(B1007:B1007)</f>
        <v>#NAME?</v>
      </c>
    </row>
    <row r="1008" ht="57.75" spans="1:6">
      <c r="A1008" s="11"/>
      <c r="B1008" s="14" t="s">
        <v>21</v>
      </c>
      <c r="C1008" s="11"/>
      <c r="D1008" s="13"/>
      <c r="E1008" s="11"/>
      <c r="F1008" t="e">
        <f t="array" ref="F1008">PROFEXHyperlinkAddress(B1008:B1008)</f>
        <v>#NAME?</v>
      </c>
    </row>
    <row r="1009" spans="1:6">
      <c r="A1009" s="11"/>
      <c r="B1009" s="12"/>
      <c r="C1009" s="11"/>
      <c r="D1009" s="13"/>
      <c r="E1009" s="11"/>
      <c r="F1009" t="e">
        <f t="array" ref="F1009">PROFEXHyperlinkAddress(B1009:B1009)</f>
        <v>#NAME?</v>
      </c>
    </row>
    <row r="1010" ht="25.5" spans="1:6">
      <c r="A1010" s="15"/>
      <c r="B1010" s="14" t="s">
        <v>381</v>
      </c>
      <c r="C1010" s="15"/>
      <c r="D1010" s="16"/>
      <c r="E1010" s="15"/>
      <c r="F1010" t="e">
        <f t="array" ref="F1010">PROFEXHyperlinkAddress(B1010:B1010)</f>
        <v>#NAME?</v>
      </c>
    </row>
    <row r="1011" ht="165" spans="1:6">
      <c r="A1011" s="17">
        <v>5250097</v>
      </c>
      <c r="B1011" s="18" t="s">
        <v>382</v>
      </c>
      <c r="C1011" s="17" t="s">
        <v>1</v>
      </c>
      <c r="D1011" s="19" t="s">
        <v>2</v>
      </c>
      <c r="E1011" s="17" t="s">
        <v>198</v>
      </c>
      <c r="F1011" t="e">
        <f t="array" ref="F1011">PROFEXHyperlinkAddress(B1011:B1011)</f>
        <v>#NAME?</v>
      </c>
    </row>
    <row r="1012" spans="1:6">
      <c r="A1012" s="11"/>
      <c r="B1012" s="12"/>
      <c r="C1012" s="11"/>
      <c r="D1012" s="13"/>
      <c r="E1012" s="11"/>
      <c r="F1012" t="e">
        <f t="array" ref="F1012">PROFEXHyperlinkAddress(B1012:B1012)</f>
        <v>#NAME?</v>
      </c>
    </row>
    <row r="1013" ht="57.75" spans="1:6">
      <c r="A1013" s="11"/>
      <c r="B1013" s="14" t="s">
        <v>16</v>
      </c>
      <c r="C1013" s="11"/>
      <c r="D1013" s="13"/>
      <c r="E1013" s="11"/>
      <c r="F1013" t="e">
        <f t="array" ref="F1013">PROFEXHyperlinkAddress(B1013:B1013)</f>
        <v>#NAME?</v>
      </c>
    </row>
    <row r="1014" spans="1:6">
      <c r="A1014" s="11"/>
      <c r="B1014" s="12"/>
      <c r="C1014" s="11"/>
      <c r="D1014" s="13"/>
      <c r="E1014" s="11"/>
      <c r="F1014" t="e">
        <f t="array" ref="F1014">PROFEXHyperlinkAddress(B1014:B1014)</f>
        <v>#NAME?</v>
      </c>
    </row>
    <row r="1015" ht="25.5" spans="1:6">
      <c r="A1015" s="15"/>
      <c r="B1015" s="14" t="s">
        <v>5</v>
      </c>
      <c r="C1015" s="15"/>
      <c r="D1015" s="16"/>
      <c r="E1015" s="15"/>
      <c r="F1015" t="e">
        <f t="array" ref="F1015">PROFEXHyperlinkAddress(B1015:B1015)</f>
        <v>#NAME?</v>
      </c>
    </row>
    <row r="1016" ht="120" spans="1:6">
      <c r="A1016" s="17">
        <v>5249097</v>
      </c>
      <c r="B1016" s="18" t="s">
        <v>383</v>
      </c>
      <c r="C1016" s="17" t="s">
        <v>1</v>
      </c>
      <c r="D1016" s="19" t="s">
        <v>2</v>
      </c>
      <c r="E1016" s="17" t="s">
        <v>384</v>
      </c>
      <c r="F1016" t="e">
        <f t="array" ref="F1016">PROFEXHyperlinkAddress(B1016:B1016)</f>
        <v>#NAME?</v>
      </c>
    </row>
    <row r="1017" spans="1:6">
      <c r="A1017" s="11"/>
      <c r="B1017" s="12"/>
      <c r="C1017" s="11"/>
      <c r="D1017" s="13"/>
      <c r="E1017" s="11"/>
      <c r="F1017" t="e">
        <f t="array" ref="F1017">PROFEXHyperlinkAddress(B1017:B1017)</f>
        <v>#NAME?</v>
      </c>
    </row>
    <row r="1018" ht="57.75" spans="1:6">
      <c r="A1018" s="11"/>
      <c r="B1018" s="14" t="s">
        <v>21</v>
      </c>
      <c r="C1018" s="11"/>
      <c r="D1018" s="13"/>
      <c r="E1018" s="11"/>
      <c r="F1018" t="e">
        <f t="array" ref="F1018">PROFEXHyperlinkAddress(B1018:B1018)</f>
        <v>#NAME?</v>
      </c>
    </row>
    <row r="1019" spans="1:6">
      <c r="A1019" s="11"/>
      <c r="B1019" s="12"/>
      <c r="C1019" s="11"/>
      <c r="D1019" s="13"/>
      <c r="E1019" s="11"/>
      <c r="F1019" t="e">
        <f t="array" ref="F1019">PROFEXHyperlinkAddress(B1019:B1019)</f>
        <v>#NAME?</v>
      </c>
    </row>
    <row r="1020" ht="25.5" spans="1:6">
      <c r="A1020" s="15"/>
      <c r="B1020" s="14" t="s">
        <v>385</v>
      </c>
      <c r="C1020" s="15"/>
      <c r="D1020" s="16"/>
      <c r="E1020" s="15"/>
      <c r="F1020" t="e">
        <f t="array" ref="F1020">PROFEXHyperlinkAddress(B1020:B1020)</f>
        <v>#NAME?</v>
      </c>
    </row>
    <row r="1021" ht="195" spans="1:6">
      <c r="A1021" s="17">
        <v>5244097</v>
      </c>
      <c r="B1021" s="18" t="s">
        <v>386</v>
      </c>
      <c r="C1021" s="17" t="s">
        <v>1</v>
      </c>
      <c r="D1021" s="19" t="s">
        <v>76</v>
      </c>
      <c r="E1021" s="17" t="s">
        <v>306</v>
      </c>
      <c r="F1021" t="e">
        <f t="array" ref="F1021">PROFEXHyperlinkAddress(B1021:B1021)</f>
        <v>#NAME?</v>
      </c>
    </row>
    <row r="1022" spans="1:6">
      <c r="A1022" s="11"/>
      <c r="B1022" s="12"/>
      <c r="C1022" s="11"/>
      <c r="D1022" s="13"/>
      <c r="E1022" s="11"/>
      <c r="F1022" t="e">
        <f t="array" ref="F1022">PROFEXHyperlinkAddress(B1022:B1022)</f>
        <v>#NAME?</v>
      </c>
    </row>
    <row r="1023" ht="49.5" spans="1:6">
      <c r="A1023" s="11"/>
      <c r="B1023" s="14" t="s">
        <v>78</v>
      </c>
      <c r="C1023" s="11"/>
      <c r="D1023" s="13"/>
      <c r="E1023" s="11"/>
      <c r="F1023" t="e">
        <f t="array" ref="F1023">PROFEXHyperlinkAddress(B1023:B1023)</f>
        <v>#NAME?</v>
      </c>
    </row>
    <row r="1024" spans="1:6">
      <c r="A1024" s="11"/>
      <c r="B1024" s="12"/>
      <c r="C1024" s="11"/>
      <c r="D1024" s="13"/>
      <c r="E1024" s="11"/>
      <c r="F1024" t="e">
        <f t="array" ref="F1024">PROFEXHyperlinkAddress(B1024:B1024)</f>
        <v>#NAME?</v>
      </c>
    </row>
    <row r="1025" ht="25.5" spans="1:6">
      <c r="A1025" s="15"/>
      <c r="B1025" s="14" t="s">
        <v>5</v>
      </c>
      <c r="C1025" s="15"/>
      <c r="D1025" s="16"/>
      <c r="E1025" s="15"/>
      <c r="F1025" t="e">
        <f t="array" ref="F1025">PROFEXHyperlinkAddress(B1025:B1025)</f>
        <v>#NAME?</v>
      </c>
    </row>
    <row r="1026" ht="240" spans="1:6">
      <c r="A1026" s="17">
        <v>5241097</v>
      </c>
      <c r="B1026" s="18" t="s">
        <v>387</v>
      </c>
      <c r="C1026" s="17" t="s">
        <v>1</v>
      </c>
      <c r="D1026" s="19" t="s">
        <v>2</v>
      </c>
      <c r="E1026" s="17" t="s">
        <v>388</v>
      </c>
      <c r="F1026" t="e">
        <f t="array" ref="F1026">PROFEXHyperlinkAddress(B1026:B1026)</f>
        <v>#NAME?</v>
      </c>
    </row>
    <row r="1027" spans="1:6">
      <c r="A1027" s="11"/>
      <c r="B1027" s="12"/>
      <c r="C1027" s="11"/>
      <c r="D1027" s="13"/>
      <c r="E1027" s="11"/>
      <c r="F1027" t="e">
        <f t="array" ref="F1027">PROFEXHyperlinkAddress(B1027:B1027)</f>
        <v>#NAME?</v>
      </c>
    </row>
    <row r="1028" ht="49.5" spans="1:6">
      <c r="A1028" s="11"/>
      <c r="B1028" s="14" t="s">
        <v>78</v>
      </c>
      <c r="C1028" s="11"/>
      <c r="D1028" s="13"/>
      <c r="E1028" s="11"/>
      <c r="F1028" t="e">
        <f t="array" ref="F1028">PROFEXHyperlinkAddress(B1028:B1028)</f>
        <v>#NAME?</v>
      </c>
    </row>
    <row r="1029" spans="1:6">
      <c r="A1029" s="11"/>
      <c r="B1029" s="12"/>
      <c r="C1029" s="11"/>
      <c r="D1029" s="13"/>
      <c r="E1029" s="11"/>
      <c r="F1029" t="e">
        <f t="array" ref="F1029">PROFEXHyperlinkAddress(B1029:B1029)</f>
        <v>#NAME?</v>
      </c>
    </row>
    <row r="1030" ht="25.5" spans="1:6">
      <c r="A1030" s="15"/>
      <c r="B1030" s="14" t="s">
        <v>5</v>
      </c>
      <c r="C1030" s="15"/>
      <c r="D1030" s="16"/>
      <c r="E1030" s="15"/>
      <c r="F1030" t="e">
        <f t="array" ref="F1030">PROFEXHyperlinkAddress(B1030:B1030)</f>
        <v>#NAME?</v>
      </c>
    </row>
    <row r="1031" ht="180" spans="1:6">
      <c r="A1031" s="17">
        <v>5238097</v>
      </c>
      <c r="B1031" s="18" t="s">
        <v>389</v>
      </c>
      <c r="C1031" s="17" t="s">
        <v>1</v>
      </c>
      <c r="D1031" s="19" t="s">
        <v>7</v>
      </c>
      <c r="E1031" s="17" t="s">
        <v>370</v>
      </c>
      <c r="F1031" t="e">
        <f t="array" ref="F1031">PROFEXHyperlinkAddress(B1031:B1031)</f>
        <v>#NAME?</v>
      </c>
    </row>
    <row r="1032" spans="1:6">
      <c r="A1032" s="11"/>
      <c r="B1032" s="12"/>
      <c r="C1032" s="11"/>
      <c r="D1032" s="13"/>
      <c r="E1032" s="11"/>
      <c r="F1032" t="e">
        <f t="array" ref="F1032">PROFEXHyperlinkAddress(B1032:B1032)</f>
        <v>#NAME?</v>
      </c>
    </row>
    <row r="1033" ht="57.75" spans="1:6">
      <c r="A1033" s="11"/>
      <c r="B1033" s="14" t="s">
        <v>21</v>
      </c>
      <c r="C1033" s="11"/>
      <c r="D1033" s="13"/>
      <c r="E1033" s="11"/>
      <c r="F1033" t="e">
        <f t="array" ref="F1033">PROFEXHyperlinkAddress(B1033:B1033)</f>
        <v>#NAME?</v>
      </c>
    </row>
    <row r="1034" spans="1:6">
      <c r="A1034" s="11"/>
      <c r="B1034" s="12"/>
      <c r="C1034" s="11"/>
      <c r="D1034" s="13"/>
      <c r="E1034" s="11"/>
      <c r="F1034" t="e">
        <f t="array" ref="F1034">PROFEXHyperlinkAddress(B1034:B1034)</f>
        <v>#NAME?</v>
      </c>
    </row>
    <row r="1035" ht="25.5" spans="1:6">
      <c r="A1035" s="15"/>
      <c r="B1035" s="14" t="s">
        <v>5</v>
      </c>
      <c r="C1035" s="15"/>
      <c r="D1035" s="16"/>
      <c r="E1035" s="15"/>
      <c r="F1035" t="e">
        <f t="array" ref="F1035">PROFEXHyperlinkAddress(B1035:B1035)</f>
        <v>#NAME?</v>
      </c>
    </row>
    <row r="1036" ht="105" spans="1:6">
      <c r="A1036" s="17">
        <v>5236097</v>
      </c>
      <c r="B1036" s="18" t="s">
        <v>390</v>
      </c>
      <c r="C1036" s="17" t="s">
        <v>1</v>
      </c>
      <c r="D1036" s="19" t="s">
        <v>2</v>
      </c>
      <c r="E1036" s="17" t="s">
        <v>391</v>
      </c>
      <c r="F1036" t="e">
        <f t="array" ref="F1036">PROFEXHyperlinkAddress(B1036:B1036)</f>
        <v>#NAME?</v>
      </c>
    </row>
    <row r="1037" spans="1:6">
      <c r="A1037" s="11"/>
      <c r="B1037" s="12"/>
      <c r="C1037" s="11"/>
      <c r="D1037" s="13"/>
      <c r="E1037" s="11"/>
      <c r="F1037" t="e">
        <f t="array" ref="F1037">PROFEXHyperlinkAddress(B1037:B1037)</f>
        <v>#NAME?</v>
      </c>
    </row>
    <row r="1038" ht="57.75" spans="1:6">
      <c r="A1038" s="11"/>
      <c r="B1038" s="14" t="s">
        <v>21</v>
      </c>
      <c r="C1038" s="11"/>
      <c r="D1038" s="13"/>
      <c r="E1038" s="11"/>
      <c r="F1038" t="e">
        <f t="array" ref="F1038">PROFEXHyperlinkAddress(B1038:B1038)</f>
        <v>#NAME?</v>
      </c>
    </row>
    <row r="1039" spans="1:6">
      <c r="A1039" s="11"/>
      <c r="B1039" s="12"/>
      <c r="C1039" s="11"/>
      <c r="D1039" s="13"/>
      <c r="E1039" s="11"/>
      <c r="F1039" t="e">
        <f t="array" ref="F1039">PROFEXHyperlinkAddress(B1039:B1039)</f>
        <v>#NAME?</v>
      </c>
    </row>
    <row r="1040" ht="25.5" spans="1:6">
      <c r="A1040" s="15"/>
      <c r="B1040" s="14" t="s">
        <v>392</v>
      </c>
      <c r="C1040" s="15"/>
      <c r="D1040" s="16"/>
      <c r="E1040" s="15"/>
      <c r="F1040" t="e">
        <f t="array" ref="F1040">PROFEXHyperlinkAddress(B1040:B1040)</f>
        <v>#NAME?</v>
      </c>
    </row>
    <row r="1041" ht="75" spans="1:6">
      <c r="A1041" s="17">
        <v>5235097</v>
      </c>
      <c r="B1041" s="18" t="s">
        <v>393</v>
      </c>
      <c r="C1041" s="17" t="s">
        <v>1</v>
      </c>
      <c r="D1041" s="19" t="s">
        <v>2</v>
      </c>
      <c r="E1041" s="17" t="s">
        <v>394</v>
      </c>
      <c r="F1041" t="e">
        <f t="array" ref="F1041">PROFEXHyperlinkAddress(B1041:B1041)</f>
        <v>#NAME?</v>
      </c>
    </row>
    <row r="1042" spans="1:6">
      <c r="A1042" s="11"/>
      <c r="B1042" s="12"/>
      <c r="C1042" s="11"/>
      <c r="D1042" s="13"/>
      <c r="E1042" s="11"/>
      <c r="F1042" t="e">
        <f t="array" ref="F1042">PROFEXHyperlinkAddress(B1042:B1042)</f>
        <v>#NAME?</v>
      </c>
    </row>
    <row r="1043" ht="57.75" spans="1:6">
      <c r="A1043" s="11"/>
      <c r="B1043" s="14" t="s">
        <v>21</v>
      </c>
      <c r="C1043" s="11"/>
      <c r="D1043" s="13"/>
      <c r="E1043" s="11"/>
      <c r="F1043" t="e">
        <f t="array" ref="F1043">PROFEXHyperlinkAddress(B1043:B1043)</f>
        <v>#NAME?</v>
      </c>
    </row>
    <row r="1044" spans="1:6">
      <c r="A1044" s="11"/>
      <c r="B1044" s="12"/>
      <c r="C1044" s="11"/>
      <c r="D1044" s="13"/>
      <c r="E1044" s="11"/>
      <c r="F1044" t="e">
        <f t="array" ref="F1044">PROFEXHyperlinkAddress(B1044:B1044)</f>
        <v>#NAME?</v>
      </c>
    </row>
    <row r="1045" ht="25.5" spans="1:6">
      <c r="A1045" s="15"/>
      <c r="B1045" s="14" t="s">
        <v>5</v>
      </c>
      <c r="C1045" s="15"/>
      <c r="D1045" s="16"/>
      <c r="E1045" s="15"/>
      <c r="F1045" t="e">
        <f t="array" ref="F1045">PROFEXHyperlinkAddress(B1045:B1045)</f>
        <v>#NAME?</v>
      </c>
    </row>
    <row r="1046" ht="90" spans="1:6">
      <c r="A1046" s="17">
        <v>5234097</v>
      </c>
      <c r="B1046" s="18" t="s">
        <v>395</v>
      </c>
      <c r="C1046" s="17" t="s">
        <v>1</v>
      </c>
      <c r="D1046" s="19" t="s">
        <v>2</v>
      </c>
      <c r="E1046" s="17" t="s">
        <v>396</v>
      </c>
      <c r="F1046" t="e">
        <f t="array" ref="F1046">PROFEXHyperlinkAddress(B1046:B1046)</f>
        <v>#NAME?</v>
      </c>
    </row>
    <row r="1047" spans="1:6">
      <c r="A1047" s="11"/>
      <c r="B1047" s="12"/>
      <c r="C1047" s="11"/>
      <c r="D1047" s="13"/>
      <c r="E1047" s="11"/>
      <c r="F1047" t="e">
        <f t="array" ref="F1047">PROFEXHyperlinkAddress(B1047:B1047)</f>
        <v>#NAME?</v>
      </c>
    </row>
    <row r="1048" ht="57.75" spans="1:6">
      <c r="A1048" s="11"/>
      <c r="B1048" s="14" t="s">
        <v>21</v>
      </c>
      <c r="C1048" s="11"/>
      <c r="D1048" s="13"/>
      <c r="E1048" s="11"/>
      <c r="F1048" t="e">
        <f t="array" ref="F1048">PROFEXHyperlinkAddress(B1048:B1048)</f>
        <v>#NAME?</v>
      </c>
    </row>
    <row r="1049" spans="1:6">
      <c r="A1049" s="11"/>
      <c r="B1049" s="12"/>
      <c r="C1049" s="11"/>
      <c r="D1049" s="13"/>
      <c r="E1049" s="11"/>
      <c r="F1049" t="e">
        <f t="array" ref="F1049">PROFEXHyperlinkAddress(B1049:B1049)</f>
        <v>#NAME?</v>
      </c>
    </row>
    <row r="1050" ht="25.5" spans="1:6">
      <c r="A1050" s="15"/>
      <c r="B1050" s="14" t="s">
        <v>5</v>
      </c>
      <c r="C1050" s="15"/>
      <c r="D1050" s="16"/>
      <c r="E1050" s="15"/>
      <c r="F1050" t="e">
        <f t="array" ref="F1050">PROFEXHyperlinkAddress(B1050:B1050)</f>
        <v>#NAME?</v>
      </c>
    </row>
    <row r="1051" ht="75" spans="1:6">
      <c r="A1051" s="17">
        <v>5233097</v>
      </c>
      <c r="B1051" s="18" t="s">
        <v>397</v>
      </c>
      <c r="C1051" s="17" t="s">
        <v>1</v>
      </c>
      <c r="D1051" s="19" t="s">
        <v>2</v>
      </c>
      <c r="E1051" s="17" t="s">
        <v>396</v>
      </c>
      <c r="F1051" t="e">
        <f t="array" ref="F1051">PROFEXHyperlinkAddress(B1051:B1051)</f>
        <v>#NAME?</v>
      </c>
    </row>
    <row r="1052" spans="1:6">
      <c r="A1052" s="11"/>
      <c r="B1052" s="12"/>
      <c r="C1052" s="11"/>
      <c r="D1052" s="13"/>
      <c r="E1052" s="11"/>
      <c r="F1052" t="e">
        <f t="array" ref="F1052">PROFEXHyperlinkAddress(B1052:B1052)</f>
        <v>#NAME?</v>
      </c>
    </row>
    <row r="1053" ht="57.75" spans="1:6">
      <c r="A1053" s="11"/>
      <c r="B1053" s="14" t="s">
        <v>21</v>
      </c>
      <c r="C1053" s="11"/>
      <c r="D1053" s="13"/>
      <c r="E1053" s="11"/>
      <c r="F1053" t="e">
        <f t="array" ref="F1053">PROFEXHyperlinkAddress(B1053:B1053)</f>
        <v>#NAME?</v>
      </c>
    </row>
    <row r="1054" spans="1:6">
      <c r="A1054" s="11"/>
      <c r="B1054" s="12"/>
      <c r="C1054" s="11"/>
      <c r="D1054" s="13"/>
      <c r="E1054" s="11"/>
      <c r="F1054" t="e">
        <f t="array" ref="F1054">PROFEXHyperlinkAddress(B1054:B1054)</f>
        <v>#NAME?</v>
      </c>
    </row>
    <row r="1055" ht="25.5" spans="1:6">
      <c r="A1055" s="15"/>
      <c r="B1055" s="14" t="s">
        <v>5</v>
      </c>
      <c r="C1055" s="15"/>
      <c r="D1055" s="16"/>
      <c r="E1055" s="15"/>
      <c r="F1055" t="e">
        <f t="array" ref="F1055">PROFEXHyperlinkAddress(B1055:B1055)</f>
        <v>#NAME?</v>
      </c>
    </row>
    <row r="1056" ht="90" spans="1:6">
      <c r="A1056" s="17">
        <v>5232097</v>
      </c>
      <c r="B1056" s="18" t="s">
        <v>398</v>
      </c>
      <c r="C1056" s="17" t="s">
        <v>1</v>
      </c>
      <c r="D1056" s="19" t="s">
        <v>2</v>
      </c>
      <c r="E1056" s="17" t="s">
        <v>366</v>
      </c>
      <c r="F1056" t="e">
        <f t="array" ref="F1056">PROFEXHyperlinkAddress(B1056:B1056)</f>
        <v>#NAME?</v>
      </c>
    </row>
    <row r="1057" spans="1:6">
      <c r="A1057" s="11"/>
      <c r="B1057" s="12"/>
      <c r="C1057" s="11"/>
      <c r="D1057" s="13"/>
      <c r="E1057" s="11"/>
      <c r="F1057" t="e">
        <f t="array" ref="F1057">PROFEXHyperlinkAddress(B1057:B1057)</f>
        <v>#NAME?</v>
      </c>
    </row>
    <row r="1058" ht="57.75" spans="1:6">
      <c r="A1058" s="11"/>
      <c r="B1058" s="14" t="s">
        <v>21</v>
      </c>
      <c r="C1058" s="11"/>
      <c r="D1058" s="13"/>
      <c r="E1058" s="11"/>
      <c r="F1058" t="e">
        <f t="array" ref="F1058">PROFEXHyperlinkAddress(B1058:B1058)</f>
        <v>#NAME?</v>
      </c>
    </row>
    <row r="1059" spans="1:6">
      <c r="A1059" s="11"/>
      <c r="B1059" s="12"/>
      <c r="C1059" s="11"/>
      <c r="D1059" s="13"/>
      <c r="E1059" s="11"/>
      <c r="F1059" t="e">
        <f t="array" ref="F1059">PROFEXHyperlinkAddress(B1059:B1059)</f>
        <v>#NAME?</v>
      </c>
    </row>
    <row r="1060" ht="25.5" spans="1:6">
      <c r="A1060" s="15"/>
      <c r="B1060" s="14" t="s">
        <v>5</v>
      </c>
      <c r="C1060" s="15"/>
      <c r="D1060" s="16"/>
      <c r="E1060" s="15"/>
      <c r="F1060" t="e">
        <f t="array" ref="F1060">PROFEXHyperlinkAddress(B1060:B1060)</f>
        <v>#NAME?</v>
      </c>
    </row>
    <row r="1061" ht="165" spans="1:6">
      <c r="A1061" s="17">
        <v>5226097</v>
      </c>
      <c r="B1061" s="18" t="s">
        <v>399</v>
      </c>
      <c r="C1061" s="17" t="s">
        <v>1</v>
      </c>
      <c r="D1061" s="19" t="s">
        <v>2</v>
      </c>
      <c r="E1061" s="17" t="s">
        <v>400</v>
      </c>
      <c r="F1061" t="e">
        <f t="array" ref="F1061">PROFEXHyperlinkAddress(B1061:B1061)</f>
        <v>#NAME?</v>
      </c>
    </row>
    <row r="1062" spans="1:6">
      <c r="A1062" s="11"/>
      <c r="B1062" s="12"/>
      <c r="C1062" s="11"/>
      <c r="D1062" s="13"/>
      <c r="E1062" s="11"/>
      <c r="F1062" t="e">
        <f t="array" ref="F1062">PROFEXHyperlinkAddress(B1062:B1062)</f>
        <v>#NAME?</v>
      </c>
    </row>
    <row r="1063" ht="57.75" spans="1:6">
      <c r="A1063" s="11"/>
      <c r="B1063" s="14" t="s">
        <v>21</v>
      </c>
      <c r="C1063" s="11"/>
      <c r="D1063" s="13"/>
      <c r="E1063" s="11"/>
      <c r="F1063" t="e">
        <f t="array" ref="F1063">PROFEXHyperlinkAddress(B1063:B1063)</f>
        <v>#NAME?</v>
      </c>
    </row>
    <row r="1064" spans="1:6">
      <c r="A1064" s="11"/>
      <c r="B1064" s="12"/>
      <c r="C1064" s="11"/>
      <c r="D1064" s="13"/>
      <c r="E1064" s="11"/>
      <c r="F1064" t="e">
        <f t="array" ref="F1064">PROFEXHyperlinkAddress(B1064:B1064)</f>
        <v>#NAME?</v>
      </c>
    </row>
    <row r="1065" ht="25.5" spans="1:6">
      <c r="A1065" s="15"/>
      <c r="B1065" s="14" t="s">
        <v>5</v>
      </c>
      <c r="C1065" s="15"/>
      <c r="D1065" s="16"/>
      <c r="E1065" s="15"/>
      <c r="F1065" t="e">
        <f t="array" ref="F1065">PROFEXHyperlinkAddress(B1065:B1065)</f>
        <v>#NAME?</v>
      </c>
    </row>
    <row r="1066" ht="135" spans="1:6">
      <c r="A1066" s="17">
        <v>5223097</v>
      </c>
      <c r="B1066" s="18" t="s">
        <v>401</v>
      </c>
      <c r="C1066" s="17" t="s">
        <v>1</v>
      </c>
      <c r="D1066" s="19" t="s">
        <v>2</v>
      </c>
      <c r="E1066" s="17" t="s">
        <v>370</v>
      </c>
      <c r="F1066" t="e">
        <f t="array" ref="F1066">PROFEXHyperlinkAddress(B1066:B1066)</f>
        <v>#NAME?</v>
      </c>
    </row>
    <row r="1067" spans="1:6">
      <c r="A1067" s="11"/>
      <c r="B1067" s="12"/>
      <c r="C1067" s="11"/>
      <c r="D1067" s="13"/>
      <c r="E1067" s="11"/>
      <c r="F1067" t="e">
        <f t="array" ref="F1067">PROFEXHyperlinkAddress(B1067:B1067)</f>
        <v>#NAME?</v>
      </c>
    </row>
    <row r="1068" ht="57.75" spans="1:6">
      <c r="A1068" s="11"/>
      <c r="B1068" s="14" t="s">
        <v>21</v>
      </c>
      <c r="C1068" s="11"/>
      <c r="D1068" s="13"/>
      <c r="E1068" s="11"/>
      <c r="F1068" t="e">
        <f t="array" ref="F1068">PROFEXHyperlinkAddress(B1068:B1068)</f>
        <v>#NAME?</v>
      </c>
    </row>
    <row r="1069" spans="1:6">
      <c r="A1069" s="11"/>
      <c r="B1069" s="12"/>
      <c r="C1069" s="11"/>
      <c r="D1069" s="13"/>
      <c r="E1069" s="11"/>
      <c r="F1069" t="e">
        <f t="array" ref="F1069">PROFEXHyperlinkAddress(B1069:B1069)</f>
        <v>#NAME?</v>
      </c>
    </row>
    <row r="1070" ht="25.5" spans="1:6">
      <c r="A1070" s="15"/>
      <c r="B1070" s="14" t="s">
        <v>5</v>
      </c>
      <c r="C1070" s="15"/>
      <c r="D1070" s="16"/>
      <c r="E1070" s="15"/>
      <c r="F1070" t="e">
        <f t="array" ref="F1070">PROFEXHyperlinkAddress(B1070:B1070)</f>
        <v>#NAME?</v>
      </c>
    </row>
    <row r="1071" ht="135" spans="1:6">
      <c r="A1071" s="17">
        <v>5221097</v>
      </c>
      <c r="B1071" s="18" t="s">
        <v>402</v>
      </c>
      <c r="C1071" s="17" t="s">
        <v>1</v>
      </c>
      <c r="D1071" s="19" t="s">
        <v>2</v>
      </c>
      <c r="E1071" s="17" t="s">
        <v>403</v>
      </c>
      <c r="F1071" t="e">
        <f t="array" ref="F1071">PROFEXHyperlinkAddress(B1071:B1071)</f>
        <v>#NAME?</v>
      </c>
    </row>
    <row r="1072" spans="1:6">
      <c r="A1072" s="11"/>
      <c r="B1072" s="12"/>
      <c r="C1072" s="11"/>
      <c r="D1072" s="13"/>
      <c r="E1072" s="11"/>
      <c r="F1072" t="e">
        <f t="array" ref="F1072">PROFEXHyperlinkAddress(B1072:B1072)</f>
        <v>#NAME?</v>
      </c>
    </row>
    <row r="1073" ht="57.75" spans="1:6">
      <c r="A1073" s="11"/>
      <c r="B1073" s="14" t="s">
        <v>16</v>
      </c>
      <c r="C1073" s="11"/>
      <c r="D1073" s="13"/>
      <c r="E1073" s="11"/>
      <c r="F1073" t="e">
        <f t="array" ref="F1073">PROFEXHyperlinkAddress(B1073:B1073)</f>
        <v>#NAME?</v>
      </c>
    </row>
    <row r="1074" spans="1:6">
      <c r="A1074" s="11"/>
      <c r="B1074" s="12"/>
      <c r="C1074" s="11"/>
      <c r="D1074" s="13"/>
      <c r="E1074" s="11"/>
      <c r="F1074" t="e">
        <f t="array" ref="F1074">PROFEXHyperlinkAddress(B1074:B1074)</f>
        <v>#NAME?</v>
      </c>
    </row>
    <row r="1075" ht="25.5" spans="1:6">
      <c r="A1075" s="15"/>
      <c r="B1075" s="14" t="s">
        <v>5</v>
      </c>
      <c r="C1075" s="15"/>
      <c r="D1075" s="16"/>
      <c r="E1075" s="15"/>
      <c r="F1075" t="e">
        <f t="array" ref="F1075">PROFEXHyperlinkAddress(B1075:B1075)</f>
        <v>#NAME?</v>
      </c>
    </row>
    <row r="1076" ht="225" spans="1:6">
      <c r="A1076" s="17">
        <v>5218097</v>
      </c>
      <c r="B1076" s="18" t="s">
        <v>404</v>
      </c>
      <c r="C1076" s="17" t="s">
        <v>1</v>
      </c>
      <c r="D1076" s="19" t="s">
        <v>2</v>
      </c>
      <c r="E1076" s="17" t="s">
        <v>405</v>
      </c>
      <c r="F1076" t="e">
        <f t="array" ref="F1076">PROFEXHyperlinkAddress(B1076:B1076)</f>
        <v>#NAME?</v>
      </c>
    </row>
    <row r="1077" spans="1:6">
      <c r="A1077" s="11"/>
      <c r="B1077" s="12"/>
      <c r="C1077" s="11"/>
      <c r="D1077" s="13"/>
      <c r="E1077" s="11"/>
      <c r="F1077" t="e">
        <f t="array" ref="F1077">PROFEXHyperlinkAddress(B1077:B1077)</f>
        <v>#NAME?</v>
      </c>
    </row>
    <row r="1078" ht="49.5" spans="1:6">
      <c r="A1078" s="11"/>
      <c r="B1078" s="14" t="s">
        <v>78</v>
      </c>
      <c r="C1078" s="11"/>
      <c r="D1078" s="13"/>
      <c r="E1078" s="11"/>
      <c r="F1078" t="e">
        <f t="array" ref="F1078">PROFEXHyperlinkAddress(B1078:B1078)</f>
        <v>#NAME?</v>
      </c>
    </row>
    <row r="1079" spans="1:6">
      <c r="A1079" s="11"/>
      <c r="B1079" s="12"/>
      <c r="C1079" s="11"/>
      <c r="D1079" s="13"/>
      <c r="E1079" s="11"/>
      <c r="F1079" t="e">
        <f t="array" ref="F1079">PROFEXHyperlinkAddress(B1079:B1079)</f>
        <v>#NAME?</v>
      </c>
    </row>
    <row r="1080" ht="25.5" spans="1:6">
      <c r="A1080" s="15"/>
      <c r="B1080" s="14" t="s">
        <v>5</v>
      </c>
      <c r="C1080" s="15"/>
      <c r="D1080" s="16"/>
      <c r="E1080" s="15"/>
      <c r="F1080" t="e">
        <f t="array" ref="F1080">PROFEXHyperlinkAddress(B1080:B1080)</f>
        <v>#NAME?</v>
      </c>
    </row>
    <row r="1081" ht="225" spans="1:6">
      <c r="A1081" s="17">
        <v>5217097</v>
      </c>
      <c r="B1081" s="18" t="s">
        <v>406</v>
      </c>
      <c r="C1081" s="17" t="s">
        <v>1</v>
      </c>
      <c r="D1081" s="19" t="s">
        <v>2</v>
      </c>
      <c r="E1081" s="17" t="s">
        <v>405</v>
      </c>
      <c r="F1081" t="e">
        <f t="array" ref="F1081">PROFEXHyperlinkAddress(B1081:B1081)</f>
        <v>#NAME?</v>
      </c>
    </row>
    <row r="1082" spans="1:6">
      <c r="A1082" s="11"/>
      <c r="B1082" s="12"/>
      <c r="C1082" s="11"/>
      <c r="D1082" s="13"/>
      <c r="E1082" s="11"/>
      <c r="F1082" t="e">
        <f t="array" ref="F1082">PROFEXHyperlinkAddress(B1082:B1082)</f>
        <v>#NAME?</v>
      </c>
    </row>
    <row r="1083" ht="49.5" spans="1:6">
      <c r="A1083" s="11"/>
      <c r="B1083" s="14" t="s">
        <v>78</v>
      </c>
      <c r="C1083" s="11"/>
      <c r="D1083" s="13"/>
      <c r="E1083" s="11"/>
      <c r="F1083" t="e">
        <f t="array" ref="F1083">PROFEXHyperlinkAddress(B1083:B1083)</f>
        <v>#NAME?</v>
      </c>
    </row>
    <row r="1084" spans="1:6">
      <c r="A1084" s="11"/>
      <c r="B1084" s="12"/>
      <c r="C1084" s="11"/>
      <c r="D1084" s="13"/>
      <c r="E1084" s="11"/>
      <c r="F1084" t="e">
        <f t="array" ref="F1084">PROFEXHyperlinkAddress(B1084:B1084)</f>
        <v>#NAME?</v>
      </c>
    </row>
    <row r="1085" ht="25.5" spans="1:6">
      <c r="A1085" s="15"/>
      <c r="B1085" s="14" t="s">
        <v>5</v>
      </c>
      <c r="C1085" s="15"/>
      <c r="D1085" s="16"/>
      <c r="E1085" s="15"/>
      <c r="F1085" t="e">
        <f t="array" ref="F1085">PROFEXHyperlinkAddress(B1085:B1085)</f>
        <v>#NAME?</v>
      </c>
    </row>
    <row r="1086" ht="210" spans="1:6">
      <c r="A1086" s="17">
        <v>5216097</v>
      </c>
      <c r="B1086" s="18" t="s">
        <v>407</v>
      </c>
      <c r="C1086" s="17" t="s">
        <v>1</v>
      </c>
      <c r="D1086" s="19" t="s">
        <v>2</v>
      </c>
      <c r="E1086" s="17" t="s">
        <v>408</v>
      </c>
      <c r="F1086" t="e">
        <f t="array" ref="F1086">PROFEXHyperlinkAddress(B1086:B1086)</f>
        <v>#NAME?</v>
      </c>
    </row>
    <row r="1087" spans="1:6">
      <c r="A1087" s="11"/>
      <c r="B1087" s="12"/>
      <c r="C1087" s="11"/>
      <c r="D1087" s="13"/>
      <c r="E1087" s="11"/>
      <c r="F1087" t="e">
        <f t="array" ref="F1087">PROFEXHyperlinkAddress(B1087:B1087)</f>
        <v>#NAME?</v>
      </c>
    </row>
    <row r="1088" ht="57.75" spans="1:6">
      <c r="A1088" s="11"/>
      <c r="B1088" s="14" t="s">
        <v>409</v>
      </c>
      <c r="C1088" s="11"/>
      <c r="D1088" s="13"/>
      <c r="E1088" s="11"/>
      <c r="F1088" t="e">
        <f t="array" ref="F1088">PROFEXHyperlinkAddress(B1088:B1088)</f>
        <v>#NAME?</v>
      </c>
    </row>
    <row r="1089" spans="1:6">
      <c r="A1089" s="11"/>
      <c r="B1089" s="12"/>
      <c r="C1089" s="11"/>
      <c r="D1089" s="13"/>
      <c r="E1089" s="11"/>
      <c r="F1089" t="e">
        <f t="array" ref="F1089">PROFEXHyperlinkAddress(B1089:B1089)</f>
        <v>#NAME?</v>
      </c>
    </row>
    <row r="1090" ht="25.5" spans="1:6">
      <c r="A1090" s="15"/>
      <c r="B1090" s="14" t="s">
        <v>410</v>
      </c>
      <c r="C1090" s="15"/>
      <c r="D1090" s="16"/>
      <c r="E1090" s="15"/>
      <c r="F1090" t="e">
        <f t="array" ref="F1090">PROFEXHyperlinkAddress(B1090:B1090)</f>
        <v>#NAME?</v>
      </c>
    </row>
    <row r="1091" ht="150" spans="1:6">
      <c r="A1091" s="17">
        <v>5215097</v>
      </c>
      <c r="B1091" s="18" t="s">
        <v>411</v>
      </c>
      <c r="C1091" s="17" t="s">
        <v>1</v>
      </c>
      <c r="D1091" s="19" t="s">
        <v>2</v>
      </c>
      <c r="E1091" s="17" t="s">
        <v>412</v>
      </c>
      <c r="F1091" t="e">
        <f t="array" ref="F1091">PROFEXHyperlinkAddress(B1091:B1091)</f>
        <v>#NAME?</v>
      </c>
    </row>
    <row r="1092" spans="1:6">
      <c r="A1092" s="11"/>
      <c r="B1092" s="12"/>
      <c r="C1092" s="11"/>
      <c r="D1092" s="13"/>
      <c r="E1092" s="11"/>
      <c r="F1092" t="e">
        <f t="array" ref="F1092">PROFEXHyperlinkAddress(B1092:B1092)</f>
        <v>#NAME?</v>
      </c>
    </row>
    <row r="1093" ht="57.75" spans="1:6">
      <c r="A1093" s="11"/>
      <c r="B1093" s="14" t="s">
        <v>21</v>
      </c>
      <c r="C1093" s="11"/>
      <c r="D1093" s="13"/>
      <c r="E1093" s="11"/>
      <c r="F1093" t="e">
        <f t="array" ref="F1093">PROFEXHyperlinkAddress(B1093:B1093)</f>
        <v>#NAME?</v>
      </c>
    </row>
    <row r="1094" spans="1:6">
      <c r="A1094" s="11"/>
      <c r="B1094" s="12"/>
      <c r="C1094" s="11"/>
      <c r="D1094" s="13"/>
      <c r="E1094" s="11"/>
      <c r="F1094" t="e">
        <f t="array" ref="F1094">PROFEXHyperlinkAddress(B1094:B1094)</f>
        <v>#NAME?</v>
      </c>
    </row>
    <row r="1095" ht="25.5" spans="1:6">
      <c r="A1095" s="15"/>
      <c r="B1095" s="14" t="s">
        <v>413</v>
      </c>
      <c r="C1095" s="15"/>
      <c r="D1095" s="16"/>
      <c r="E1095" s="15"/>
      <c r="F1095" t="e">
        <f t="array" ref="F1095">PROFEXHyperlinkAddress(B1095:B1095)</f>
        <v>#NAME?</v>
      </c>
    </row>
    <row r="1096" ht="225" spans="1:6">
      <c r="A1096" s="17">
        <v>5214097</v>
      </c>
      <c r="B1096" s="18" t="s">
        <v>414</v>
      </c>
      <c r="C1096" s="17" t="s">
        <v>1</v>
      </c>
      <c r="D1096" s="19" t="s">
        <v>2</v>
      </c>
      <c r="E1096" s="17" t="s">
        <v>415</v>
      </c>
      <c r="F1096" t="e">
        <f t="array" ref="F1096">PROFEXHyperlinkAddress(B1096:B1096)</f>
        <v>#NAME?</v>
      </c>
    </row>
    <row r="1097" spans="1:6">
      <c r="A1097" s="11"/>
      <c r="B1097" s="12"/>
      <c r="C1097" s="11"/>
      <c r="D1097" s="13"/>
      <c r="E1097" s="11"/>
      <c r="F1097" t="e">
        <f t="array" ref="F1097">PROFEXHyperlinkAddress(B1097:B1097)</f>
        <v>#NAME?</v>
      </c>
    </row>
    <row r="1098" ht="49.5" spans="1:6">
      <c r="A1098" s="11"/>
      <c r="B1098" s="14" t="s">
        <v>78</v>
      </c>
      <c r="C1098" s="11"/>
      <c r="D1098" s="13"/>
      <c r="E1098" s="11"/>
      <c r="F1098" t="e">
        <f t="array" ref="F1098">PROFEXHyperlinkAddress(B1098:B1098)</f>
        <v>#NAME?</v>
      </c>
    </row>
    <row r="1099" spans="1:6">
      <c r="A1099" s="11"/>
      <c r="B1099" s="12"/>
      <c r="C1099" s="11"/>
      <c r="D1099" s="13"/>
      <c r="E1099" s="11"/>
      <c r="F1099" t="e">
        <f t="array" ref="F1099">PROFEXHyperlinkAddress(B1099:B1099)</f>
        <v>#NAME?</v>
      </c>
    </row>
    <row r="1100" ht="25.5" spans="1:6">
      <c r="A1100" s="15"/>
      <c r="B1100" s="14" t="s">
        <v>5</v>
      </c>
      <c r="C1100" s="15"/>
      <c r="D1100" s="16"/>
      <c r="E1100" s="15"/>
      <c r="F1100" t="e">
        <f t="array" ref="F1100">PROFEXHyperlinkAddress(B1100:B1100)</f>
        <v>#NAME?</v>
      </c>
    </row>
    <row r="1101" ht="225" spans="1:6">
      <c r="A1101" s="17">
        <v>5213097</v>
      </c>
      <c r="B1101" s="18" t="s">
        <v>416</v>
      </c>
      <c r="C1101" s="17" t="s">
        <v>1</v>
      </c>
      <c r="D1101" s="19" t="s">
        <v>2</v>
      </c>
      <c r="E1101" s="17" t="s">
        <v>415</v>
      </c>
      <c r="F1101" t="e">
        <f t="array" ref="F1101">PROFEXHyperlinkAddress(B1101:B1101)</f>
        <v>#NAME?</v>
      </c>
    </row>
    <row r="1102" spans="1:6">
      <c r="A1102" s="11"/>
      <c r="B1102" s="12"/>
      <c r="C1102" s="11"/>
      <c r="D1102" s="13"/>
      <c r="E1102" s="11"/>
      <c r="F1102" t="e">
        <f t="array" ref="F1102">PROFEXHyperlinkAddress(B1102:B1102)</f>
        <v>#NAME?</v>
      </c>
    </row>
    <row r="1103" ht="49.5" spans="1:6">
      <c r="A1103" s="11"/>
      <c r="B1103" s="14" t="s">
        <v>78</v>
      </c>
      <c r="C1103" s="11"/>
      <c r="D1103" s="13"/>
      <c r="E1103" s="11"/>
      <c r="F1103" t="e">
        <f t="array" ref="F1103">PROFEXHyperlinkAddress(B1103:B1103)</f>
        <v>#NAME?</v>
      </c>
    </row>
    <row r="1104" spans="1:6">
      <c r="A1104" s="11"/>
      <c r="B1104" s="12"/>
      <c r="C1104" s="11"/>
      <c r="D1104" s="13"/>
      <c r="E1104" s="11"/>
      <c r="F1104" t="e">
        <f t="array" ref="F1104">PROFEXHyperlinkAddress(B1104:B1104)</f>
        <v>#NAME?</v>
      </c>
    </row>
    <row r="1105" ht="25.5" spans="1:6">
      <c r="A1105" s="15"/>
      <c r="B1105" s="14" t="s">
        <v>5</v>
      </c>
      <c r="C1105" s="15"/>
      <c r="D1105" s="16"/>
      <c r="E1105" s="15"/>
      <c r="F1105" t="e">
        <f t="array" ref="F1105">PROFEXHyperlinkAddress(B1105:B1105)</f>
        <v>#NAME?</v>
      </c>
    </row>
    <row r="1106" ht="255" spans="1:6">
      <c r="A1106" s="17">
        <v>5212097</v>
      </c>
      <c r="B1106" s="18" t="s">
        <v>417</v>
      </c>
      <c r="C1106" s="17" t="s">
        <v>1</v>
      </c>
      <c r="D1106" s="19" t="s">
        <v>2</v>
      </c>
      <c r="E1106" s="17" t="s">
        <v>418</v>
      </c>
      <c r="F1106" t="e">
        <f t="array" ref="F1106">PROFEXHyperlinkAddress(B1106:B1106)</f>
        <v>#NAME?</v>
      </c>
    </row>
    <row r="1107" spans="1:6">
      <c r="A1107" s="11"/>
      <c r="B1107" s="12"/>
      <c r="C1107" s="11"/>
      <c r="D1107" s="13"/>
      <c r="E1107" s="11"/>
      <c r="F1107" t="e">
        <f t="array" ref="F1107">PROFEXHyperlinkAddress(B1107:B1107)</f>
        <v>#NAME?</v>
      </c>
    </row>
    <row r="1108" ht="49.5" spans="1:6">
      <c r="A1108" s="11"/>
      <c r="B1108" s="14" t="s">
        <v>78</v>
      </c>
      <c r="C1108" s="11"/>
      <c r="D1108" s="13"/>
      <c r="E1108" s="11"/>
      <c r="F1108" t="e">
        <f t="array" ref="F1108">PROFEXHyperlinkAddress(B1108:B1108)</f>
        <v>#NAME?</v>
      </c>
    </row>
    <row r="1109" spans="1:6">
      <c r="A1109" s="11"/>
      <c r="B1109" s="12"/>
      <c r="C1109" s="11"/>
      <c r="D1109" s="13"/>
      <c r="E1109" s="11"/>
      <c r="F1109" t="e">
        <f t="array" ref="F1109">PROFEXHyperlinkAddress(B1109:B1109)</f>
        <v>#NAME?</v>
      </c>
    </row>
    <row r="1110" ht="25.5" spans="1:6">
      <c r="A1110" s="15"/>
      <c r="B1110" s="14" t="s">
        <v>5</v>
      </c>
      <c r="C1110" s="15"/>
      <c r="D1110" s="16"/>
      <c r="E1110" s="15"/>
      <c r="F1110" t="e">
        <f t="array" ref="F1110">PROFEXHyperlinkAddress(B1110:B1110)</f>
        <v>#NAME?</v>
      </c>
    </row>
    <row r="1111" ht="300" spans="1:6">
      <c r="A1111" s="17">
        <v>5211097</v>
      </c>
      <c r="B1111" s="18" t="s">
        <v>419</v>
      </c>
      <c r="C1111" s="17" t="s">
        <v>1</v>
      </c>
      <c r="D1111" s="19" t="s">
        <v>2</v>
      </c>
      <c r="E1111" s="17" t="s">
        <v>420</v>
      </c>
      <c r="F1111" t="e">
        <f t="array" ref="F1111">PROFEXHyperlinkAddress(B1111:B1111)</f>
        <v>#NAME?</v>
      </c>
    </row>
    <row r="1112" spans="1:6">
      <c r="A1112" s="11"/>
      <c r="B1112" s="12"/>
      <c r="C1112" s="11"/>
      <c r="D1112" s="13"/>
      <c r="E1112" s="11"/>
      <c r="F1112" t="e">
        <f t="array" ref="F1112">PROFEXHyperlinkAddress(B1112:B1112)</f>
        <v>#NAME?</v>
      </c>
    </row>
    <row r="1113" ht="49.5" spans="1:6">
      <c r="A1113" s="11"/>
      <c r="B1113" s="14" t="s">
        <v>78</v>
      </c>
      <c r="C1113" s="11"/>
      <c r="D1113" s="13"/>
      <c r="E1113" s="11"/>
      <c r="F1113" t="e">
        <f t="array" ref="F1113">PROFEXHyperlinkAddress(B1113:B1113)</f>
        <v>#NAME?</v>
      </c>
    </row>
    <row r="1114" spans="1:6">
      <c r="A1114" s="11"/>
      <c r="B1114" s="12"/>
      <c r="C1114" s="11"/>
      <c r="D1114" s="13"/>
      <c r="E1114" s="11"/>
      <c r="F1114" t="e">
        <f t="array" ref="F1114">PROFEXHyperlinkAddress(B1114:B1114)</f>
        <v>#NAME?</v>
      </c>
    </row>
    <row r="1115" ht="25.5" spans="1:6">
      <c r="A1115" s="15"/>
      <c r="B1115" s="14" t="s">
        <v>5</v>
      </c>
      <c r="C1115" s="15"/>
      <c r="D1115" s="16"/>
      <c r="E1115" s="15"/>
      <c r="F1115" t="e">
        <f t="array" ref="F1115">PROFEXHyperlinkAddress(B1115:B1115)</f>
        <v>#NAME?</v>
      </c>
    </row>
    <row r="1116" ht="300" spans="1:6">
      <c r="A1116" s="17">
        <v>5210097</v>
      </c>
      <c r="B1116" s="18" t="s">
        <v>421</v>
      </c>
      <c r="C1116" s="17" t="s">
        <v>1</v>
      </c>
      <c r="D1116" s="19" t="s">
        <v>2</v>
      </c>
      <c r="E1116" s="17" t="s">
        <v>422</v>
      </c>
      <c r="F1116" t="e">
        <f t="array" ref="F1116">PROFEXHyperlinkAddress(B1116:B1116)</f>
        <v>#NAME?</v>
      </c>
    </row>
    <row r="1117" spans="1:6">
      <c r="A1117" s="11"/>
      <c r="B1117" s="12"/>
      <c r="C1117" s="11"/>
      <c r="D1117" s="13"/>
      <c r="E1117" s="11"/>
      <c r="F1117" t="e">
        <f t="array" ref="F1117">PROFEXHyperlinkAddress(B1117:B1117)</f>
        <v>#NAME?</v>
      </c>
    </row>
    <row r="1118" ht="49.5" spans="1:6">
      <c r="A1118" s="11"/>
      <c r="B1118" s="14" t="s">
        <v>78</v>
      </c>
      <c r="C1118" s="11"/>
      <c r="D1118" s="13"/>
      <c r="E1118" s="11"/>
      <c r="F1118" t="e">
        <f t="array" ref="F1118">PROFEXHyperlinkAddress(B1118:B1118)</f>
        <v>#NAME?</v>
      </c>
    </row>
    <row r="1119" spans="1:6">
      <c r="A1119" s="11"/>
      <c r="B1119" s="12"/>
      <c r="C1119" s="11"/>
      <c r="D1119" s="13"/>
      <c r="E1119" s="11"/>
      <c r="F1119" t="e">
        <f t="array" ref="F1119">PROFEXHyperlinkAddress(B1119:B1119)</f>
        <v>#NAME?</v>
      </c>
    </row>
    <row r="1120" ht="25.5" spans="1:6">
      <c r="A1120" s="15"/>
      <c r="B1120" s="14" t="s">
        <v>5</v>
      </c>
      <c r="C1120" s="15"/>
      <c r="D1120" s="16"/>
      <c r="E1120" s="15"/>
      <c r="F1120" t="e">
        <f t="array" ref="F1120">PROFEXHyperlinkAddress(B1120:B1120)</f>
        <v>#NAME?</v>
      </c>
    </row>
    <row r="1121" ht="165" spans="1:6">
      <c r="A1121" s="17">
        <v>5209097</v>
      </c>
      <c r="B1121" s="18" t="s">
        <v>423</v>
      </c>
      <c r="C1121" s="17" t="s">
        <v>1</v>
      </c>
      <c r="D1121" s="19" t="s">
        <v>2</v>
      </c>
      <c r="E1121" s="17" t="s">
        <v>93</v>
      </c>
      <c r="F1121" t="e">
        <f t="array" ref="F1121">PROFEXHyperlinkAddress(B1121:B1121)</f>
        <v>#NAME?</v>
      </c>
    </row>
    <row r="1122" spans="1:6">
      <c r="A1122" s="11"/>
      <c r="B1122" s="12"/>
      <c r="C1122" s="11"/>
      <c r="D1122" s="13"/>
      <c r="E1122" s="11"/>
      <c r="F1122" t="e">
        <f t="array" ref="F1122">PROFEXHyperlinkAddress(B1122:B1122)</f>
        <v>#NAME?</v>
      </c>
    </row>
    <row r="1123" ht="57.75" spans="1:6">
      <c r="A1123" s="11"/>
      <c r="B1123" s="14" t="s">
        <v>21</v>
      </c>
      <c r="C1123" s="11"/>
      <c r="D1123" s="13"/>
      <c r="E1123" s="11"/>
      <c r="F1123" t="e">
        <f t="array" ref="F1123">PROFEXHyperlinkAddress(B1123:B1123)</f>
        <v>#NAME?</v>
      </c>
    </row>
    <row r="1124" spans="1:6">
      <c r="A1124" s="11"/>
      <c r="B1124" s="12"/>
      <c r="C1124" s="11"/>
      <c r="D1124" s="13"/>
      <c r="E1124" s="11"/>
      <c r="F1124" t="e">
        <f t="array" ref="F1124">PROFEXHyperlinkAddress(B1124:B1124)</f>
        <v>#NAME?</v>
      </c>
    </row>
    <row r="1125" ht="25.5" spans="1:6">
      <c r="A1125" s="15"/>
      <c r="B1125" s="14" t="s">
        <v>5</v>
      </c>
      <c r="C1125" s="15"/>
      <c r="D1125" s="16"/>
      <c r="E1125" s="15"/>
      <c r="F1125" t="e">
        <f t="array" ref="F1125">PROFEXHyperlinkAddress(B1125:B1125)</f>
        <v>#NAME?</v>
      </c>
    </row>
    <row r="1126" ht="270" spans="1:6">
      <c r="A1126" s="17">
        <v>5208097</v>
      </c>
      <c r="B1126" s="18" t="s">
        <v>424</v>
      </c>
      <c r="C1126" s="17" t="s">
        <v>1</v>
      </c>
      <c r="D1126" s="19" t="s">
        <v>2</v>
      </c>
      <c r="E1126" s="17" t="s">
        <v>374</v>
      </c>
      <c r="F1126" t="e">
        <f t="array" ref="F1126">PROFEXHyperlinkAddress(B1126:B1126)</f>
        <v>#NAME?</v>
      </c>
    </row>
    <row r="1127" spans="1:6">
      <c r="A1127" s="11"/>
      <c r="B1127" s="12"/>
      <c r="C1127" s="11"/>
      <c r="D1127" s="13"/>
      <c r="E1127" s="11"/>
      <c r="F1127" t="e">
        <f t="array" ref="F1127">PROFEXHyperlinkAddress(B1127:B1127)</f>
        <v>#NAME?</v>
      </c>
    </row>
    <row r="1128" ht="57.75" spans="1:6">
      <c r="A1128" s="11"/>
      <c r="B1128" s="14" t="s">
        <v>21</v>
      </c>
      <c r="C1128" s="11"/>
      <c r="D1128" s="13"/>
      <c r="E1128" s="11"/>
      <c r="F1128" t="e">
        <f t="array" ref="F1128">PROFEXHyperlinkAddress(B1128:B1128)</f>
        <v>#NAME?</v>
      </c>
    </row>
    <row r="1129" spans="1:6">
      <c r="A1129" s="11"/>
      <c r="B1129" s="12"/>
      <c r="C1129" s="11"/>
      <c r="D1129" s="13"/>
      <c r="E1129" s="11"/>
      <c r="F1129" t="e">
        <f t="array" ref="F1129">PROFEXHyperlinkAddress(B1129:B1129)</f>
        <v>#NAME?</v>
      </c>
    </row>
    <row r="1130" ht="25.5" spans="1:6">
      <c r="A1130" s="15"/>
      <c r="B1130" s="14" t="s">
        <v>425</v>
      </c>
      <c r="C1130" s="15"/>
      <c r="D1130" s="16"/>
      <c r="E1130" s="15"/>
      <c r="F1130" t="e">
        <f t="array" ref="F1130">PROFEXHyperlinkAddress(B1130:B1130)</f>
        <v>#NAME?</v>
      </c>
    </row>
    <row r="1131" ht="180" spans="1:6">
      <c r="A1131" s="17">
        <v>5206097</v>
      </c>
      <c r="B1131" s="18" t="s">
        <v>426</v>
      </c>
      <c r="C1131" s="17" t="s">
        <v>1</v>
      </c>
      <c r="D1131" s="19" t="s">
        <v>2</v>
      </c>
      <c r="E1131" s="17" t="s">
        <v>427</v>
      </c>
      <c r="F1131" t="e">
        <f t="array" ref="F1131">PROFEXHyperlinkAddress(B1131:B1131)</f>
        <v>#NAME?</v>
      </c>
    </row>
    <row r="1132" spans="1:6">
      <c r="A1132" s="11"/>
      <c r="B1132" s="12"/>
      <c r="C1132" s="11"/>
      <c r="D1132" s="13"/>
      <c r="E1132" s="11"/>
      <c r="F1132" t="e">
        <f t="array" ref="F1132">PROFEXHyperlinkAddress(B1132:B1132)</f>
        <v>#NAME?</v>
      </c>
    </row>
    <row r="1133" ht="57.75" spans="1:6">
      <c r="A1133" s="11"/>
      <c r="B1133" s="14" t="s">
        <v>21</v>
      </c>
      <c r="C1133" s="11"/>
      <c r="D1133" s="13"/>
      <c r="E1133" s="11"/>
      <c r="F1133" t="e">
        <f t="array" ref="F1133">PROFEXHyperlinkAddress(B1133:B1133)</f>
        <v>#NAME?</v>
      </c>
    </row>
    <row r="1134" spans="1:6">
      <c r="A1134" s="11"/>
      <c r="B1134" s="12"/>
      <c r="C1134" s="11"/>
      <c r="D1134" s="13"/>
      <c r="E1134" s="11"/>
      <c r="F1134" t="e">
        <f t="array" ref="F1134">PROFEXHyperlinkAddress(B1134:B1134)</f>
        <v>#NAME?</v>
      </c>
    </row>
    <row r="1135" ht="25.5" spans="1:6">
      <c r="A1135" s="15"/>
      <c r="B1135" s="14" t="s">
        <v>5</v>
      </c>
      <c r="C1135" s="15"/>
      <c r="D1135" s="16"/>
      <c r="E1135" s="15"/>
      <c r="F1135" t="e">
        <f t="array" ref="F1135">PROFEXHyperlinkAddress(B1135:B1135)</f>
        <v>#NAME?</v>
      </c>
    </row>
    <row r="1136" ht="75" spans="1:6">
      <c r="A1136" s="17">
        <v>5200097</v>
      </c>
      <c r="B1136" s="18" t="s">
        <v>428</v>
      </c>
      <c r="C1136" s="17" t="s">
        <v>1</v>
      </c>
      <c r="D1136" s="19" t="s">
        <v>2</v>
      </c>
      <c r="E1136" s="17" t="s">
        <v>429</v>
      </c>
      <c r="F1136" t="e">
        <f t="array" ref="F1136">PROFEXHyperlinkAddress(B1136:B1136)</f>
        <v>#NAME?</v>
      </c>
    </row>
    <row r="1137" spans="1:6">
      <c r="A1137" s="11"/>
      <c r="B1137" s="12"/>
      <c r="C1137" s="11"/>
      <c r="D1137" s="13"/>
      <c r="E1137" s="11"/>
      <c r="F1137" t="e">
        <f t="array" ref="F1137">PROFEXHyperlinkAddress(B1137:B1137)</f>
        <v>#NAME?</v>
      </c>
    </row>
    <row r="1138" ht="57.75" spans="1:6">
      <c r="A1138" s="11"/>
      <c r="B1138" s="14" t="s">
        <v>21</v>
      </c>
      <c r="C1138" s="11"/>
      <c r="D1138" s="13"/>
      <c r="E1138" s="11"/>
      <c r="F1138" t="e">
        <f t="array" ref="F1138">PROFEXHyperlinkAddress(B1138:B1138)</f>
        <v>#NAME?</v>
      </c>
    </row>
    <row r="1139" spans="1:6">
      <c r="A1139" s="11"/>
      <c r="B1139" s="12"/>
      <c r="C1139" s="11"/>
      <c r="D1139" s="13"/>
      <c r="E1139" s="11"/>
      <c r="F1139" t="e">
        <f t="array" ref="F1139">PROFEXHyperlinkAddress(B1139:B1139)</f>
        <v>#NAME?</v>
      </c>
    </row>
    <row r="1140" ht="25.5" spans="1:6">
      <c r="A1140" s="15"/>
      <c r="B1140" s="14" t="s">
        <v>430</v>
      </c>
      <c r="C1140" s="15"/>
      <c r="D1140" s="16"/>
      <c r="E1140" s="15"/>
      <c r="F1140" t="e">
        <f t="array" ref="F1140">PROFEXHyperlinkAddress(B1140:B1140)</f>
        <v>#NAME?</v>
      </c>
    </row>
    <row r="1141" ht="195" spans="1:6">
      <c r="A1141" s="17">
        <v>5199097</v>
      </c>
      <c r="B1141" s="18" t="s">
        <v>431</v>
      </c>
      <c r="C1141" s="17" t="s">
        <v>1</v>
      </c>
      <c r="D1141" s="19" t="s">
        <v>2</v>
      </c>
      <c r="E1141" s="17" t="s">
        <v>432</v>
      </c>
      <c r="F1141" t="e">
        <f t="array" ref="F1141">PROFEXHyperlinkAddress(B1141:B1141)</f>
        <v>#NAME?</v>
      </c>
    </row>
    <row r="1142" spans="1:6">
      <c r="A1142" s="11"/>
      <c r="B1142" s="12"/>
      <c r="C1142" s="11"/>
      <c r="D1142" s="13"/>
      <c r="E1142" s="11"/>
      <c r="F1142" t="e">
        <f t="array" ref="F1142">PROFEXHyperlinkAddress(B1142:B1142)</f>
        <v>#NAME?</v>
      </c>
    </row>
    <row r="1143" ht="57.75" spans="1:6">
      <c r="A1143" s="11"/>
      <c r="B1143" s="14" t="s">
        <v>21</v>
      </c>
      <c r="C1143" s="11"/>
      <c r="D1143" s="13"/>
      <c r="E1143" s="11"/>
      <c r="F1143" t="e">
        <f t="array" ref="F1143">PROFEXHyperlinkAddress(B1143:B1143)</f>
        <v>#NAME?</v>
      </c>
    </row>
    <row r="1144" spans="1:6">
      <c r="A1144" s="11"/>
      <c r="B1144" s="12"/>
      <c r="C1144" s="11"/>
      <c r="D1144" s="13"/>
      <c r="E1144" s="11"/>
      <c r="F1144" t="e">
        <f t="array" ref="F1144">PROFEXHyperlinkAddress(B1144:B1144)</f>
        <v>#NAME?</v>
      </c>
    </row>
    <row r="1145" ht="25.5" spans="1:6">
      <c r="A1145" s="15"/>
      <c r="B1145" s="14" t="s">
        <v>5</v>
      </c>
      <c r="C1145" s="15"/>
      <c r="D1145" s="16"/>
      <c r="E1145" s="15"/>
      <c r="F1145" t="e">
        <f t="array" ref="F1145">PROFEXHyperlinkAddress(B1145:B1145)</f>
        <v>#NAME?</v>
      </c>
    </row>
    <row r="1146" ht="240" spans="1:6">
      <c r="A1146" s="17">
        <v>5198097</v>
      </c>
      <c r="B1146" s="18" t="s">
        <v>433</v>
      </c>
      <c r="C1146" s="17" t="s">
        <v>1</v>
      </c>
      <c r="D1146" s="19" t="s">
        <v>76</v>
      </c>
      <c r="E1146" s="17" t="s">
        <v>262</v>
      </c>
      <c r="F1146" t="e">
        <f t="array" ref="F1146">PROFEXHyperlinkAddress(B1146:B1146)</f>
        <v>#NAME?</v>
      </c>
    </row>
    <row r="1147" spans="1:6">
      <c r="A1147" s="11"/>
      <c r="B1147" s="12"/>
      <c r="C1147" s="11"/>
      <c r="D1147" s="13"/>
      <c r="E1147" s="11"/>
      <c r="F1147" t="e">
        <f t="array" ref="F1147">PROFEXHyperlinkAddress(B1147:B1147)</f>
        <v>#NAME?</v>
      </c>
    </row>
    <row r="1148" ht="49.5" spans="1:6">
      <c r="A1148" s="11"/>
      <c r="B1148" s="14" t="s">
        <v>78</v>
      </c>
      <c r="C1148" s="11"/>
      <c r="D1148" s="13"/>
      <c r="E1148" s="11"/>
      <c r="F1148" t="e">
        <f t="array" ref="F1148">PROFEXHyperlinkAddress(B1148:B1148)</f>
        <v>#NAME?</v>
      </c>
    </row>
    <row r="1149" spans="1:6">
      <c r="A1149" s="11"/>
      <c r="B1149" s="12"/>
      <c r="C1149" s="11"/>
      <c r="D1149" s="13"/>
      <c r="E1149" s="11"/>
      <c r="F1149" t="e">
        <f t="array" ref="F1149">PROFEXHyperlinkAddress(B1149:B1149)</f>
        <v>#NAME?</v>
      </c>
    </row>
    <row r="1150" ht="25.5" spans="1:6">
      <c r="A1150" s="15"/>
      <c r="B1150" s="14" t="s">
        <v>5</v>
      </c>
      <c r="C1150" s="15"/>
      <c r="D1150" s="16"/>
      <c r="E1150" s="15"/>
      <c r="F1150" t="e">
        <f t="array" ref="F1150">PROFEXHyperlinkAddress(B1150:B1150)</f>
        <v>#NAME?</v>
      </c>
    </row>
    <row r="1151" ht="195" spans="1:6">
      <c r="A1151" s="17">
        <v>5194097</v>
      </c>
      <c r="B1151" s="18" t="s">
        <v>434</v>
      </c>
      <c r="C1151" s="17" t="s">
        <v>1</v>
      </c>
      <c r="D1151" s="19" t="s">
        <v>2</v>
      </c>
      <c r="E1151" s="17" t="s">
        <v>435</v>
      </c>
      <c r="F1151" t="e">
        <f t="array" ref="F1151">PROFEXHyperlinkAddress(B1151:B1151)</f>
        <v>#NAME?</v>
      </c>
    </row>
    <row r="1152" spans="1:6">
      <c r="A1152" s="11"/>
      <c r="B1152" s="12"/>
      <c r="C1152" s="11"/>
      <c r="D1152" s="13"/>
      <c r="E1152" s="11"/>
      <c r="F1152" t="e">
        <f t="array" ref="F1152">PROFEXHyperlinkAddress(B1152:B1152)</f>
        <v>#NAME?</v>
      </c>
    </row>
    <row r="1153" ht="57.75" spans="1:6">
      <c r="A1153" s="11"/>
      <c r="B1153" s="14" t="s">
        <v>21</v>
      </c>
      <c r="C1153" s="11"/>
      <c r="D1153" s="13"/>
      <c r="E1153" s="11"/>
      <c r="F1153" t="e">
        <f t="array" ref="F1153">PROFEXHyperlinkAddress(B1153:B1153)</f>
        <v>#NAME?</v>
      </c>
    </row>
    <row r="1154" spans="1:6">
      <c r="A1154" s="11"/>
      <c r="B1154" s="12"/>
      <c r="C1154" s="11"/>
      <c r="D1154" s="13"/>
      <c r="E1154" s="11"/>
      <c r="F1154" t="e">
        <f t="array" ref="F1154">PROFEXHyperlinkAddress(B1154:B1154)</f>
        <v>#NAME?</v>
      </c>
    </row>
    <row r="1155" ht="25.5" spans="1:6">
      <c r="A1155" s="15"/>
      <c r="B1155" s="14" t="s">
        <v>5</v>
      </c>
      <c r="C1155" s="15"/>
      <c r="D1155" s="16"/>
      <c r="E1155" s="15"/>
      <c r="F1155" t="e">
        <f t="array" ref="F1155">PROFEXHyperlinkAddress(B1155:B1155)</f>
        <v>#NAME?</v>
      </c>
    </row>
    <row r="1156" ht="195" spans="1:6">
      <c r="A1156" s="17">
        <v>5193097</v>
      </c>
      <c r="B1156" s="18" t="s">
        <v>436</v>
      </c>
      <c r="C1156" s="17" t="s">
        <v>1</v>
      </c>
      <c r="D1156" s="19" t="s">
        <v>2</v>
      </c>
      <c r="E1156" s="17" t="s">
        <v>437</v>
      </c>
      <c r="F1156" t="e">
        <f t="array" ref="F1156">PROFEXHyperlinkAddress(B1156:B1156)</f>
        <v>#NAME?</v>
      </c>
    </row>
    <row r="1157" spans="1:6">
      <c r="A1157" s="11"/>
      <c r="B1157" s="12"/>
      <c r="C1157" s="11"/>
      <c r="D1157" s="13"/>
      <c r="E1157" s="11"/>
      <c r="F1157" t="e">
        <f t="array" ref="F1157">PROFEXHyperlinkAddress(B1157:B1157)</f>
        <v>#NAME?</v>
      </c>
    </row>
    <row r="1158" ht="57.75" spans="1:6">
      <c r="A1158" s="11"/>
      <c r="B1158" s="14" t="s">
        <v>21</v>
      </c>
      <c r="C1158" s="11"/>
      <c r="D1158" s="13"/>
      <c r="E1158" s="11"/>
      <c r="F1158" t="e">
        <f t="array" ref="F1158">PROFEXHyperlinkAddress(B1158:B1158)</f>
        <v>#NAME?</v>
      </c>
    </row>
    <row r="1159" spans="1:6">
      <c r="A1159" s="11"/>
      <c r="B1159" s="12"/>
      <c r="C1159" s="11"/>
      <c r="D1159" s="13"/>
      <c r="E1159" s="11"/>
      <c r="F1159" t="e">
        <f t="array" ref="F1159">PROFEXHyperlinkAddress(B1159:B1159)</f>
        <v>#NAME?</v>
      </c>
    </row>
    <row r="1160" ht="25.5" spans="1:6">
      <c r="A1160" s="15"/>
      <c r="B1160" s="14" t="s">
        <v>5</v>
      </c>
      <c r="C1160" s="15"/>
      <c r="D1160" s="16"/>
      <c r="E1160" s="15"/>
      <c r="F1160" t="e">
        <f t="array" ref="F1160">PROFEXHyperlinkAddress(B1160:B1160)</f>
        <v>#NAME?</v>
      </c>
    </row>
    <row r="1161" ht="135" spans="1:6">
      <c r="A1161" s="17">
        <v>5192097</v>
      </c>
      <c r="B1161" s="18" t="s">
        <v>438</v>
      </c>
      <c r="C1161" s="17" t="s">
        <v>1</v>
      </c>
      <c r="D1161" s="19" t="s">
        <v>2</v>
      </c>
      <c r="E1161" s="17" t="s">
        <v>62</v>
      </c>
      <c r="F1161" t="e">
        <f t="array" ref="F1161">PROFEXHyperlinkAddress(B1161:B1161)</f>
        <v>#NAME?</v>
      </c>
    </row>
    <row r="1162" spans="1:6">
      <c r="A1162" s="11"/>
      <c r="B1162" s="12"/>
      <c r="C1162" s="11"/>
      <c r="D1162" s="13"/>
      <c r="E1162" s="11"/>
      <c r="F1162" t="e">
        <f t="array" ref="F1162">PROFEXHyperlinkAddress(B1162:B1162)</f>
        <v>#NAME?</v>
      </c>
    </row>
    <row r="1163" ht="57.75" spans="1:6">
      <c r="A1163" s="11"/>
      <c r="B1163" s="14" t="s">
        <v>21</v>
      </c>
      <c r="C1163" s="11"/>
      <c r="D1163" s="13"/>
      <c r="E1163" s="11"/>
      <c r="F1163" t="e">
        <f t="array" ref="F1163">PROFEXHyperlinkAddress(B1163:B1163)</f>
        <v>#NAME?</v>
      </c>
    </row>
    <row r="1164" spans="1:6">
      <c r="A1164" s="11"/>
      <c r="B1164" s="12"/>
      <c r="C1164" s="11"/>
      <c r="D1164" s="13"/>
      <c r="E1164" s="11"/>
      <c r="F1164" t="e">
        <f t="array" ref="F1164">PROFEXHyperlinkAddress(B1164:B1164)</f>
        <v>#NAME?</v>
      </c>
    </row>
    <row r="1165" ht="25.5" spans="1:6">
      <c r="A1165" s="15"/>
      <c r="B1165" s="14" t="s">
        <v>5</v>
      </c>
      <c r="C1165" s="15"/>
      <c r="D1165" s="16"/>
      <c r="E1165" s="15"/>
      <c r="F1165" t="e">
        <f t="array" ref="F1165">PROFEXHyperlinkAddress(B1165:B1165)</f>
        <v>#NAME?</v>
      </c>
    </row>
    <row r="1166" ht="150" spans="1:6">
      <c r="A1166" s="17">
        <v>5191097</v>
      </c>
      <c r="B1166" s="18" t="s">
        <v>439</v>
      </c>
      <c r="C1166" s="17" t="s">
        <v>1</v>
      </c>
      <c r="D1166" s="19" t="s">
        <v>2</v>
      </c>
      <c r="E1166" s="17" t="s">
        <v>440</v>
      </c>
      <c r="F1166" t="e">
        <f t="array" ref="F1166">PROFEXHyperlinkAddress(B1166:B1166)</f>
        <v>#NAME?</v>
      </c>
    </row>
    <row r="1167" spans="1:6">
      <c r="A1167" s="11"/>
      <c r="B1167" s="12"/>
      <c r="C1167" s="11"/>
      <c r="D1167" s="13"/>
      <c r="E1167" s="11"/>
      <c r="F1167" t="e">
        <f t="array" ref="F1167">PROFEXHyperlinkAddress(B1167:B1167)</f>
        <v>#NAME?</v>
      </c>
    </row>
    <row r="1168" ht="57.75" spans="1:6">
      <c r="A1168" s="11"/>
      <c r="B1168" s="14" t="s">
        <v>21</v>
      </c>
      <c r="C1168" s="11"/>
      <c r="D1168" s="13"/>
      <c r="E1168" s="11"/>
      <c r="F1168" t="e">
        <f t="array" ref="F1168">PROFEXHyperlinkAddress(B1168:B1168)</f>
        <v>#NAME?</v>
      </c>
    </row>
    <row r="1169" spans="1:6">
      <c r="A1169" s="11"/>
      <c r="B1169" s="12"/>
      <c r="C1169" s="11"/>
      <c r="D1169" s="13"/>
      <c r="E1169" s="11"/>
      <c r="F1169" t="e">
        <f t="array" ref="F1169">PROFEXHyperlinkAddress(B1169:B1169)</f>
        <v>#NAME?</v>
      </c>
    </row>
    <row r="1170" ht="25.5" spans="1:6">
      <c r="A1170" s="15"/>
      <c r="B1170" s="14" t="s">
        <v>5</v>
      </c>
      <c r="C1170" s="15"/>
      <c r="D1170" s="16"/>
      <c r="E1170" s="15"/>
      <c r="F1170" t="e">
        <f t="array" ref="F1170">PROFEXHyperlinkAddress(B1170:B1170)</f>
        <v>#NAME?</v>
      </c>
    </row>
    <row r="1171" ht="225" spans="1:6">
      <c r="A1171" s="17">
        <v>5181097</v>
      </c>
      <c r="B1171" s="18" t="s">
        <v>441</v>
      </c>
      <c r="C1171" s="17" t="s">
        <v>1</v>
      </c>
      <c r="D1171" s="19" t="s">
        <v>7</v>
      </c>
      <c r="E1171" s="17" t="s">
        <v>400</v>
      </c>
      <c r="F1171" t="e">
        <f t="array" ref="F1171">PROFEXHyperlinkAddress(B1171:B1171)</f>
        <v>#NAME?</v>
      </c>
    </row>
    <row r="1172" spans="1:6">
      <c r="A1172" s="11"/>
      <c r="B1172" s="12"/>
      <c r="C1172" s="11"/>
      <c r="D1172" s="13"/>
      <c r="E1172" s="11"/>
      <c r="F1172" t="e">
        <f t="array" ref="F1172">PROFEXHyperlinkAddress(B1172:B1172)</f>
        <v>#NAME?</v>
      </c>
    </row>
    <row r="1173" ht="57.75" spans="1:6">
      <c r="A1173" s="11"/>
      <c r="B1173" s="14" t="s">
        <v>21</v>
      </c>
      <c r="C1173" s="11"/>
      <c r="D1173" s="13"/>
      <c r="E1173" s="11"/>
      <c r="F1173" t="e">
        <f t="array" ref="F1173">PROFEXHyperlinkAddress(B1173:B1173)</f>
        <v>#NAME?</v>
      </c>
    </row>
    <row r="1174" spans="1:6">
      <c r="A1174" s="11"/>
      <c r="B1174" s="12"/>
      <c r="C1174" s="11"/>
      <c r="D1174" s="13"/>
      <c r="E1174" s="11"/>
      <c r="F1174" t="e">
        <f t="array" ref="F1174">PROFEXHyperlinkAddress(B1174:B1174)</f>
        <v>#NAME?</v>
      </c>
    </row>
    <row r="1175" ht="25.5" spans="1:6">
      <c r="A1175" s="15"/>
      <c r="B1175" s="14" t="s">
        <v>5</v>
      </c>
      <c r="C1175" s="15"/>
      <c r="D1175" s="16"/>
      <c r="E1175" s="15"/>
      <c r="F1175" t="e">
        <f t="array" ref="F1175">PROFEXHyperlinkAddress(B1175:B1175)</f>
        <v>#NAME?</v>
      </c>
    </row>
    <row r="1176" ht="135" spans="1:6">
      <c r="A1176" s="17">
        <v>5176097</v>
      </c>
      <c r="B1176" s="18" t="s">
        <v>442</v>
      </c>
      <c r="C1176" s="17" t="s">
        <v>1</v>
      </c>
      <c r="D1176" s="19" t="s">
        <v>2</v>
      </c>
      <c r="E1176" s="17" t="s">
        <v>443</v>
      </c>
      <c r="F1176" t="e">
        <f t="array" ref="F1176">PROFEXHyperlinkAddress(B1176:B1176)</f>
        <v>#NAME?</v>
      </c>
    </row>
    <row r="1177" spans="1:6">
      <c r="A1177" s="11"/>
      <c r="B1177" s="12"/>
      <c r="C1177" s="11"/>
      <c r="D1177" s="13"/>
      <c r="E1177" s="11"/>
      <c r="F1177" t="e">
        <f t="array" ref="F1177">PROFEXHyperlinkAddress(B1177:B1177)</f>
        <v>#NAME?</v>
      </c>
    </row>
    <row r="1178" ht="57.75" spans="1:6">
      <c r="A1178" s="11"/>
      <c r="B1178" s="14" t="s">
        <v>16</v>
      </c>
      <c r="C1178" s="11"/>
      <c r="D1178" s="13"/>
      <c r="E1178" s="11"/>
      <c r="F1178" t="e">
        <f t="array" ref="F1178">PROFEXHyperlinkAddress(B1178:B1178)</f>
        <v>#NAME?</v>
      </c>
    </row>
    <row r="1179" spans="1:6">
      <c r="A1179" s="11"/>
      <c r="B1179" s="12"/>
      <c r="C1179" s="11"/>
      <c r="D1179" s="13"/>
      <c r="E1179" s="11"/>
      <c r="F1179" t="e">
        <f t="array" ref="F1179">PROFEXHyperlinkAddress(B1179:B1179)</f>
        <v>#NAME?</v>
      </c>
    </row>
    <row r="1180" ht="25.5" spans="1:6">
      <c r="A1180" s="15"/>
      <c r="B1180" s="14" t="s">
        <v>444</v>
      </c>
      <c r="C1180" s="15"/>
      <c r="D1180" s="16"/>
      <c r="E1180" s="15"/>
      <c r="F1180" t="e">
        <f t="array" ref="F1180">PROFEXHyperlinkAddress(B1180:B1180)</f>
        <v>#NAME?</v>
      </c>
    </row>
    <row r="1181" ht="165" spans="1:6">
      <c r="A1181" s="17">
        <v>5175097</v>
      </c>
      <c r="B1181" s="18" t="s">
        <v>445</v>
      </c>
      <c r="C1181" s="17" t="s">
        <v>1</v>
      </c>
      <c r="D1181" s="19" t="s">
        <v>2</v>
      </c>
      <c r="E1181" s="17" t="s">
        <v>446</v>
      </c>
      <c r="F1181" t="e">
        <f t="array" ref="F1181">PROFEXHyperlinkAddress(B1181:B1181)</f>
        <v>#NAME?</v>
      </c>
    </row>
    <row r="1182" spans="1:6">
      <c r="A1182" s="11"/>
      <c r="B1182" s="12"/>
      <c r="C1182" s="11"/>
      <c r="D1182" s="13"/>
      <c r="E1182" s="11"/>
      <c r="F1182" t="e">
        <f t="array" ref="F1182">PROFEXHyperlinkAddress(B1182:B1182)</f>
        <v>#NAME?</v>
      </c>
    </row>
    <row r="1183" ht="57.75" spans="1:6">
      <c r="A1183" s="11"/>
      <c r="B1183" s="14" t="s">
        <v>16</v>
      </c>
      <c r="C1183" s="11"/>
      <c r="D1183" s="13"/>
      <c r="E1183" s="11"/>
      <c r="F1183" t="e">
        <f t="array" ref="F1183">PROFEXHyperlinkAddress(B1183:B1183)</f>
        <v>#NAME?</v>
      </c>
    </row>
    <row r="1184" spans="1:6">
      <c r="A1184" s="11"/>
      <c r="B1184" s="12"/>
      <c r="C1184" s="11"/>
      <c r="D1184" s="13"/>
      <c r="E1184" s="11"/>
      <c r="F1184" t="e">
        <f t="array" ref="F1184">PROFEXHyperlinkAddress(B1184:B1184)</f>
        <v>#NAME?</v>
      </c>
    </row>
    <row r="1185" ht="25.5" spans="1:6">
      <c r="A1185" s="15"/>
      <c r="B1185" s="14" t="s">
        <v>447</v>
      </c>
      <c r="C1185" s="15"/>
      <c r="D1185" s="16"/>
      <c r="E1185" s="15"/>
      <c r="F1185" t="e">
        <f t="array" ref="F1185">PROFEXHyperlinkAddress(B1185:B1185)</f>
        <v>#NAME?</v>
      </c>
    </row>
    <row r="1186" ht="180" spans="1:6">
      <c r="A1186" s="17">
        <v>5172097</v>
      </c>
      <c r="B1186" s="18" t="s">
        <v>448</v>
      </c>
      <c r="C1186" s="17" t="s">
        <v>1</v>
      </c>
      <c r="D1186" s="19" t="s">
        <v>7</v>
      </c>
      <c r="E1186" s="17" t="s">
        <v>285</v>
      </c>
      <c r="F1186" t="e">
        <f t="array" ref="F1186">PROFEXHyperlinkAddress(B1186:B1186)</f>
        <v>#NAME?</v>
      </c>
    </row>
    <row r="1187" spans="1:6">
      <c r="A1187" s="11"/>
      <c r="B1187" s="12"/>
      <c r="C1187" s="11"/>
      <c r="D1187" s="13"/>
      <c r="E1187" s="11"/>
      <c r="F1187" t="e">
        <f t="array" ref="F1187">PROFEXHyperlinkAddress(B1187:B1187)</f>
        <v>#NAME?</v>
      </c>
    </row>
    <row r="1188" ht="49.5" spans="1:6">
      <c r="A1188" s="11"/>
      <c r="B1188" s="14" t="s">
        <v>188</v>
      </c>
      <c r="C1188" s="11"/>
      <c r="D1188" s="13"/>
      <c r="E1188" s="11"/>
      <c r="F1188" t="e">
        <f t="array" ref="F1188">PROFEXHyperlinkAddress(B1188:B1188)</f>
        <v>#NAME?</v>
      </c>
    </row>
    <row r="1189" spans="1:6">
      <c r="A1189" s="11"/>
      <c r="B1189" s="12"/>
      <c r="C1189" s="11"/>
      <c r="D1189" s="13"/>
      <c r="E1189" s="11"/>
      <c r="F1189" t="e">
        <f t="array" ref="F1189">PROFEXHyperlinkAddress(B1189:B1189)</f>
        <v>#NAME?</v>
      </c>
    </row>
    <row r="1190" ht="25.5" spans="1:6">
      <c r="A1190" s="15"/>
      <c r="B1190" s="14" t="s">
        <v>5</v>
      </c>
      <c r="C1190" s="15"/>
      <c r="D1190" s="16"/>
      <c r="E1190" s="15"/>
      <c r="F1190" t="e">
        <f t="array" ref="F1190">PROFEXHyperlinkAddress(B1190:B1190)</f>
        <v>#NAME?</v>
      </c>
    </row>
    <row r="1191" ht="105" spans="1:6">
      <c r="A1191" s="17">
        <v>5170097</v>
      </c>
      <c r="B1191" s="18" t="s">
        <v>449</v>
      </c>
      <c r="C1191" s="17" t="s">
        <v>1</v>
      </c>
      <c r="D1191" s="19" t="s">
        <v>2</v>
      </c>
      <c r="E1191" s="17" t="s">
        <v>370</v>
      </c>
      <c r="F1191" t="e">
        <f t="array" ref="F1191">PROFEXHyperlinkAddress(B1191:B1191)</f>
        <v>#NAME?</v>
      </c>
    </row>
    <row r="1192" spans="1:6">
      <c r="A1192" s="11"/>
      <c r="B1192" s="12"/>
      <c r="C1192" s="11"/>
      <c r="D1192" s="13"/>
      <c r="E1192" s="11"/>
      <c r="F1192" t="e">
        <f t="array" ref="F1192">PROFEXHyperlinkAddress(B1192:B1192)</f>
        <v>#NAME?</v>
      </c>
    </row>
    <row r="1193" ht="57.75" spans="1:6">
      <c r="A1193" s="11"/>
      <c r="B1193" s="14" t="s">
        <v>21</v>
      </c>
      <c r="C1193" s="11"/>
      <c r="D1193" s="13"/>
      <c r="E1193" s="11"/>
      <c r="F1193" t="e">
        <f t="array" ref="F1193">PROFEXHyperlinkAddress(B1193:B1193)</f>
        <v>#NAME?</v>
      </c>
    </row>
    <row r="1194" spans="1:6">
      <c r="A1194" s="11"/>
      <c r="B1194" s="12"/>
      <c r="C1194" s="11"/>
      <c r="D1194" s="13"/>
      <c r="E1194" s="11"/>
      <c r="F1194" t="e">
        <f t="array" ref="F1194">PROFEXHyperlinkAddress(B1194:B1194)</f>
        <v>#NAME?</v>
      </c>
    </row>
    <row r="1195" ht="25.5" spans="1:6">
      <c r="A1195" s="15"/>
      <c r="B1195" s="14" t="s">
        <v>5</v>
      </c>
      <c r="C1195" s="15"/>
      <c r="D1195" s="16"/>
      <c r="E1195" s="15"/>
      <c r="F1195" t="e">
        <f t="array" ref="F1195">PROFEXHyperlinkAddress(B1195:B1195)</f>
        <v>#NAME?</v>
      </c>
    </row>
    <row r="1196" ht="240" spans="1:6">
      <c r="A1196" s="17">
        <v>5169097</v>
      </c>
      <c r="B1196" s="18" t="s">
        <v>450</v>
      </c>
      <c r="C1196" s="17" t="s">
        <v>1</v>
      </c>
      <c r="D1196" s="19" t="s">
        <v>2</v>
      </c>
      <c r="E1196" s="17" t="s">
        <v>370</v>
      </c>
      <c r="F1196" t="e">
        <f t="array" ref="F1196">PROFEXHyperlinkAddress(B1196:B1196)</f>
        <v>#NAME?</v>
      </c>
    </row>
    <row r="1197" spans="1:6">
      <c r="A1197" s="11"/>
      <c r="B1197" s="12"/>
      <c r="C1197" s="11"/>
      <c r="D1197" s="13"/>
      <c r="E1197" s="11"/>
      <c r="F1197" t="e">
        <f t="array" ref="F1197">PROFEXHyperlinkAddress(B1197:B1197)</f>
        <v>#NAME?</v>
      </c>
    </row>
    <row r="1198" ht="57.75" spans="1:6">
      <c r="A1198" s="11"/>
      <c r="B1198" s="14" t="s">
        <v>21</v>
      </c>
      <c r="C1198" s="11"/>
      <c r="D1198" s="13"/>
      <c r="E1198" s="11"/>
      <c r="F1198" t="e">
        <f t="array" ref="F1198">PROFEXHyperlinkAddress(B1198:B1198)</f>
        <v>#NAME?</v>
      </c>
    </row>
    <row r="1199" spans="1:6">
      <c r="A1199" s="11"/>
      <c r="B1199" s="12"/>
      <c r="C1199" s="11"/>
      <c r="D1199" s="13"/>
      <c r="E1199" s="11"/>
      <c r="F1199" t="e">
        <f t="array" ref="F1199">PROFEXHyperlinkAddress(B1199:B1199)</f>
        <v>#NAME?</v>
      </c>
    </row>
    <row r="1200" ht="25.5" spans="1:6">
      <c r="A1200" s="15"/>
      <c r="B1200" s="14" t="s">
        <v>5</v>
      </c>
      <c r="C1200" s="15"/>
      <c r="D1200" s="16"/>
      <c r="E1200" s="15"/>
      <c r="F1200" t="e">
        <f t="array" ref="F1200">PROFEXHyperlinkAddress(B1200:B1200)</f>
        <v>#NAME?</v>
      </c>
    </row>
    <row r="1201" ht="180" spans="1:6">
      <c r="A1201" s="17">
        <v>5162097</v>
      </c>
      <c r="B1201" s="18" t="s">
        <v>451</v>
      </c>
      <c r="C1201" s="17" t="s">
        <v>1</v>
      </c>
      <c r="D1201" s="19" t="s">
        <v>2</v>
      </c>
      <c r="E1201" s="17" t="s">
        <v>210</v>
      </c>
      <c r="F1201" t="e">
        <f t="array" ref="F1201">PROFEXHyperlinkAddress(B1201:B1201)</f>
        <v>#NAME?</v>
      </c>
    </row>
    <row r="1202" spans="1:6">
      <c r="A1202" s="11"/>
      <c r="B1202" s="12"/>
      <c r="C1202" s="11"/>
      <c r="D1202" s="13"/>
      <c r="E1202" s="11"/>
      <c r="F1202" t="e">
        <f t="array" ref="F1202">PROFEXHyperlinkAddress(B1202:B1202)</f>
        <v>#NAME?</v>
      </c>
    </row>
    <row r="1203" ht="57.75" spans="1:6">
      <c r="A1203" s="11"/>
      <c r="B1203" s="14" t="s">
        <v>16</v>
      </c>
      <c r="C1203" s="11"/>
      <c r="D1203" s="13"/>
      <c r="E1203" s="11"/>
      <c r="F1203" t="e">
        <f t="array" ref="F1203">PROFEXHyperlinkAddress(B1203:B1203)</f>
        <v>#NAME?</v>
      </c>
    </row>
    <row r="1204" spans="1:6">
      <c r="A1204" s="11"/>
      <c r="B1204" s="12"/>
      <c r="C1204" s="11"/>
      <c r="D1204" s="13"/>
      <c r="E1204" s="11"/>
      <c r="F1204" t="e">
        <f t="array" ref="F1204">PROFEXHyperlinkAddress(B1204:B1204)</f>
        <v>#NAME?</v>
      </c>
    </row>
    <row r="1205" ht="25.5" spans="1:6">
      <c r="A1205" s="15"/>
      <c r="B1205" s="14" t="s">
        <v>452</v>
      </c>
      <c r="C1205" s="15"/>
      <c r="D1205" s="16"/>
      <c r="E1205" s="15"/>
      <c r="F1205" t="e">
        <f t="array" ref="F1205">PROFEXHyperlinkAddress(B1205:B1205)</f>
        <v>#NAME?</v>
      </c>
    </row>
    <row r="1206" ht="120" spans="1:6">
      <c r="A1206" s="17">
        <v>5160097</v>
      </c>
      <c r="B1206" s="18" t="s">
        <v>453</v>
      </c>
      <c r="C1206" s="17" t="s">
        <v>1</v>
      </c>
      <c r="D1206" s="19" t="s">
        <v>2</v>
      </c>
      <c r="E1206" s="17" t="s">
        <v>454</v>
      </c>
      <c r="F1206" t="e">
        <f t="array" ref="F1206">PROFEXHyperlinkAddress(B1206:B1206)</f>
        <v>#NAME?</v>
      </c>
    </row>
    <row r="1207" spans="1:6">
      <c r="A1207" s="11"/>
      <c r="B1207" s="12"/>
      <c r="C1207" s="11"/>
      <c r="D1207" s="13"/>
      <c r="E1207" s="11"/>
      <c r="F1207" t="e">
        <f t="array" ref="F1207">PROFEXHyperlinkAddress(B1207:B1207)</f>
        <v>#NAME?</v>
      </c>
    </row>
    <row r="1208" ht="57.75" spans="1:6">
      <c r="A1208" s="11"/>
      <c r="B1208" s="14" t="s">
        <v>21</v>
      </c>
      <c r="C1208" s="11"/>
      <c r="D1208" s="13"/>
      <c r="E1208" s="11"/>
      <c r="F1208" t="e">
        <f t="array" ref="F1208">PROFEXHyperlinkAddress(B1208:B1208)</f>
        <v>#NAME?</v>
      </c>
    </row>
    <row r="1209" spans="1:6">
      <c r="A1209" s="11"/>
      <c r="B1209" s="12"/>
      <c r="C1209" s="11"/>
      <c r="D1209" s="13"/>
      <c r="E1209" s="11"/>
      <c r="F1209" t="e">
        <f t="array" ref="F1209">PROFEXHyperlinkAddress(B1209:B1209)</f>
        <v>#NAME?</v>
      </c>
    </row>
    <row r="1210" ht="25.5" spans="1:6">
      <c r="A1210" s="15"/>
      <c r="B1210" s="14" t="s">
        <v>5</v>
      </c>
      <c r="C1210" s="15"/>
      <c r="D1210" s="16"/>
      <c r="E1210" s="15"/>
      <c r="F1210" t="e">
        <f t="array" ref="F1210">PROFEXHyperlinkAddress(B1210:B1210)</f>
        <v>#NAME?</v>
      </c>
    </row>
    <row r="1211" ht="90" spans="1:6">
      <c r="A1211" s="17">
        <v>5159097</v>
      </c>
      <c r="B1211" s="18" t="s">
        <v>455</v>
      </c>
      <c r="C1211" s="17" t="s">
        <v>1</v>
      </c>
      <c r="D1211" s="19" t="s">
        <v>2</v>
      </c>
      <c r="E1211" s="17" t="s">
        <v>456</v>
      </c>
      <c r="F1211" t="e">
        <f t="array" ref="F1211">PROFEXHyperlinkAddress(B1211:B1211)</f>
        <v>#NAME?</v>
      </c>
    </row>
    <row r="1212" spans="1:6">
      <c r="A1212" s="11"/>
      <c r="B1212" s="12"/>
      <c r="C1212" s="11"/>
      <c r="D1212" s="13"/>
      <c r="E1212" s="11"/>
      <c r="F1212" t="e">
        <f t="array" ref="F1212">PROFEXHyperlinkAddress(B1212:B1212)</f>
        <v>#NAME?</v>
      </c>
    </row>
    <row r="1213" ht="57.75" spans="1:6">
      <c r="A1213" s="11"/>
      <c r="B1213" s="14" t="s">
        <v>4</v>
      </c>
      <c r="C1213" s="11"/>
      <c r="D1213" s="13"/>
      <c r="E1213" s="11"/>
      <c r="F1213" t="e">
        <f t="array" ref="F1213">PROFEXHyperlinkAddress(B1213:B1213)</f>
        <v>#NAME?</v>
      </c>
    </row>
    <row r="1214" spans="1:6">
      <c r="A1214" s="11"/>
      <c r="B1214" s="12"/>
      <c r="C1214" s="11"/>
      <c r="D1214" s="13"/>
      <c r="E1214" s="11"/>
      <c r="F1214" t="e">
        <f t="array" ref="F1214">PROFEXHyperlinkAddress(B1214:B1214)</f>
        <v>#NAME?</v>
      </c>
    </row>
    <row r="1215" ht="25.5" spans="1:6">
      <c r="A1215" s="15"/>
      <c r="B1215" s="14" t="s">
        <v>5</v>
      </c>
      <c r="C1215" s="15"/>
      <c r="D1215" s="16"/>
      <c r="E1215" s="15"/>
      <c r="F1215" t="e">
        <f t="array" ref="F1215">PROFEXHyperlinkAddress(B1215:B1215)</f>
        <v>#NAME?</v>
      </c>
    </row>
    <row r="1216" ht="120" spans="1:6">
      <c r="A1216" s="17">
        <v>5158097</v>
      </c>
      <c r="B1216" s="18" t="s">
        <v>457</v>
      </c>
      <c r="C1216" s="17" t="s">
        <v>1</v>
      </c>
      <c r="D1216" s="19" t="s">
        <v>7</v>
      </c>
      <c r="E1216" s="17" t="s">
        <v>458</v>
      </c>
      <c r="F1216" t="e">
        <f t="array" ref="F1216">PROFEXHyperlinkAddress(B1216:B1216)</f>
        <v>#NAME?</v>
      </c>
    </row>
    <row r="1217" spans="1:6">
      <c r="A1217" s="11"/>
      <c r="B1217" s="12"/>
      <c r="C1217" s="11"/>
      <c r="D1217" s="13"/>
      <c r="E1217" s="11"/>
      <c r="F1217" t="e">
        <f t="array" ref="F1217">PROFEXHyperlinkAddress(B1217:B1217)</f>
        <v>#NAME?</v>
      </c>
    </row>
    <row r="1218" ht="49.5" spans="1:6">
      <c r="A1218" s="11"/>
      <c r="B1218" s="14" t="s">
        <v>188</v>
      </c>
      <c r="C1218" s="11"/>
      <c r="D1218" s="13"/>
      <c r="E1218" s="11"/>
      <c r="F1218" t="e">
        <f t="array" ref="F1218">PROFEXHyperlinkAddress(B1218:B1218)</f>
        <v>#NAME?</v>
      </c>
    </row>
    <row r="1219" spans="1:6">
      <c r="A1219" s="11"/>
      <c r="B1219" s="12"/>
      <c r="C1219" s="11"/>
      <c r="D1219" s="13"/>
      <c r="E1219" s="11"/>
      <c r="F1219" t="e">
        <f t="array" ref="F1219">PROFEXHyperlinkAddress(B1219:B1219)</f>
        <v>#NAME?</v>
      </c>
    </row>
    <row r="1220" ht="25.5" spans="1:6">
      <c r="A1220" s="15"/>
      <c r="B1220" s="14" t="s">
        <v>5</v>
      </c>
      <c r="C1220" s="15"/>
      <c r="D1220" s="16"/>
      <c r="E1220" s="15"/>
      <c r="F1220" t="e">
        <f t="array" ref="F1220">PROFEXHyperlinkAddress(B1220:B1220)</f>
        <v>#NAME?</v>
      </c>
    </row>
    <row r="1221" ht="135" spans="1:6">
      <c r="A1221" s="17">
        <v>5152097</v>
      </c>
      <c r="B1221" s="18" t="s">
        <v>459</v>
      </c>
      <c r="C1221" s="17" t="s">
        <v>1</v>
      </c>
      <c r="D1221" s="19" t="s">
        <v>2</v>
      </c>
      <c r="E1221" s="17" t="s">
        <v>460</v>
      </c>
      <c r="F1221" t="e">
        <f t="array" ref="F1221">PROFEXHyperlinkAddress(B1221:B1221)</f>
        <v>#NAME?</v>
      </c>
    </row>
    <row r="1222" spans="1:6">
      <c r="A1222" s="11"/>
      <c r="B1222" s="12"/>
      <c r="C1222" s="11"/>
      <c r="D1222" s="13"/>
      <c r="E1222" s="11"/>
      <c r="F1222" t="e">
        <f t="array" ref="F1222">PROFEXHyperlinkAddress(B1222:B1222)</f>
        <v>#NAME?</v>
      </c>
    </row>
    <row r="1223" ht="57.75" spans="1:6">
      <c r="A1223" s="11"/>
      <c r="B1223" s="14" t="s">
        <v>21</v>
      </c>
      <c r="C1223" s="11"/>
      <c r="D1223" s="13"/>
      <c r="E1223" s="11"/>
      <c r="F1223" t="e">
        <f t="array" ref="F1223">PROFEXHyperlinkAddress(B1223:B1223)</f>
        <v>#NAME?</v>
      </c>
    </row>
    <row r="1224" spans="1:6">
      <c r="A1224" s="11"/>
      <c r="B1224" s="12"/>
      <c r="C1224" s="11"/>
      <c r="D1224" s="13"/>
      <c r="E1224" s="11"/>
      <c r="F1224" t="e">
        <f t="array" ref="F1224">PROFEXHyperlinkAddress(B1224:B1224)</f>
        <v>#NAME?</v>
      </c>
    </row>
    <row r="1225" ht="25.5" spans="1:6">
      <c r="A1225" s="15"/>
      <c r="B1225" s="14" t="s">
        <v>5</v>
      </c>
      <c r="C1225" s="15"/>
      <c r="D1225" s="16"/>
      <c r="E1225" s="15"/>
      <c r="F1225" t="e">
        <f t="array" ref="F1225">PROFEXHyperlinkAddress(B1225:B1225)</f>
        <v>#NAME?</v>
      </c>
    </row>
    <row r="1226" ht="150" spans="1:6">
      <c r="A1226" s="17">
        <v>5151097</v>
      </c>
      <c r="B1226" s="18" t="s">
        <v>461</v>
      </c>
      <c r="C1226" s="17" t="s">
        <v>1</v>
      </c>
      <c r="D1226" s="19" t="s">
        <v>2</v>
      </c>
      <c r="E1226" s="17" t="s">
        <v>93</v>
      </c>
      <c r="F1226" t="e">
        <f t="array" ref="F1226">PROFEXHyperlinkAddress(B1226:B1226)</f>
        <v>#NAME?</v>
      </c>
    </row>
    <row r="1227" spans="1:6">
      <c r="A1227" s="11"/>
      <c r="B1227" s="12"/>
      <c r="C1227" s="11"/>
      <c r="D1227" s="13"/>
      <c r="E1227" s="11"/>
      <c r="F1227" t="e">
        <f t="array" ref="F1227">PROFEXHyperlinkAddress(B1227:B1227)</f>
        <v>#NAME?</v>
      </c>
    </row>
    <row r="1228" ht="57.75" spans="1:6">
      <c r="A1228" s="11"/>
      <c r="B1228" s="14" t="s">
        <v>21</v>
      </c>
      <c r="C1228" s="11"/>
      <c r="D1228" s="13"/>
      <c r="E1228" s="11"/>
      <c r="F1228" t="e">
        <f t="array" ref="F1228">PROFEXHyperlinkAddress(B1228:B1228)</f>
        <v>#NAME?</v>
      </c>
    </row>
    <row r="1229" spans="1:6">
      <c r="A1229" s="11"/>
      <c r="B1229" s="12"/>
      <c r="C1229" s="11"/>
      <c r="D1229" s="13"/>
      <c r="E1229" s="11"/>
      <c r="F1229" t="e">
        <f t="array" ref="F1229">PROFEXHyperlinkAddress(B1229:B1229)</f>
        <v>#NAME?</v>
      </c>
    </row>
    <row r="1230" ht="25.5" spans="1:6">
      <c r="A1230" s="15"/>
      <c r="B1230" s="14" t="s">
        <v>462</v>
      </c>
      <c r="C1230" s="15"/>
      <c r="D1230" s="16"/>
      <c r="E1230" s="15"/>
      <c r="F1230" t="e">
        <f t="array" ref="F1230">PROFEXHyperlinkAddress(B1230:B1230)</f>
        <v>#NAME?</v>
      </c>
    </row>
    <row r="1231" ht="120" spans="1:6">
      <c r="A1231" s="17">
        <v>5150097</v>
      </c>
      <c r="B1231" s="18" t="s">
        <v>463</v>
      </c>
      <c r="C1231" s="17" t="s">
        <v>1</v>
      </c>
      <c r="D1231" s="19" t="s">
        <v>2</v>
      </c>
      <c r="E1231" s="17" t="s">
        <v>464</v>
      </c>
      <c r="F1231" t="e">
        <f t="array" ref="F1231">PROFEXHyperlinkAddress(B1231:B1231)</f>
        <v>#NAME?</v>
      </c>
    </row>
    <row r="1232" spans="1:6">
      <c r="A1232" s="11"/>
      <c r="B1232" s="12"/>
      <c r="C1232" s="11"/>
      <c r="D1232" s="13"/>
      <c r="E1232" s="11"/>
      <c r="F1232" t="e">
        <f t="array" ref="F1232">PROFEXHyperlinkAddress(B1232:B1232)</f>
        <v>#NAME?</v>
      </c>
    </row>
    <row r="1233" ht="49.5" spans="1:6">
      <c r="A1233" s="11"/>
      <c r="B1233" s="14" t="s">
        <v>188</v>
      </c>
      <c r="C1233" s="11"/>
      <c r="D1233" s="13"/>
      <c r="E1233" s="11"/>
      <c r="F1233" t="e">
        <f t="array" ref="F1233">PROFEXHyperlinkAddress(B1233:B1233)</f>
        <v>#NAME?</v>
      </c>
    </row>
    <row r="1234" spans="1:6">
      <c r="A1234" s="11"/>
      <c r="B1234" s="12"/>
      <c r="C1234" s="11"/>
      <c r="D1234" s="13"/>
      <c r="E1234" s="11"/>
      <c r="F1234" t="e">
        <f t="array" ref="F1234">PROFEXHyperlinkAddress(B1234:B1234)</f>
        <v>#NAME?</v>
      </c>
    </row>
    <row r="1235" ht="25.5" spans="1:6">
      <c r="A1235" s="15"/>
      <c r="B1235" s="14" t="s">
        <v>5</v>
      </c>
      <c r="C1235" s="15"/>
      <c r="D1235" s="16"/>
      <c r="E1235" s="15"/>
      <c r="F1235" t="e">
        <f t="array" ref="F1235">PROFEXHyperlinkAddress(B1235:B1235)</f>
        <v>#NAME?</v>
      </c>
    </row>
    <row r="1236" ht="150" spans="1:6">
      <c r="A1236" s="17">
        <v>5146097</v>
      </c>
      <c r="B1236" s="18" t="s">
        <v>465</v>
      </c>
      <c r="C1236" s="17" t="s">
        <v>1</v>
      </c>
      <c r="D1236" s="19" t="s">
        <v>2</v>
      </c>
      <c r="E1236" s="17" t="s">
        <v>370</v>
      </c>
      <c r="F1236" t="e">
        <f t="array" ref="F1236">PROFEXHyperlinkAddress(B1236:B1236)</f>
        <v>#NAME?</v>
      </c>
    </row>
    <row r="1237" spans="1:6">
      <c r="A1237" s="11"/>
      <c r="B1237" s="12"/>
      <c r="C1237" s="11"/>
      <c r="D1237" s="13"/>
      <c r="E1237" s="11"/>
      <c r="F1237" t="e">
        <f t="array" ref="F1237">PROFEXHyperlinkAddress(B1237:B1237)</f>
        <v>#NAME?</v>
      </c>
    </row>
    <row r="1238" ht="57.75" spans="1:6">
      <c r="A1238" s="11"/>
      <c r="B1238" s="14" t="s">
        <v>21</v>
      </c>
      <c r="C1238" s="11"/>
      <c r="D1238" s="13"/>
      <c r="E1238" s="11"/>
      <c r="F1238" t="e">
        <f t="array" ref="F1238">PROFEXHyperlinkAddress(B1238:B1238)</f>
        <v>#NAME?</v>
      </c>
    </row>
    <row r="1239" spans="1:6">
      <c r="A1239" s="11"/>
      <c r="B1239" s="12"/>
      <c r="C1239" s="11"/>
      <c r="D1239" s="13"/>
      <c r="E1239" s="11"/>
      <c r="F1239" t="e">
        <f t="array" ref="F1239">PROFEXHyperlinkAddress(B1239:B1239)</f>
        <v>#NAME?</v>
      </c>
    </row>
    <row r="1240" ht="25.5" spans="1:6">
      <c r="A1240" s="15"/>
      <c r="B1240" s="14" t="s">
        <v>5</v>
      </c>
      <c r="C1240" s="15"/>
      <c r="D1240" s="16"/>
      <c r="E1240" s="15"/>
      <c r="F1240" t="e">
        <f t="array" ref="F1240">PROFEXHyperlinkAddress(B1240:B1240)</f>
        <v>#NAME?</v>
      </c>
    </row>
    <row r="1241" ht="75" spans="1:6">
      <c r="A1241" s="17">
        <v>5141097</v>
      </c>
      <c r="B1241" s="18" t="s">
        <v>466</v>
      </c>
      <c r="C1241" s="17" t="s">
        <v>1</v>
      </c>
      <c r="D1241" s="19" t="s">
        <v>2</v>
      </c>
      <c r="E1241" s="17" t="s">
        <v>467</v>
      </c>
      <c r="F1241" t="e">
        <f t="array" ref="F1241">PROFEXHyperlinkAddress(B1241:B1241)</f>
        <v>#NAME?</v>
      </c>
    </row>
    <row r="1242" spans="1:6">
      <c r="A1242" s="11"/>
      <c r="B1242" s="12"/>
      <c r="C1242" s="11"/>
      <c r="D1242" s="13"/>
      <c r="E1242" s="11"/>
      <c r="F1242" t="e">
        <f t="array" ref="F1242">PROFEXHyperlinkAddress(B1242:B1242)</f>
        <v>#NAME?</v>
      </c>
    </row>
    <row r="1243" ht="57.75" spans="1:6">
      <c r="A1243" s="11"/>
      <c r="B1243" s="14" t="s">
        <v>21</v>
      </c>
      <c r="C1243" s="11"/>
      <c r="D1243" s="13"/>
      <c r="E1243" s="11"/>
      <c r="F1243" t="e">
        <f t="array" ref="F1243">PROFEXHyperlinkAddress(B1243:B1243)</f>
        <v>#NAME?</v>
      </c>
    </row>
    <row r="1244" spans="1:6">
      <c r="A1244" s="11"/>
      <c r="B1244" s="12"/>
      <c r="C1244" s="11"/>
      <c r="D1244" s="13"/>
      <c r="E1244" s="11"/>
      <c r="F1244" t="e">
        <f t="array" ref="F1244">PROFEXHyperlinkAddress(B1244:B1244)</f>
        <v>#NAME?</v>
      </c>
    </row>
    <row r="1245" ht="25.5" spans="1:6">
      <c r="A1245" s="15"/>
      <c r="B1245" s="14" t="s">
        <v>468</v>
      </c>
      <c r="C1245" s="15"/>
      <c r="D1245" s="16"/>
      <c r="E1245" s="15"/>
      <c r="F1245" t="e">
        <f t="array" ref="F1245">PROFEXHyperlinkAddress(B1245:B1245)</f>
        <v>#NAME?</v>
      </c>
    </row>
    <row r="1246" ht="75" spans="1:6">
      <c r="A1246" s="17">
        <v>5140097</v>
      </c>
      <c r="B1246" s="18" t="s">
        <v>428</v>
      </c>
      <c r="C1246" s="17" t="s">
        <v>1</v>
      </c>
      <c r="D1246" s="19" t="s">
        <v>2</v>
      </c>
      <c r="E1246" s="17" t="s">
        <v>429</v>
      </c>
      <c r="F1246" t="e">
        <f t="array" ref="F1246">PROFEXHyperlinkAddress(B1246:B1246)</f>
        <v>#NAME?</v>
      </c>
    </row>
    <row r="1247" spans="1:6">
      <c r="A1247" s="11"/>
      <c r="B1247" s="12"/>
      <c r="C1247" s="11"/>
      <c r="D1247" s="13"/>
      <c r="E1247" s="11"/>
      <c r="F1247" t="e">
        <f t="array" ref="F1247">PROFEXHyperlinkAddress(B1247:B1247)</f>
        <v>#NAME?</v>
      </c>
    </row>
    <row r="1248" ht="57.75" spans="1:6">
      <c r="A1248" s="11"/>
      <c r="B1248" s="14" t="s">
        <v>21</v>
      </c>
      <c r="C1248" s="11"/>
      <c r="D1248" s="13"/>
      <c r="E1248" s="11"/>
      <c r="F1248" t="e">
        <f t="array" ref="F1248">PROFEXHyperlinkAddress(B1248:B1248)</f>
        <v>#NAME?</v>
      </c>
    </row>
    <row r="1249" spans="1:6">
      <c r="A1249" s="11"/>
      <c r="B1249" s="12"/>
      <c r="C1249" s="11"/>
      <c r="D1249" s="13"/>
      <c r="E1249" s="11"/>
      <c r="F1249" t="e">
        <f t="array" ref="F1249">PROFEXHyperlinkAddress(B1249:B1249)</f>
        <v>#NAME?</v>
      </c>
    </row>
    <row r="1250" ht="25.5" spans="1:6">
      <c r="A1250" s="15"/>
      <c r="B1250" s="14" t="s">
        <v>5</v>
      </c>
      <c r="C1250" s="15"/>
      <c r="D1250" s="16"/>
      <c r="E1250" s="15"/>
      <c r="F1250" t="e">
        <f t="array" ref="F1250">PROFEXHyperlinkAddress(B1250:B1250)</f>
        <v>#NAME?</v>
      </c>
    </row>
    <row r="1251" ht="165" spans="1:6">
      <c r="A1251" s="17">
        <v>5139097</v>
      </c>
      <c r="B1251" s="18" t="s">
        <v>469</v>
      </c>
      <c r="C1251" s="17" t="s">
        <v>1</v>
      </c>
      <c r="D1251" s="19" t="s">
        <v>2</v>
      </c>
      <c r="E1251" s="17" t="s">
        <v>470</v>
      </c>
      <c r="F1251" t="e">
        <f t="array" ref="F1251">PROFEXHyperlinkAddress(B1251:B1251)</f>
        <v>#NAME?</v>
      </c>
    </row>
    <row r="1252" spans="1:6">
      <c r="A1252" s="11"/>
      <c r="B1252" s="12"/>
      <c r="C1252" s="11"/>
      <c r="D1252" s="13"/>
      <c r="E1252" s="11"/>
      <c r="F1252" t="e">
        <f t="array" ref="F1252">PROFEXHyperlinkAddress(B1252:B1252)</f>
        <v>#NAME?</v>
      </c>
    </row>
    <row r="1253" ht="49.5" spans="1:6">
      <c r="A1253" s="11"/>
      <c r="B1253" s="14" t="s">
        <v>78</v>
      </c>
      <c r="C1253" s="11"/>
      <c r="D1253" s="13"/>
      <c r="E1253" s="11"/>
      <c r="F1253" t="e">
        <f t="array" ref="F1253">PROFEXHyperlinkAddress(B1253:B1253)</f>
        <v>#NAME?</v>
      </c>
    </row>
    <row r="1254" spans="1:6">
      <c r="A1254" s="11"/>
      <c r="B1254" s="12"/>
      <c r="C1254" s="11"/>
      <c r="D1254" s="13"/>
      <c r="E1254" s="11"/>
      <c r="F1254" t="e">
        <f t="array" ref="F1254">PROFEXHyperlinkAddress(B1254:B1254)</f>
        <v>#NAME?</v>
      </c>
    </row>
    <row r="1255" ht="25.5" spans="1:6">
      <c r="A1255" s="15"/>
      <c r="B1255" s="14" t="s">
        <v>5</v>
      </c>
      <c r="C1255" s="15"/>
      <c r="D1255" s="16"/>
      <c r="E1255" s="15"/>
      <c r="F1255" t="e">
        <f t="array" ref="F1255">PROFEXHyperlinkAddress(B1255:B1255)</f>
        <v>#NAME?</v>
      </c>
    </row>
    <row r="1256" ht="105" spans="1:6">
      <c r="A1256" s="17">
        <v>5138097</v>
      </c>
      <c r="B1256" s="18" t="s">
        <v>471</v>
      </c>
      <c r="C1256" s="17" t="s">
        <v>1</v>
      </c>
      <c r="D1256" s="19" t="s">
        <v>7</v>
      </c>
      <c r="E1256" s="17" t="s">
        <v>370</v>
      </c>
      <c r="F1256" t="e">
        <f t="array" ref="F1256">PROFEXHyperlinkAddress(B1256:B1256)</f>
        <v>#NAME?</v>
      </c>
    </row>
    <row r="1257" spans="1:6">
      <c r="A1257" s="11"/>
      <c r="B1257" s="12"/>
      <c r="C1257" s="11"/>
      <c r="D1257" s="13"/>
      <c r="E1257" s="11"/>
      <c r="F1257" t="e">
        <f t="array" ref="F1257">PROFEXHyperlinkAddress(B1257:B1257)</f>
        <v>#NAME?</v>
      </c>
    </row>
    <row r="1258" ht="57.75" spans="1:6">
      <c r="A1258" s="11"/>
      <c r="B1258" s="14" t="s">
        <v>21</v>
      </c>
      <c r="C1258" s="11"/>
      <c r="D1258" s="13"/>
      <c r="E1258" s="11"/>
      <c r="F1258" t="e">
        <f t="array" ref="F1258">PROFEXHyperlinkAddress(B1258:B1258)</f>
        <v>#NAME?</v>
      </c>
    </row>
    <row r="1259" spans="1:6">
      <c r="A1259" s="11"/>
      <c r="B1259" s="12"/>
      <c r="C1259" s="11"/>
      <c r="D1259" s="13"/>
      <c r="E1259" s="11"/>
      <c r="F1259" t="e">
        <f t="array" ref="F1259">PROFEXHyperlinkAddress(B1259:B1259)</f>
        <v>#NAME?</v>
      </c>
    </row>
    <row r="1260" ht="25.5" spans="1:6">
      <c r="A1260" s="15"/>
      <c r="B1260" s="14" t="s">
        <v>5</v>
      </c>
      <c r="C1260" s="15"/>
      <c r="D1260" s="16"/>
      <c r="E1260" s="15"/>
      <c r="F1260" t="e">
        <f t="array" ref="F1260">PROFEXHyperlinkAddress(B1260:B1260)</f>
        <v>#NAME?</v>
      </c>
    </row>
    <row r="1261" ht="165" spans="1:6">
      <c r="A1261" s="17">
        <v>5137097</v>
      </c>
      <c r="B1261" s="18" t="s">
        <v>472</v>
      </c>
      <c r="C1261" s="17" t="s">
        <v>1</v>
      </c>
      <c r="D1261" s="19" t="s">
        <v>2</v>
      </c>
      <c r="E1261" s="17" t="s">
        <v>473</v>
      </c>
      <c r="F1261" t="e">
        <f t="array" ref="F1261">PROFEXHyperlinkAddress(B1261:B1261)</f>
        <v>#NAME?</v>
      </c>
    </row>
    <row r="1262" spans="1:6">
      <c r="A1262" s="11"/>
      <c r="B1262" s="12"/>
      <c r="C1262" s="11"/>
      <c r="D1262" s="13"/>
      <c r="E1262" s="11"/>
      <c r="F1262" t="e">
        <f t="array" ref="F1262">PROFEXHyperlinkAddress(B1262:B1262)</f>
        <v>#NAME?</v>
      </c>
    </row>
    <row r="1263" ht="57.75" spans="1:6">
      <c r="A1263" s="11"/>
      <c r="B1263" s="14" t="s">
        <v>21</v>
      </c>
      <c r="C1263" s="11"/>
      <c r="D1263" s="13"/>
      <c r="E1263" s="11"/>
      <c r="F1263" t="e">
        <f t="array" ref="F1263">PROFEXHyperlinkAddress(B1263:B1263)</f>
        <v>#NAME?</v>
      </c>
    </row>
    <row r="1264" spans="1:6">
      <c r="A1264" s="11"/>
      <c r="B1264" s="12"/>
      <c r="C1264" s="11"/>
      <c r="D1264" s="13"/>
      <c r="E1264" s="11"/>
      <c r="F1264" t="e">
        <f t="array" ref="F1264">PROFEXHyperlinkAddress(B1264:B1264)</f>
        <v>#NAME?</v>
      </c>
    </row>
    <row r="1265" ht="25.5" spans="1:6">
      <c r="A1265" s="15"/>
      <c r="B1265" s="14" t="s">
        <v>474</v>
      </c>
      <c r="C1265" s="15"/>
      <c r="D1265" s="16"/>
      <c r="E1265" s="15"/>
      <c r="F1265" t="e">
        <f t="array" ref="F1265">PROFEXHyperlinkAddress(B1265:B1265)</f>
        <v>#NAME?</v>
      </c>
    </row>
    <row r="1266" ht="90" spans="1:6">
      <c r="A1266" s="17">
        <v>5135097</v>
      </c>
      <c r="B1266" s="18" t="s">
        <v>475</v>
      </c>
      <c r="C1266" s="17" t="s">
        <v>1</v>
      </c>
      <c r="D1266" s="19" t="s">
        <v>7</v>
      </c>
      <c r="E1266" s="17" t="s">
        <v>456</v>
      </c>
      <c r="F1266" t="e">
        <f t="array" ref="F1266">PROFEXHyperlinkAddress(B1266:B1266)</f>
        <v>#NAME?</v>
      </c>
    </row>
    <row r="1267" spans="1:6">
      <c r="A1267" s="11"/>
      <c r="B1267" s="12"/>
      <c r="C1267" s="11"/>
      <c r="D1267" s="13"/>
      <c r="E1267" s="11"/>
      <c r="F1267" t="e">
        <f t="array" ref="F1267">PROFEXHyperlinkAddress(B1267:B1267)</f>
        <v>#NAME?</v>
      </c>
    </row>
    <row r="1268" ht="57.75" spans="1:6">
      <c r="A1268" s="11"/>
      <c r="B1268" s="14" t="s">
        <v>4</v>
      </c>
      <c r="C1268" s="11"/>
      <c r="D1268" s="13"/>
      <c r="E1268" s="11"/>
      <c r="F1268" t="e">
        <f t="array" ref="F1268">PROFEXHyperlinkAddress(B1268:B1268)</f>
        <v>#NAME?</v>
      </c>
    </row>
    <row r="1269" spans="1:6">
      <c r="A1269" s="11"/>
      <c r="B1269" s="12"/>
      <c r="C1269" s="11"/>
      <c r="D1269" s="13"/>
      <c r="E1269" s="11"/>
      <c r="F1269" t="e">
        <f t="array" ref="F1269">PROFEXHyperlinkAddress(B1269:B1269)</f>
        <v>#NAME?</v>
      </c>
    </row>
    <row r="1270" ht="25.5" spans="1:6">
      <c r="A1270" s="15"/>
      <c r="B1270" s="14" t="s">
        <v>5</v>
      </c>
      <c r="C1270" s="15"/>
      <c r="D1270" s="16"/>
      <c r="E1270" s="15"/>
      <c r="F1270" t="e">
        <f t="array" ref="F1270">PROFEXHyperlinkAddress(B1270:B1270)</f>
        <v>#NAME?</v>
      </c>
    </row>
    <row r="1271" ht="255" spans="1:6">
      <c r="A1271" s="17">
        <v>5134097</v>
      </c>
      <c r="B1271" s="18" t="s">
        <v>476</v>
      </c>
      <c r="C1271" s="17" t="s">
        <v>1</v>
      </c>
      <c r="D1271" s="19" t="s">
        <v>2</v>
      </c>
      <c r="E1271" s="17" t="s">
        <v>20</v>
      </c>
      <c r="F1271" t="e">
        <f t="array" ref="F1271">PROFEXHyperlinkAddress(B1271:B1271)</f>
        <v>#NAME?</v>
      </c>
    </row>
    <row r="1272" spans="1:6">
      <c r="A1272" s="11"/>
      <c r="B1272" s="12"/>
      <c r="C1272" s="11"/>
      <c r="D1272" s="13"/>
      <c r="E1272" s="11"/>
      <c r="F1272" t="e">
        <f t="array" ref="F1272">PROFEXHyperlinkAddress(B1272:B1272)</f>
        <v>#NAME?</v>
      </c>
    </row>
    <row r="1273" ht="57.75" spans="1:6">
      <c r="A1273" s="11"/>
      <c r="B1273" s="14" t="s">
        <v>21</v>
      </c>
      <c r="C1273" s="11"/>
      <c r="D1273" s="13"/>
      <c r="E1273" s="11"/>
      <c r="F1273" t="e">
        <f t="array" ref="F1273">PROFEXHyperlinkAddress(B1273:B1273)</f>
        <v>#NAME?</v>
      </c>
    </row>
    <row r="1274" spans="1:6">
      <c r="A1274" s="11"/>
      <c r="B1274" s="12"/>
      <c r="C1274" s="11"/>
      <c r="D1274" s="13"/>
      <c r="E1274" s="11"/>
      <c r="F1274" t="e">
        <f t="array" ref="F1274">PROFEXHyperlinkAddress(B1274:B1274)</f>
        <v>#NAME?</v>
      </c>
    </row>
    <row r="1275" ht="25.5" spans="1:6">
      <c r="A1275" s="15"/>
      <c r="B1275" s="14" t="s">
        <v>477</v>
      </c>
      <c r="C1275" s="15"/>
      <c r="D1275" s="16"/>
      <c r="E1275" s="15"/>
      <c r="F1275" t="e">
        <f t="array" ref="F1275">PROFEXHyperlinkAddress(B1275:B1275)</f>
        <v>#NAME?</v>
      </c>
    </row>
    <row r="1276" ht="195" spans="1:6">
      <c r="A1276" s="17">
        <v>5133097</v>
      </c>
      <c r="B1276" s="18" t="s">
        <v>478</v>
      </c>
      <c r="C1276" s="17" t="s">
        <v>1</v>
      </c>
      <c r="D1276" s="19" t="s">
        <v>2</v>
      </c>
      <c r="E1276" s="17" t="s">
        <v>107</v>
      </c>
      <c r="F1276" t="e">
        <f t="array" ref="F1276">PROFEXHyperlinkAddress(B1276:B1276)</f>
        <v>#NAME?</v>
      </c>
    </row>
    <row r="1277" spans="1:6">
      <c r="A1277" s="11"/>
      <c r="B1277" s="12"/>
      <c r="C1277" s="11"/>
      <c r="D1277" s="13"/>
      <c r="E1277" s="11"/>
      <c r="F1277" t="e">
        <f t="array" ref="F1277">PROFEXHyperlinkAddress(B1277:B1277)</f>
        <v>#NAME?</v>
      </c>
    </row>
    <row r="1278" ht="57.75" spans="1:6">
      <c r="A1278" s="11"/>
      <c r="B1278" s="14" t="s">
        <v>21</v>
      </c>
      <c r="C1278" s="11"/>
      <c r="D1278" s="13"/>
      <c r="E1278" s="11"/>
      <c r="F1278" t="e">
        <f t="array" ref="F1278">PROFEXHyperlinkAddress(B1278:B1278)</f>
        <v>#NAME?</v>
      </c>
    </row>
    <row r="1279" spans="1:6">
      <c r="A1279" s="11"/>
      <c r="B1279" s="12"/>
      <c r="C1279" s="11"/>
      <c r="D1279" s="13"/>
      <c r="E1279" s="11"/>
      <c r="F1279" t="e">
        <f t="array" ref="F1279">PROFEXHyperlinkAddress(B1279:B1279)</f>
        <v>#NAME?</v>
      </c>
    </row>
    <row r="1280" ht="25.5" spans="1:6">
      <c r="A1280" s="15"/>
      <c r="B1280" s="14" t="s">
        <v>479</v>
      </c>
      <c r="C1280" s="15"/>
      <c r="D1280" s="16"/>
      <c r="E1280" s="15"/>
      <c r="F1280" t="e">
        <f t="array" ref="F1280">PROFEXHyperlinkAddress(B1280:B1280)</f>
        <v>#NAME?</v>
      </c>
    </row>
    <row r="1281" ht="150" spans="1:6">
      <c r="A1281" s="17">
        <v>5132097</v>
      </c>
      <c r="B1281" s="18" t="s">
        <v>480</v>
      </c>
      <c r="C1281" s="17" t="s">
        <v>1</v>
      </c>
      <c r="D1281" s="19" t="s">
        <v>2</v>
      </c>
      <c r="E1281" s="17" t="s">
        <v>53</v>
      </c>
      <c r="F1281" t="e">
        <f t="array" ref="F1281">PROFEXHyperlinkAddress(B1281:B1281)</f>
        <v>#NAME?</v>
      </c>
    </row>
    <row r="1282" spans="1:6">
      <c r="A1282" s="11"/>
      <c r="B1282" s="12"/>
      <c r="C1282" s="11"/>
      <c r="D1282" s="13"/>
      <c r="E1282" s="11"/>
      <c r="F1282" t="e">
        <f t="array" ref="F1282">PROFEXHyperlinkAddress(B1282:B1282)</f>
        <v>#NAME?</v>
      </c>
    </row>
    <row r="1283" ht="57.75" spans="1:6">
      <c r="A1283" s="11"/>
      <c r="B1283" s="14" t="s">
        <v>21</v>
      </c>
      <c r="C1283" s="11"/>
      <c r="D1283" s="13"/>
      <c r="E1283" s="11"/>
      <c r="F1283" t="e">
        <f t="array" ref="F1283">PROFEXHyperlinkAddress(B1283:B1283)</f>
        <v>#NAME?</v>
      </c>
    </row>
    <row r="1284" spans="1:6">
      <c r="A1284" s="11"/>
      <c r="B1284" s="12"/>
      <c r="C1284" s="11"/>
      <c r="D1284" s="13"/>
      <c r="E1284" s="11"/>
      <c r="F1284" t="e">
        <f t="array" ref="F1284">PROFEXHyperlinkAddress(B1284:B1284)</f>
        <v>#NAME?</v>
      </c>
    </row>
    <row r="1285" ht="25.5" spans="1:6">
      <c r="A1285" s="15"/>
      <c r="B1285" s="14" t="s">
        <v>481</v>
      </c>
      <c r="C1285" s="15"/>
      <c r="D1285" s="16"/>
      <c r="E1285" s="15"/>
      <c r="F1285" t="e">
        <f t="array" ref="F1285">PROFEXHyperlinkAddress(B1285:B1285)</f>
        <v>#NAME?</v>
      </c>
    </row>
    <row r="1286" ht="120" spans="1:6">
      <c r="A1286" s="17">
        <v>5130097</v>
      </c>
      <c r="B1286" s="18" t="s">
        <v>482</v>
      </c>
      <c r="C1286" s="17" t="s">
        <v>1</v>
      </c>
      <c r="D1286" s="19" t="s">
        <v>2</v>
      </c>
      <c r="E1286" s="17" t="s">
        <v>28</v>
      </c>
      <c r="F1286" t="e">
        <f t="array" ref="F1286">PROFEXHyperlinkAddress(B1286:B1286)</f>
        <v>#NAME?</v>
      </c>
    </row>
    <row r="1287" spans="1:6">
      <c r="A1287" s="11"/>
      <c r="B1287" s="12"/>
      <c r="C1287" s="11"/>
      <c r="D1287" s="13"/>
      <c r="E1287" s="11"/>
      <c r="F1287" t="e">
        <f t="array" ref="F1287">PROFEXHyperlinkAddress(B1287:B1287)</f>
        <v>#NAME?</v>
      </c>
    </row>
    <row r="1288" ht="57.75" spans="1:6">
      <c r="A1288" s="11"/>
      <c r="B1288" s="14" t="s">
        <v>16</v>
      </c>
      <c r="C1288" s="11"/>
      <c r="D1288" s="13"/>
      <c r="E1288" s="11"/>
      <c r="F1288" t="e">
        <f t="array" ref="F1288">PROFEXHyperlinkAddress(B1288:B1288)</f>
        <v>#NAME?</v>
      </c>
    </row>
    <row r="1289" spans="1:6">
      <c r="A1289" s="11"/>
      <c r="B1289" s="12"/>
      <c r="C1289" s="11"/>
      <c r="D1289" s="13"/>
      <c r="E1289" s="11"/>
      <c r="F1289" t="e">
        <f t="array" ref="F1289">PROFEXHyperlinkAddress(B1289:B1289)</f>
        <v>#NAME?</v>
      </c>
    </row>
    <row r="1290" ht="25.5" spans="1:6">
      <c r="A1290" s="15"/>
      <c r="B1290" s="14" t="s">
        <v>5</v>
      </c>
      <c r="C1290" s="15"/>
      <c r="D1290" s="16"/>
      <c r="E1290" s="15"/>
      <c r="F1290" t="e">
        <f t="array" ref="F1290">PROFEXHyperlinkAddress(B1290:B1290)</f>
        <v>#NAME?</v>
      </c>
    </row>
    <row r="1291" ht="165" spans="1:6">
      <c r="A1291" s="17">
        <v>5127097</v>
      </c>
      <c r="B1291" s="18" t="s">
        <v>483</v>
      </c>
      <c r="C1291" s="17" t="s">
        <v>1</v>
      </c>
      <c r="D1291" s="19" t="s">
        <v>7</v>
      </c>
      <c r="E1291" s="17" t="s">
        <v>370</v>
      </c>
      <c r="F1291" t="e">
        <f t="array" ref="F1291">PROFEXHyperlinkAddress(B1291:B1291)</f>
        <v>#NAME?</v>
      </c>
    </row>
    <row r="1292" spans="1:6">
      <c r="A1292" s="11"/>
      <c r="B1292" s="12"/>
      <c r="C1292" s="11"/>
      <c r="D1292" s="13"/>
      <c r="E1292" s="11"/>
      <c r="F1292" t="e">
        <f t="array" ref="F1292">PROFEXHyperlinkAddress(B1292:B1292)</f>
        <v>#NAME?</v>
      </c>
    </row>
    <row r="1293" ht="57.75" spans="1:6">
      <c r="A1293" s="11"/>
      <c r="B1293" s="14" t="s">
        <v>21</v>
      </c>
      <c r="C1293" s="11"/>
      <c r="D1293" s="13"/>
      <c r="E1293" s="11"/>
      <c r="F1293" t="e">
        <f t="array" ref="F1293">PROFEXHyperlinkAddress(B1293:B1293)</f>
        <v>#NAME?</v>
      </c>
    </row>
    <row r="1294" spans="1:6">
      <c r="A1294" s="11"/>
      <c r="B1294" s="12"/>
      <c r="C1294" s="11"/>
      <c r="D1294" s="13"/>
      <c r="E1294" s="11"/>
      <c r="F1294" t="e">
        <f t="array" ref="F1294">PROFEXHyperlinkAddress(B1294:B1294)</f>
        <v>#NAME?</v>
      </c>
    </row>
    <row r="1295" ht="25.5" spans="1:6">
      <c r="A1295" s="15"/>
      <c r="B1295" s="14" t="s">
        <v>5</v>
      </c>
      <c r="C1295" s="15"/>
      <c r="D1295" s="16"/>
      <c r="E1295" s="15"/>
      <c r="F1295" t="e">
        <f t="array" ref="F1295">PROFEXHyperlinkAddress(B1295:B1295)</f>
        <v>#NAME?</v>
      </c>
    </row>
    <row r="1296" ht="75" spans="1:6">
      <c r="A1296" s="17">
        <v>5124097</v>
      </c>
      <c r="B1296" s="18" t="s">
        <v>380</v>
      </c>
      <c r="C1296" s="17" t="s">
        <v>1</v>
      </c>
      <c r="D1296" s="19" t="s">
        <v>2</v>
      </c>
      <c r="E1296" s="17" t="s">
        <v>370</v>
      </c>
      <c r="F1296" t="e">
        <f t="array" ref="F1296">PROFEXHyperlinkAddress(B1296:B1296)</f>
        <v>#NAME?</v>
      </c>
    </row>
    <row r="1297" spans="1:6">
      <c r="A1297" s="11"/>
      <c r="B1297" s="12"/>
      <c r="C1297" s="11"/>
      <c r="D1297" s="13"/>
      <c r="E1297" s="11"/>
      <c r="F1297" t="e">
        <f t="array" ref="F1297">PROFEXHyperlinkAddress(B1297:B1297)</f>
        <v>#NAME?</v>
      </c>
    </row>
    <row r="1298" ht="57.75" spans="1:6">
      <c r="A1298" s="11"/>
      <c r="B1298" s="14" t="s">
        <v>21</v>
      </c>
      <c r="C1298" s="11"/>
      <c r="D1298" s="13"/>
      <c r="E1298" s="11"/>
      <c r="F1298" t="e">
        <f t="array" ref="F1298">PROFEXHyperlinkAddress(B1298:B1298)</f>
        <v>#NAME?</v>
      </c>
    </row>
    <row r="1299" spans="1:6">
      <c r="A1299" s="11"/>
      <c r="B1299" s="12"/>
      <c r="C1299" s="11"/>
      <c r="D1299" s="13"/>
      <c r="E1299" s="11"/>
      <c r="F1299" t="e">
        <f t="array" ref="F1299">PROFEXHyperlinkAddress(B1299:B1299)</f>
        <v>#NAME?</v>
      </c>
    </row>
    <row r="1300" ht="25.5" spans="1:6">
      <c r="A1300" s="15"/>
      <c r="B1300" s="14" t="s">
        <v>5</v>
      </c>
      <c r="C1300" s="15"/>
      <c r="D1300" s="16"/>
      <c r="E1300" s="15"/>
      <c r="F1300" t="e">
        <f t="array" ref="F1300">PROFEXHyperlinkAddress(B1300:B1300)</f>
        <v>#NAME?</v>
      </c>
    </row>
    <row r="1301" ht="195" spans="1:6">
      <c r="A1301" s="17">
        <v>5123097</v>
      </c>
      <c r="B1301" s="18" t="s">
        <v>484</v>
      </c>
      <c r="C1301" s="17" t="s">
        <v>1</v>
      </c>
      <c r="D1301" s="19" t="s">
        <v>7</v>
      </c>
      <c r="E1301" s="17" t="s">
        <v>107</v>
      </c>
      <c r="F1301" t="e">
        <f t="array" ref="F1301">PROFEXHyperlinkAddress(B1301:B1301)</f>
        <v>#NAME?</v>
      </c>
    </row>
    <row r="1302" spans="1:6">
      <c r="A1302" s="11"/>
      <c r="B1302" s="12"/>
      <c r="C1302" s="11"/>
      <c r="D1302" s="13"/>
      <c r="E1302" s="11"/>
      <c r="F1302" t="e">
        <f t="array" ref="F1302">PROFEXHyperlinkAddress(B1302:B1302)</f>
        <v>#NAME?</v>
      </c>
    </row>
    <row r="1303" ht="57.75" spans="1:6">
      <c r="A1303" s="11"/>
      <c r="B1303" s="14" t="s">
        <v>409</v>
      </c>
      <c r="C1303" s="11"/>
      <c r="D1303" s="13"/>
      <c r="E1303" s="11"/>
      <c r="F1303" t="e">
        <f t="array" ref="F1303">PROFEXHyperlinkAddress(B1303:B1303)</f>
        <v>#NAME?</v>
      </c>
    </row>
    <row r="1304" spans="1:6">
      <c r="A1304" s="11"/>
      <c r="B1304" s="12"/>
      <c r="C1304" s="11"/>
      <c r="D1304" s="13"/>
      <c r="E1304" s="11"/>
      <c r="F1304" t="e">
        <f t="array" ref="F1304">PROFEXHyperlinkAddress(B1304:B1304)</f>
        <v>#NAME?</v>
      </c>
    </row>
    <row r="1305" ht="25.5" spans="1:6">
      <c r="A1305" s="15"/>
      <c r="B1305" s="14" t="s">
        <v>5</v>
      </c>
      <c r="C1305" s="15"/>
      <c r="D1305" s="16"/>
      <c r="E1305" s="15"/>
      <c r="F1305" t="e">
        <f t="array" ref="F1305">PROFEXHyperlinkAddress(B1305:B1305)</f>
        <v>#NAME?</v>
      </c>
    </row>
    <row r="1306" ht="255" spans="1:6">
      <c r="A1306" s="17">
        <v>5122097</v>
      </c>
      <c r="B1306" s="18" t="s">
        <v>485</v>
      </c>
      <c r="C1306" s="17" t="s">
        <v>1</v>
      </c>
      <c r="D1306" s="19" t="s">
        <v>7</v>
      </c>
      <c r="E1306" s="17" t="s">
        <v>20</v>
      </c>
      <c r="F1306" t="e">
        <f t="array" ref="F1306">PROFEXHyperlinkAddress(B1306:B1306)</f>
        <v>#NAME?</v>
      </c>
    </row>
    <row r="1307" spans="1:6">
      <c r="A1307" s="11"/>
      <c r="B1307" s="12"/>
      <c r="C1307" s="11"/>
      <c r="D1307" s="13"/>
      <c r="E1307" s="11"/>
      <c r="F1307" t="e">
        <f t="array" ref="F1307">PROFEXHyperlinkAddress(B1307:B1307)</f>
        <v>#NAME?</v>
      </c>
    </row>
    <row r="1308" ht="57.75" spans="1:6">
      <c r="A1308" s="11"/>
      <c r="B1308" s="14" t="s">
        <v>409</v>
      </c>
      <c r="C1308" s="11"/>
      <c r="D1308" s="13"/>
      <c r="E1308" s="11"/>
      <c r="F1308" t="e">
        <f t="array" ref="F1308">PROFEXHyperlinkAddress(B1308:B1308)</f>
        <v>#NAME?</v>
      </c>
    </row>
    <row r="1309" spans="1:6">
      <c r="A1309" s="11"/>
      <c r="B1309" s="12"/>
      <c r="C1309" s="11"/>
      <c r="D1309" s="13"/>
      <c r="E1309" s="11"/>
      <c r="F1309" t="e">
        <f t="array" ref="F1309">PROFEXHyperlinkAddress(B1309:B1309)</f>
        <v>#NAME?</v>
      </c>
    </row>
    <row r="1310" ht="25.5" spans="1:6">
      <c r="A1310" s="15"/>
      <c r="B1310" s="14" t="s">
        <v>5</v>
      </c>
      <c r="C1310" s="15"/>
      <c r="D1310" s="16"/>
      <c r="E1310" s="15"/>
      <c r="F1310" t="e">
        <f t="array" ref="F1310">PROFEXHyperlinkAddress(B1310:B1310)</f>
        <v>#NAME?</v>
      </c>
    </row>
    <row r="1311" ht="150" spans="1:6">
      <c r="A1311" s="17">
        <v>5119097</v>
      </c>
      <c r="B1311" s="18" t="s">
        <v>486</v>
      </c>
      <c r="C1311" s="17" t="s">
        <v>1</v>
      </c>
      <c r="D1311" s="19" t="s">
        <v>2</v>
      </c>
      <c r="E1311" s="17" t="s">
        <v>464</v>
      </c>
      <c r="F1311" t="e">
        <f t="array" ref="F1311">PROFEXHyperlinkAddress(B1311:B1311)</f>
        <v>#NAME?</v>
      </c>
    </row>
    <row r="1312" spans="1:6">
      <c r="A1312" s="11"/>
      <c r="B1312" s="12"/>
      <c r="C1312" s="11"/>
      <c r="D1312" s="13"/>
      <c r="E1312" s="11"/>
      <c r="F1312" t="e">
        <f t="array" ref="F1312">PROFEXHyperlinkAddress(B1312:B1312)</f>
        <v>#NAME?</v>
      </c>
    </row>
    <row r="1313" ht="57.75" spans="1:6">
      <c r="A1313" s="11"/>
      <c r="B1313" s="14" t="s">
        <v>21</v>
      </c>
      <c r="C1313" s="11"/>
      <c r="D1313" s="13"/>
      <c r="E1313" s="11"/>
      <c r="F1313" t="e">
        <f t="array" ref="F1313">PROFEXHyperlinkAddress(B1313:B1313)</f>
        <v>#NAME?</v>
      </c>
    </row>
    <row r="1314" spans="1:6">
      <c r="A1314" s="11"/>
      <c r="B1314" s="12"/>
      <c r="C1314" s="11"/>
      <c r="D1314" s="13"/>
      <c r="E1314" s="11"/>
      <c r="F1314" t="e">
        <f t="array" ref="F1314">PROFEXHyperlinkAddress(B1314:B1314)</f>
        <v>#NAME?</v>
      </c>
    </row>
    <row r="1315" ht="25.5" spans="1:6">
      <c r="A1315" s="15"/>
      <c r="B1315" s="14" t="s">
        <v>5</v>
      </c>
      <c r="C1315" s="15"/>
      <c r="D1315" s="16"/>
      <c r="E1315" s="15"/>
      <c r="F1315" t="e">
        <f t="array" ref="F1315">PROFEXHyperlinkAddress(B1315:B1315)</f>
        <v>#NAME?</v>
      </c>
    </row>
    <row r="1316" ht="165" spans="1:6">
      <c r="A1316" s="17">
        <v>5116097</v>
      </c>
      <c r="B1316" s="18" t="s">
        <v>487</v>
      </c>
      <c r="C1316" s="17" t="s">
        <v>1</v>
      </c>
      <c r="D1316" s="19" t="s">
        <v>2</v>
      </c>
      <c r="E1316" s="17" t="s">
        <v>488</v>
      </c>
      <c r="F1316" t="e">
        <f t="array" ref="F1316">PROFEXHyperlinkAddress(B1316:B1316)</f>
        <v>#NAME?</v>
      </c>
    </row>
    <row r="1317" spans="1:6">
      <c r="A1317" s="11"/>
      <c r="B1317" s="12"/>
      <c r="C1317" s="11"/>
      <c r="D1317" s="13"/>
      <c r="E1317" s="11"/>
      <c r="F1317" t="e">
        <f t="array" ref="F1317">PROFEXHyperlinkAddress(B1317:B1317)</f>
        <v>#NAME?</v>
      </c>
    </row>
    <row r="1318" ht="49.5" spans="1:6">
      <c r="A1318" s="11"/>
      <c r="B1318" s="14" t="s">
        <v>78</v>
      </c>
      <c r="C1318" s="11"/>
      <c r="D1318" s="13"/>
      <c r="E1318" s="11"/>
      <c r="F1318" t="e">
        <f t="array" ref="F1318">PROFEXHyperlinkAddress(B1318:B1318)</f>
        <v>#NAME?</v>
      </c>
    </row>
    <row r="1319" spans="1:6">
      <c r="A1319" s="11"/>
      <c r="B1319" s="12"/>
      <c r="C1319" s="11"/>
      <c r="D1319" s="13"/>
      <c r="E1319" s="11"/>
      <c r="F1319" t="e">
        <f t="array" ref="F1319">PROFEXHyperlinkAddress(B1319:B1319)</f>
        <v>#NAME?</v>
      </c>
    </row>
    <row r="1320" ht="25.5" spans="1:6">
      <c r="A1320" s="15"/>
      <c r="B1320" s="14" t="s">
        <v>5</v>
      </c>
      <c r="C1320" s="15"/>
      <c r="D1320" s="16"/>
      <c r="E1320" s="15"/>
      <c r="F1320" t="e">
        <f t="array" ref="F1320">PROFEXHyperlinkAddress(B1320:B1320)</f>
        <v>#NAME?</v>
      </c>
    </row>
    <row r="1321" ht="150" spans="1:6">
      <c r="A1321" s="17">
        <v>5115097</v>
      </c>
      <c r="B1321" s="18" t="s">
        <v>489</v>
      </c>
      <c r="C1321" s="17" t="s">
        <v>1</v>
      </c>
      <c r="D1321" s="19" t="s">
        <v>2</v>
      </c>
      <c r="E1321" s="17" t="s">
        <v>137</v>
      </c>
      <c r="F1321" t="e">
        <f t="array" ref="F1321">PROFEXHyperlinkAddress(B1321:B1321)</f>
        <v>#NAME?</v>
      </c>
    </row>
    <row r="1322" spans="1:6">
      <c r="A1322" s="11"/>
      <c r="B1322" s="12"/>
      <c r="C1322" s="11"/>
      <c r="D1322" s="13"/>
      <c r="E1322" s="11"/>
      <c r="F1322" t="e">
        <f t="array" ref="F1322">PROFEXHyperlinkAddress(B1322:B1322)</f>
        <v>#NAME?</v>
      </c>
    </row>
    <row r="1323" ht="49.5" spans="1:6">
      <c r="A1323" s="11"/>
      <c r="B1323" s="14" t="s">
        <v>78</v>
      </c>
      <c r="C1323" s="11"/>
      <c r="D1323" s="13"/>
      <c r="E1323" s="11"/>
      <c r="F1323" t="e">
        <f t="array" ref="F1323">PROFEXHyperlinkAddress(B1323:B1323)</f>
        <v>#NAME?</v>
      </c>
    </row>
    <row r="1324" spans="1:6">
      <c r="A1324" s="11"/>
      <c r="B1324" s="12"/>
      <c r="C1324" s="11"/>
      <c r="D1324" s="13"/>
      <c r="E1324" s="11"/>
      <c r="F1324" t="e">
        <f t="array" ref="F1324">PROFEXHyperlinkAddress(B1324:B1324)</f>
        <v>#NAME?</v>
      </c>
    </row>
    <row r="1325" ht="25.5" spans="1:6">
      <c r="A1325" s="15"/>
      <c r="B1325" s="14" t="s">
        <v>5</v>
      </c>
      <c r="C1325" s="15"/>
      <c r="D1325" s="16"/>
      <c r="E1325" s="15"/>
      <c r="F1325" t="e">
        <f t="array" ref="F1325">PROFEXHyperlinkAddress(B1325:B1325)</f>
        <v>#NAME?</v>
      </c>
    </row>
    <row r="1326" ht="195" spans="1:6">
      <c r="A1326" s="17">
        <v>5113097</v>
      </c>
      <c r="B1326" s="18" t="s">
        <v>490</v>
      </c>
      <c r="C1326" s="17" t="s">
        <v>1</v>
      </c>
      <c r="D1326" s="19" t="s">
        <v>7</v>
      </c>
      <c r="E1326" s="17" t="s">
        <v>333</v>
      </c>
      <c r="F1326" t="e">
        <f t="array" ref="F1326">PROFEXHyperlinkAddress(B1326:B1326)</f>
        <v>#NAME?</v>
      </c>
    </row>
    <row r="1327" spans="1:6">
      <c r="A1327" s="11"/>
      <c r="B1327" s="12"/>
      <c r="C1327" s="11"/>
      <c r="D1327" s="13"/>
      <c r="E1327" s="11"/>
      <c r="F1327" t="e">
        <f t="array" ref="F1327">PROFEXHyperlinkAddress(B1327:B1327)</f>
        <v>#NAME?</v>
      </c>
    </row>
    <row r="1328" ht="57.75" spans="1:6">
      <c r="A1328" s="11"/>
      <c r="B1328" s="14" t="s">
        <v>21</v>
      </c>
      <c r="C1328" s="11"/>
      <c r="D1328" s="13"/>
      <c r="E1328" s="11"/>
      <c r="F1328" t="e">
        <f t="array" ref="F1328">PROFEXHyperlinkAddress(B1328:B1328)</f>
        <v>#NAME?</v>
      </c>
    </row>
    <row r="1329" spans="1:6">
      <c r="A1329" s="11"/>
      <c r="B1329" s="12"/>
      <c r="C1329" s="11"/>
      <c r="D1329" s="13"/>
      <c r="E1329" s="11"/>
      <c r="F1329" t="e">
        <f t="array" ref="F1329">PROFEXHyperlinkAddress(B1329:B1329)</f>
        <v>#NAME?</v>
      </c>
    </row>
    <row r="1330" ht="25.5" spans="1:6">
      <c r="A1330" s="15"/>
      <c r="B1330" s="14" t="s">
        <v>5</v>
      </c>
      <c r="C1330" s="15"/>
      <c r="D1330" s="16"/>
      <c r="E1330" s="15"/>
      <c r="F1330" t="e">
        <f t="array" ref="F1330">PROFEXHyperlinkAddress(B1330:B1330)</f>
        <v>#NAME?</v>
      </c>
    </row>
    <row r="1331" ht="180" spans="1:6">
      <c r="A1331" s="17">
        <v>5109097</v>
      </c>
      <c r="B1331" s="18" t="s">
        <v>491</v>
      </c>
      <c r="C1331" s="17" t="s">
        <v>1</v>
      </c>
      <c r="D1331" s="19" t="s">
        <v>2</v>
      </c>
      <c r="E1331" s="17" t="s">
        <v>492</v>
      </c>
      <c r="F1331" t="e">
        <f t="array" ref="F1331">PROFEXHyperlinkAddress(B1331:B1331)</f>
        <v>#NAME?</v>
      </c>
    </row>
    <row r="1332" spans="1:6">
      <c r="A1332" s="11"/>
      <c r="B1332" s="12"/>
      <c r="C1332" s="11"/>
      <c r="D1332" s="13"/>
      <c r="E1332" s="11"/>
      <c r="F1332" t="e">
        <f t="array" ref="F1332">PROFEXHyperlinkAddress(B1332:B1332)</f>
        <v>#NAME?</v>
      </c>
    </row>
    <row r="1333" ht="57.75" spans="1:6">
      <c r="A1333" s="11"/>
      <c r="B1333" s="14" t="s">
        <v>16</v>
      </c>
      <c r="C1333" s="11"/>
      <c r="D1333" s="13"/>
      <c r="E1333" s="11"/>
      <c r="F1333" t="e">
        <f t="array" ref="F1333">PROFEXHyperlinkAddress(B1333:B1333)</f>
        <v>#NAME?</v>
      </c>
    </row>
    <row r="1334" spans="1:6">
      <c r="A1334" s="11"/>
      <c r="B1334" s="12"/>
      <c r="C1334" s="11"/>
      <c r="D1334" s="13"/>
      <c r="E1334" s="11"/>
      <c r="F1334" t="e">
        <f t="array" ref="F1334">PROFEXHyperlinkAddress(B1334:B1334)</f>
        <v>#NAME?</v>
      </c>
    </row>
    <row r="1335" ht="25.5" spans="1:6">
      <c r="A1335" s="15"/>
      <c r="B1335" s="14" t="s">
        <v>493</v>
      </c>
      <c r="C1335" s="15"/>
      <c r="D1335" s="16"/>
      <c r="E1335" s="15"/>
      <c r="F1335" t="e">
        <f t="array" ref="F1335">PROFEXHyperlinkAddress(B1335:B1335)</f>
        <v>#NAME?</v>
      </c>
    </row>
    <row r="1336" ht="210" spans="1:6">
      <c r="A1336" s="17">
        <v>5108097</v>
      </c>
      <c r="B1336" s="18" t="s">
        <v>494</v>
      </c>
      <c r="C1336" s="17" t="s">
        <v>1</v>
      </c>
      <c r="D1336" s="19" t="s">
        <v>2</v>
      </c>
      <c r="E1336" s="17" t="s">
        <v>495</v>
      </c>
      <c r="F1336" t="e">
        <f t="array" ref="F1336">PROFEXHyperlinkAddress(B1336:B1336)</f>
        <v>#NAME?</v>
      </c>
    </row>
    <row r="1337" spans="1:6">
      <c r="A1337" s="11"/>
      <c r="B1337" s="12"/>
      <c r="C1337" s="11"/>
      <c r="D1337" s="13"/>
      <c r="E1337" s="11"/>
      <c r="F1337" t="e">
        <f t="array" ref="F1337">PROFEXHyperlinkAddress(B1337:B1337)</f>
        <v>#NAME?</v>
      </c>
    </row>
    <row r="1338" ht="57.75" spans="1:6">
      <c r="A1338" s="11"/>
      <c r="B1338" s="14" t="s">
        <v>21</v>
      </c>
      <c r="C1338" s="11"/>
      <c r="D1338" s="13"/>
      <c r="E1338" s="11"/>
      <c r="F1338" t="e">
        <f t="array" ref="F1338">PROFEXHyperlinkAddress(B1338:B1338)</f>
        <v>#NAME?</v>
      </c>
    </row>
    <row r="1339" spans="1:6">
      <c r="A1339" s="11"/>
      <c r="B1339" s="12"/>
      <c r="C1339" s="11"/>
      <c r="D1339" s="13"/>
      <c r="E1339" s="11"/>
      <c r="F1339" t="e">
        <f t="array" ref="F1339">PROFEXHyperlinkAddress(B1339:B1339)</f>
        <v>#NAME?</v>
      </c>
    </row>
    <row r="1340" ht="25.5" spans="1:6">
      <c r="A1340" s="15"/>
      <c r="B1340" s="14" t="s">
        <v>496</v>
      </c>
      <c r="C1340" s="15"/>
      <c r="D1340" s="16"/>
      <c r="E1340" s="15"/>
      <c r="F1340" t="e">
        <f t="array" ref="F1340">PROFEXHyperlinkAddress(B1340:B1340)</f>
        <v>#NAME?</v>
      </c>
    </row>
    <row r="1341" ht="135" spans="1:6">
      <c r="A1341" s="17">
        <v>5107097</v>
      </c>
      <c r="B1341" s="18" t="s">
        <v>497</v>
      </c>
      <c r="C1341" s="17" t="s">
        <v>1</v>
      </c>
      <c r="D1341" s="19" t="s">
        <v>2</v>
      </c>
      <c r="E1341" s="17" t="s">
        <v>498</v>
      </c>
      <c r="F1341" t="e">
        <f t="array" ref="F1341">PROFEXHyperlinkAddress(B1341:B1341)</f>
        <v>#NAME?</v>
      </c>
    </row>
    <row r="1342" spans="1:6">
      <c r="A1342" s="11"/>
      <c r="B1342" s="12"/>
      <c r="C1342" s="11"/>
      <c r="D1342" s="13"/>
      <c r="E1342" s="11"/>
      <c r="F1342" t="e">
        <f t="array" ref="F1342">PROFEXHyperlinkAddress(B1342:B1342)</f>
        <v>#NAME?</v>
      </c>
    </row>
    <row r="1343" ht="57.75" spans="1:6">
      <c r="A1343" s="11"/>
      <c r="B1343" s="14" t="s">
        <v>16</v>
      </c>
      <c r="C1343" s="11"/>
      <c r="D1343" s="13"/>
      <c r="E1343" s="11"/>
      <c r="F1343" t="e">
        <f t="array" ref="F1343">PROFEXHyperlinkAddress(B1343:B1343)</f>
        <v>#NAME?</v>
      </c>
    </row>
    <row r="1344" spans="1:6">
      <c r="A1344" s="11"/>
      <c r="B1344" s="12"/>
      <c r="C1344" s="11"/>
      <c r="D1344" s="13"/>
      <c r="E1344" s="11"/>
      <c r="F1344" t="e">
        <f t="array" ref="F1344">PROFEXHyperlinkAddress(B1344:B1344)</f>
        <v>#NAME?</v>
      </c>
    </row>
    <row r="1345" ht="25.5" spans="1:6">
      <c r="A1345" s="15"/>
      <c r="B1345" s="14" t="s">
        <v>5</v>
      </c>
      <c r="C1345" s="15"/>
      <c r="D1345" s="16"/>
      <c r="E1345" s="15"/>
      <c r="F1345" t="e">
        <f t="array" ref="F1345">PROFEXHyperlinkAddress(B1345:B1345)</f>
        <v>#NAME?</v>
      </c>
    </row>
    <row r="1346" ht="330" spans="1:6">
      <c r="A1346" s="17">
        <v>5106097</v>
      </c>
      <c r="B1346" s="18" t="s">
        <v>499</v>
      </c>
      <c r="C1346" s="17" t="s">
        <v>1</v>
      </c>
      <c r="D1346" s="19" t="s">
        <v>7</v>
      </c>
      <c r="E1346" s="17" t="s">
        <v>48</v>
      </c>
      <c r="F1346" t="e">
        <f t="array" ref="F1346">PROFEXHyperlinkAddress(B1346:B1346)</f>
        <v>#NAME?</v>
      </c>
    </row>
    <row r="1347" spans="1:6">
      <c r="A1347" s="11"/>
      <c r="B1347" s="12"/>
      <c r="C1347" s="11"/>
      <c r="D1347" s="13"/>
      <c r="E1347" s="11"/>
      <c r="F1347" t="e">
        <f t="array" ref="F1347">PROFEXHyperlinkAddress(B1347:B1347)</f>
        <v>#NAME?</v>
      </c>
    </row>
    <row r="1348" ht="57.75" spans="1:6">
      <c r="A1348" s="11"/>
      <c r="B1348" s="14" t="s">
        <v>16</v>
      </c>
      <c r="C1348" s="11"/>
      <c r="D1348" s="13"/>
      <c r="E1348" s="11"/>
      <c r="F1348" t="e">
        <f t="array" ref="F1348">PROFEXHyperlinkAddress(B1348:B1348)</f>
        <v>#NAME?</v>
      </c>
    </row>
    <row r="1349" spans="1:6">
      <c r="A1349" s="11"/>
      <c r="B1349" s="12"/>
      <c r="C1349" s="11"/>
      <c r="D1349" s="13"/>
      <c r="E1349" s="11"/>
      <c r="F1349" t="e">
        <f t="array" ref="F1349">PROFEXHyperlinkAddress(B1349:B1349)</f>
        <v>#NAME?</v>
      </c>
    </row>
    <row r="1350" ht="25.5" spans="1:6">
      <c r="A1350" s="15"/>
      <c r="B1350" s="14" t="s">
        <v>5</v>
      </c>
      <c r="C1350" s="15"/>
      <c r="D1350" s="16"/>
      <c r="E1350" s="15"/>
      <c r="F1350" t="e">
        <f t="array" ref="F1350">PROFEXHyperlinkAddress(B1350:B1350)</f>
        <v>#NAME?</v>
      </c>
    </row>
    <row r="1351" ht="315" spans="1:6">
      <c r="A1351" s="17">
        <v>5105097</v>
      </c>
      <c r="B1351" s="18" t="s">
        <v>500</v>
      </c>
      <c r="C1351" s="17" t="s">
        <v>1</v>
      </c>
      <c r="D1351" s="19" t="s">
        <v>2</v>
      </c>
      <c r="E1351" s="17" t="s">
        <v>212</v>
      </c>
      <c r="F1351" t="e">
        <f t="array" ref="F1351">PROFEXHyperlinkAddress(B1351:B1351)</f>
        <v>#NAME?</v>
      </c>
    </row>
    <row r="1352" spans="1:6">
      <c r="A1352" s="11"/>
      <c r="B1352" s="12"/>
      <c r="C1352" s="11"/>
      <c r="D1352" s="13"/>
      <c r="E1352" s="11"/>
      <c r="F1352" t="e">
        <f t="array" ref="F1352">PROFEXHyperlinkAddress(B1352:B1352)</f>
        <v>#NAME?</v>
      </c>
    </row>
    <row r="1353" ht="57.75" spans="1:6">
      <c r="A1353" s="11"/>
      <c r="B1353" s="14" t="s">
        <v>16</v>
      </c>
      <c r="C1353" s="11"/>
      <c r="D1353" s="13"/>
      <c r="E1353" s="11"/>
      <c r="F1353" t="e">
        <f t="array" ref="F1353">PROFEXHyperlinkAddress(B1353:B1353)</f>
        <v>#NAME?</v>
      </c>
    </row>
    <row r="1354" spans="1:6">
      <c r="A1354" s="11"/>
      <c r="B1354" s="12"/>
      <c r="C1354" s="11"/>
      <c r="D1354" s="13"/>
      <c r="E1354" s="11"/>
      <c r="F1354" t="e">
        <f t="array" ref="F1354">PROFEXHyperlinkAddress(B1354:B1354)</f>
        <v>#NAME?</v>
      </c>
    </row>
    <row r="1355" ht="25.5" spans="1:6">
      <c r="A1355" s="15"/>
      <c r="B1355" s="14" t="s">
        <v>501</v>
      </c>
      <c r="C1355" s="15"/>
      <c r="D1355" s="16"/>
      <c r="E1355" s="15"/>
      <c r="F1355" t="e">
        <f t="array" ref="F1355">PROFEXHyperlinkAddress(B1355:B1355)</f>
        <v>#NAME?</v>
      </c>
    </row>
    <row r="1356" ht="180" spans="1:6">
      <c r="A1356" s="17">
        <v>5104097</v>
      </c>
      <c r="B1356" s="18" t="s">
        <v>502</v>
      </c>
      <c r="C1356" s="17" t="s">
        <v>1</v>
      </c>
      <c r="D1356" s="19" t="s">
        <v>2</v>
      </c>
      <c r="E1356" s="17" t="s">
        <v>503</v>
      </c>
      <c r="F1356" t="e">
        <f t="array" ref="F1356">PROFEXHyperlinkAddress(B1356:B1356)</f>
        <v>#NAME?</v>
      </c>
    </row>
    <row r="1357" spans="1:6">
      <c r="A1357" s="11"/>
      <c r="B1357" s="12"/>
      <c r="C1357" s="11"/>
      <c r="D1357" s="13"/>
      <c r="E1357" s="11"/>
      <c r="F1357" t="e">
        <f t="array" ref="F1357">PROFEXHyperlinkAddress(B1357:B1357)</f>
        <v>#NAME?</v>
      </c>
    </row>
    <row r="1358" ht="49.5" spans="1:6">
      <c r="A1358" s="11"/>
      <c r="B1358" s="14" t="s">
        <v>78</v>
      </c>
      <c r="C1358" s="11"/>
      <c r="D1358" s="13"/>
      <c r="E1358" s="11"/>
      <c r="F1358" t="e">
        <f t="array" ref="F1358">PROFEXHyperlinkAddress(B1358:B1358)</f>
        <v>#NAME?</v>
      </c>
    </row>
    <row r="1359" spans="1:6">
      <c r="A1359" s="11"/>
      <c r="B1359" s="12"/>
      <c r="C1359" s="11"/>
      <c r="D1359" s="13"/>
      <c r="E1359" s="11"/>
      <c r="F1359" t="e">
        <f t="array" ref="F1359">PROFEXHyperlinkAddress(B1359:B1359)</f>
        <v>#NAME?</v>
      </c>
    </row>
    <row r="1360" ht="25.5" spans="1:6">
      <c r="A1360" s="15"/>
      <c r="B1360" s="14" t="s">
        <v>5</v>
      </c>
      <c r="C1360" s="15"/>
      <c r="D1360" s="16"/>
      <c r="E1360" s="15"/>
      <c r="F1360" t="e">
        <f t="array" ref="F1360">PROFEXHyperlinkAddress(B1360:B1360)</f>
        <v>#NAME?</v>
      </c>
    </row>
    <row r="1361" ht="285" spans="1:6">
      <c r="A1361" s="17">
        <v>5103097</v>
      </c>
      <c r="B1361" s="18" t="s">
        <v>504</v>
      </c>
      <c r="C1361" s="17" t="s">
        <v>1</v>
      </c>
      <c r="D1361" s="19" t="s">
        <v>2</v>
      </c>
      <c r="E1361" s="17" t="s">
        <v>505</v>
      </c>
      <c r="F1361" t="e">
        <f t="array" ref="F1361">PROFEXHyperlinkAddress(B1361:B1361)</f>
        <v>#NAME?</v>
      </c>
    </row>
    <row r="1362" spans="1:6">
      <c r="A1362" s="11"/>
      <c r="B1362" s="12"/>
      <c r="C1362" s="11"/>
      <c r="D1362" s="13"/>
      <c r="E1362" s="11"/>
      <c r="F1362" t="e">
        <f t="array" ref="F1362">PROFEXHyperlinkAddress(B1362:B1362)</f>
        <v>#NAME?</v>
      </c>
    </row>
    <row r="1363" ht="49.5" spans="1:6">
      <c r="A1363" s="11"/>
      <c r="B1363" s="14" t="s">
        <v>78</v>
      </c>
      <c r="C1363" s="11"/>
      <c r="D1363" s="13"/>
      <c r="E1363" s="11"/>
      <c r="F1363" t="e">
        <f t="array" ref="F1363">PROFEXHyperlinkAddress(B1363:B1363)</f>
        <v>#NAME?</v>
      </c>
    </row>
    <row r="1364" spans="1:6">
      <c r="A1364" s="11"/>
      <c r="B1364" s="12"/>
      <c r="C1364" s="11"/>
      <c r="D1364" s="13"/>
      <c r="E1364" s="11"/>
      <c r="F1364" t="e">
        <f t="array" ref="F1364">PROFEXHyperlinkAddress(B1364:B1364)</f>
        <v>#NAME?</v>
      </c>
    </row>
    <row r="1365" ht="25.5" spans="1:6">
      <c r="A1365" s="15"/>
      <c r="B1365" s="14" t="s">
        <v>5</v>
      </c>
      <c r="C1365" s="15"/>
      <c r="D1365" s="16"/>
      <c r="E1365" s="15"/>
      <c r="F1365" t="e">
        <f t="array" ref="F1365">PROFEXHyperlinkAddress(B1365:B1365)</f>
        <v>#NAME?</v>
      </c>
    </row>
    <row r="1366" ht="300" spans="1:6">
      <c r="A1366" s="17">
        <v>5102097</v>
      </c>
      <c r="B1366" s="18" t="s">
        <v>506</v>
      </c>
      <c r="C1366" s="17" t="s">
        <v>1</v>
      </c>
      <c r="D1366" s="19" t="s">
        <v>2</v>
      </c>
      <c r="E1366" s="17" t="s">
        <v>507</v>
      </c>
      <c r="F1366" t="e">
        <f t="array" ref="F1366">PROFEXHyperlinkAddress(B1366:B1366)</f>
        <v>#NAME?</v>
      </c>
    </row>
    <row r="1367" spans="1:6">
      <c r="A1367" s="11"/>
      <c r="B1367" s="12"/>
      <c r="C1367" s="11"/>
      <c r="D1367" s="13"/>
      <c r="E1367" s="11"/>
      <c r="F1367" t="e">
        <f t="array" ref="F1367">PROFEXHyperlinkAddress(B1367:B1367)</f>
        <v>#NAME?</v>
      </c>
    </row>
    <row r="1368" ht="49.5" spans="1:6">
      <c r="A1368" s="11"/>
      <c r="B1368" s="14" t="s">
        <v>78</v>
      </c>
      <c r="C1368" s="11"/>
      <c r="D1368" s="13"/>
      <c r="E1368" s="11"/>
      <c r="F1368" t="e">
        <f t="array" ref="F1368">PROFEXHyperlinkAddress(B1368:B1368)</f>
        <v>#NAME?</v>
      </c>
    </row>
    <row r="1369" spans="1:6">
      <c r="A1369" s="11"/>
      <c r="B1369" s="12"/>
      <c r="C1369" s="11"/>
      <c r="D1369" s="13"/>
      <c r="E1369" s="11"/>
      <c r="F1369" t="e">
        <f t="array" ref="F1369">PROFEXHyperlinkAddress(B1369:B1369)</f>
        <v>#NAME?</v>
      </c>
    </row>
    <row r="1370" ht="25.5" spans="1:6">
      <c r="A1370" s="15"/>
      <c r="B1370" s="14" t="s">
        <v>5</v>
      </c>
      <c r="C1370" s="15"/>
      <c r="D1370" s="16"/>
      <c r="E1370" s="15"/>
      <c r="F1370" t="e">
        <f t="array" ref="F1370">PROFEXHyperlinkAddress(B1370:B1370)</f>
        <v>#NAME?</v>
      </c>
    </row>
    <row r="1371" ht="270" spans="1:6">
      <c r="A1371" s="17">
        <v>5101097</v>
      </c>
      <c r="B1371" s="18" t="s">
        <v>508</v>
      </c>
      <c r="C1371" s="17" t="s">
        <v>1</v>
      </c>
      <c r="D1371" s="19" t="s">
        <v>2</v>
      </c>
      <c r="E1371" s="17" t="s">
        <v>509</v>
      </c>
      <c r="F1371" t="e">
        <f t="array" ref="F1371">PROFEXHyperlinkAddress(B1371:B1371)</f>
        <v>#NAME?</v>
      </c>
    </row>
    <row r="1372" spans="1:6">
      <c r="A1372" s="11"/>
      <c r="B1372" s="12"/>
      <c r="C1372" s="11"/>
      <c r="D1372" s="13"/>
      <c r="E1372" s="11"/>
      <c r="F1372" t="e">
        <f t="array" ref="F1372">PROFEXHyperlinkAddress(B1372:B1372)</f>
        <v>#NAME?</v>
      </c>
    </row>
    <row r="1373" ht="49.5" spans="1:6">
      <c r="A1373" s="11"/>
      <c r="B1373" s="14" t="s">
        <v>78</v>
      </c>
      <c r="C1373" s="11"/>
      <c r="D1373" s="13"/>
      <c r="E1373" s="11"/>
      <c r="F1373" t="e">
        <f t="array" ref="F1373">PROFEXHyperlinkAddress(B1373:B1373)</f>
        <v>#NAME?</v>
      </c>
    </row>
    <row r="1374" spans="1:6">
      <c r="A1374" s="11"/>
      <c r="B1374" s="12"/>
      <c r="C1374" s="11"/>
      <c r="D1374" s="13"/>
      <c r="E1374" s="11"/>
      <c r="F1374" t="e">
        <f t="array" ref="F1374">PROFEXHyperlinkAddress(B1374:B1374)</f>
        <v>#NAME?</v>
      </c>
    </row>
    <row r="1375" ht="25.5" spans="1:6">
      <c r="A1375" s="15"/>
      <c r="B1375" s="14" t="s">
        <v>5</v>
      </c>
      <c r="C1375" s="15"/>
      <c r="D1375" s="16"/>
      <c r="E1375" s="15"/>
      <c r="F1375" t="e">
        <f t="array" ref="F1375">PROFEXHyperlinkAddress(B1375:B1375)</f>
        <v>#NAME?</v>
      </c>
    </row>
    <row r="1376" ht="315" spans="1:6">
      <c r="A1376" s="17">
        <v>5100097</v>
      </c>
      <c r="B1376" s="18" t="s">
        <v>510</v>
      </c>
      <c r="C1376" s="17" t="s">
        <v>1</v>
      </c>
      <c r="D1376" s="19" t="s">
        <v>2</v>
      </c>
      <c r="E1376" s="17" t="s">
        <v>509</v>
      </c>
      <c r="F1376" t="e">
        <f t="array" ref="F1376">PROFEXHyperlinkAddress(B1376:B1376)</f>
        <v>#NAME?</v>
      </c>
    </row>
    <row r="1377" spans="1:6">
      <c r="A1377" s="11"/>
      <c r="B1377" s="12"/>
      <c r="C1377" s="11"/>
      <c r="D1377" s="13"/>
      <c r="E1377" s="11"/>
      <c r="F1377" t="e">
        <f t="array" ref="F1377">PROFEXHyperlinkAddress(B1377:B1377)</f>
        <v>#NAME?</v>
      </c>
    </row>
    <row r="1378" ht="49.5" spans="1:6">
      <c r="A1378" s="11"/>
      <c r="B1378" s="14" t="s">
        <v>78</v>
      </c>
      <c r="C1378" s="11"/>
      <c r="D1378" s="13"/>
      <c r="E1378" s="11"/>
      <c r="F1378" t="e">
        <f t="array" ref="F1378">PROFEXHyperlinkAddress(B1378:B1378)</f>
        <v>#NAME?</v>
      </c>
    </row>
    <row r="1379" spans="1:6">
      <c r="A1379" s="11"/>
      <c r="B1379" s="12"/>
      <c r="C1379" s="11"/>
      <c r="D1379" s="13"/>
      <c r="E1379" s="11"/>
      <c r="F1379" t="e">
        <f t="array" ref="F1379">PROFEXHyperlinkAddress(B1379:B1379)</f>
        <v>#NAME?</v>
      </c>
    </row>
    <row r="1380" ht="25.5" spans="1:6">
      <c r="A1380" s="15"/>
      <c r="B1380" s="14" t="s">
        <v>5</v>
      </c>
      <c r="C1380" s="15"/>
      <c r="D1380" s="16"/>
      <c r="E1380" s="15"/>
      <c r="F1380" t="e">
        <f t="array" ref="F1380">PROFEXHyperlinkAddress(B1380:B1380)</f>
        <v>#NAME?</v>
      </c>
    </row>
    <row r="1381" ht="195" spans="1:6">
      <c r="A1381" s="17">
        <v>5099097</v>
      </c>
      <c r="B1381" s="18" t="s">
        <v>511</v>
      </c>
      <c r="C1381" s="17" t="s">
        <v>1</v>
      </c>
      <c r="D1381" s="19" t="s">
        <v>2</v>
      </c>
      <c r="E1381" s="17" t="s">
        <v>460</v>
      </c>
      <c r="F1381" t="e">
        <f t="array" ref="F1381">PROFEXHyperlinkAddress(B1381:B1381)</f>
        <v>#NAME?</v>
      </c>
    </row>
    <row r="1382" spans="1:6">
      <c r="A1382" s="11"/>
      <c r="B1382" s="12"/>
      <c r="C1382" s="11"/>
      <c r="D1382" s="13"/>
      <c r="E1382" s="11"/>
      <c r="F1382" t="e">
        <f t="array" ref="F1382">PROFEXHyperlinkAddress(B1382:B1382)</f>
        <v>#NAME?</v>
      </c>
    </row>
    <row r="1383" ht="49.5" spans="1:6">
      <c r="A1383" s="11"/>
      <c r="B1383" s="14" t="s">
        <v>78</v>
      </c>
      <c r="C1383" s="11"/>
      <c r="D1383" s="13"/>
      <c r="E1383" s="11"/>
      <c r="F1383" t="e">
        <f t="array" ref="F1383">PROFEXHyperlinkAddress(B1383:B1383)</f>
        <v>#NAME?</v>
      </c>
    </row>
    <row r="1384" spans="1:6">
      <c r="A1384" s="11"/>
      <c r="B1384" s="12"/>
      <c r="C1384" s="11"/>
      <c r="D1384" s="13"/>
      <c r="E1384" s="11"/>
      <c r="F1384" t="e">
        <f t="array" ref="F1384">PROFEXHyperlinkAddress(B1384:B1384)</f>
        <v>#NAME?</v>
      </c>
    </row>
    <row r="1385" ht="25.5" spans="1:6">
      <c r="A1385" s="15"/>
      <c r="B1385" s="14" t="s">
        <v>5</v>
      </c>
      <c r="C1385" s="15"/>
      <c r="D1385" s="16"/>
      <c r="E1385" s="15"/>
      <c r="F1385" t="e">
        <f t="array" ref="F1385">PROFEXHyperlinkAddress(B1385:B1385)</f>
        <v>#NAME?</v>
      </c>
    </row>
    <row r="1386" ht="409.5" spans="1:6">
      <c r="A1386" s="17">
        <v>5098097</v>
      </c>
      <c r="B1386" s="18" t="s">
        <v>512</v>
      </c>
      <c r="C1386" s="17" t="s">
        <v>1</v>
      </c>
      <c r="D1386" s="19" t="s">
        <v>2</v>
      </c>
      <c r="E1386" s="17" t="s">
        <v>513</v>
      </c>
      <c r="F1386" t="e">
        <f t="array" ref="F1386">PROFEXHyperlinkAddress(B1386:B1386)</f>
        <v>#NAME?</v>
      </c>
    </row>
    <row r="1387" spans="1:6">
      <c r="A1387" s="11"/>
      <c r="B1387" s="12"/>
      <c r="C1387" s="11"/>
      <c r="D1387" s="13"/>
      <c r="E1387" s="11"/>
      <c r="F1387" t="e">
        <f t="array" ref="F1387">PROFEXHyperlinkAddress(B1387:B1387)</f>
        <v>#NAME?</v>
      </c>
    </row>
    <row r="1388" ht="57.75" spans="1:6">
      <c r="A1388" s="11"/>
      <c r="B1388" s="14" t="s">
        <v>16</v>
      </c>
      <c r="C1388" s="11"/>
      <c r="D1388" s="13"/>
      <c r="E1388" s="11"/>
      <c r="F1388" t="e">
        <f t="array" ref="F1388">PROFEXHyperlinkAddress(B1388:B1388)</f>
        <v>#NAME?</v>
      </c>
    </row>
    <row r="1389" spans="1:6">
      <c r="A1389" s="11"/>
      <c r="B1389" s="12"/>
      <c r="C1389" s="11"/>
      <c r="D1389" s="13"/>
      <c r="E1389" s="11"/>
      <c r="F1389" t="e">
        <f t="array" ref="F1389">PROFEXHyperlinkAddress(B1389:B1389)</f>
        <v>#NAME?</v>
      </c>
    </row>
    <row r="1390" ht="25.5" spans="1:6">
      <c r="A1390" s="15"/>
      <c r="B1390" s="14" t="s">
        <v>5</v>
      </c>
      <c r="C1390" s="15"/>
      <c r="D1390" s="16"/>
      <c r="E1390" s="15"/>
      <c r="F1390" t="e">
        <f t="array" ref="F1390">PROFEXHyperlinkAddress(B1390:B1390)</f>
        <v>#NAME?</v>
      </c>
    </row>
    <row r="1391" ht="270" spans="1:6">
      <c r="A1391" s="17">
        <v>5096097</v>
      </c>
      <c r="B1391" s="18" t="s">
        <v>514</v>
      </c>
      <c r="C1391" s="17" t="s">
        <v>1</v>
      </c>
      <c r="D1391" s="19" t="s">
        <v>2</v>
      </c>
      <c r="E1391" s="17" t="s">
        <v>53</v>
      </c>
      <c r="F1391" t="e">
        <f t="array" ref="F1391">PROFEXHyperlinkAddress(B1391:B1391)</f>
        <v>#NAME?</v>
      </c>
    </row>
    <row r="1392" spans="1:6">
      <c r="A1392" s="11"/>
      <c r="B1392" s="12"/>
      <c r="C1392" s="11"/>
      <c r="D1392" s="13"/>
      <c r="E1392" s="11"/>
      <c r="F1392" t="e">
        <f t="array" ref="F1392">PROFEXHyperlinkAddress(B1392:B1392)</f>
        <v>#NAME?</v>
      </c>
    </row>
    <row r="1393" ht="57.75" spans="1:6">
      <c r="A1393" s="11"/>
      <c r="B1393" s="14" t="s">
        <v>21</v>
      </c>
      <c r="C1393" s="11"/>
      <c r="D1393" s="13"/>
      <c r="E1393" s="11"/>
      <c r="F1393" t="e">
        <f t="array" ref="F1393">PROFEXHyperlinkAddress(B1393:B1393)</f>
        <v>#NAME?</v>
      </c>
    </row>
    <row r="1394" spans="1:6">
      <c r="A1394" s="11"/>
      <c r="B1394" s="12"/>
      <c r="C1394" s="11"/>
      <c r="D1394" s="13"/>
      <c r="E1394" s="11"/>
      <c r="F1394" t="e">
        <f t="array" ref="F1394">PROFEXHyperlinkAddress(B1394:B1394)</f>
        <v>#NAME?</v>
      </c>
    </row>
    <row r="1395" ht="25.5" spans="1:6">
      <c r="A1395" s="15"/>
      <c r="B1395" s="14" t="s">
        <v>5</v>
      </c>
      <c r="C1395" s="15"/>
      <c r="D1395" s="16"/>
      <c r="E1395" s="15"/>
      <c r="F1395" t="e">
        <f t="array" ref="F1395">PROFEXHyperlinkAddress(B1395:B1395)</f>
        <v>#NAME?</v>
      </c>
    </row>
    <row r="1396" ht="225" spans="1:6">
      <c r="A1396" s="17">
        <v>5086097</v>
      </c>
      <c r="B1396" s="18" t="s">
        <v>515</v>
      </c>
      <c r="C1396" s="17" t="s">
        <v>1</v>
      </c>
      <c r="D1396" s="19" t="s">
        <v>76</v>
      </c>
      <c r="E1396" s="17" t="s">
        <v>405</v>
      </c>
      <c r="F1396" t="e">
        <f t="array" ref="F1396">PROFEXHyperlinkAddress(B1396:B1396)</f>
        <v>#NAME?</v>
      </c>
    </row>
    <row r="1397" spans="1:6">
      <c r="A1397" s="11"/>
      <c r="B1397" s="12"/>
      <c r="C1397" s="11"/>
      <c r="D1397" s="13"/>
      <c r="E1397" s="11"/>
      <c r="F1397" t="e">
        <f t="array" ref="F1397">PROFEXHyperlinkAddress(B1397:B1397)</f>
        <v>#NAME?</v>
      </c>
    </row>
    <row r="1398" ht="49.5" spans="1:6">
      <c r="A1398" s="11"/>
      <c r="B1398" s="14" t="s">
        <v>78</v>
      </c>
      <c r="C1398" s="11"/>
      <c r="D1398" s="13"/>
      <c r="E1398" s="11"/>
      <c r="F1398" t="e">
        <f t="array" ref="F1398">PROFEXHyperlinkAddress(B1398:B1398)</f>
        <v>#NAME?</v>
      </c>
    </row>
    <row r="1399" spans="1:6">
      <c r="A1399" s="11"/>
      <c r="B1399" s="12"/>
      <c r="C1399" s="11"/>
      <c r="D1399" s="13"/>
      <c r="E1399" s="11"/>
      <c r="F1399" t="e">
        <f t="array" ref="F1399">PROFEXHyperlinkAddress(B1399:B1399)</f>
        <v>#NAME?</v>
      </c>
    </row>
    <row r="1400" ht="25.5" spans="1:6">
      <c r="A1400" s="15"/>
      <c r="B1400" s="14" t="s">
        <v>5</v>
      </c>
      <c r="C1400" s="15"/>
      <c r="D1400" s="16"/>
      <c r="E1400" s="15"/>
      <c r="F1400" t="e">
        <f t="array" ref="F1400">PROFEXHyperlinkAddress(B1400:B1400)</f>
        <v>#NAME?</v>
      </c>
    </row>
    <row r="1401" ht="225" spans="1:6">
      <c r="A1401" s="17">
        <v>5085097</v>
      </c>
      <c r="B1401" s="18" t="s">
        <v>516</v>
      </c>
      <c r="C1401" s="17" t="s">
        <v>1</v>
      </c>
      <c r="D1401" s="19" t="s">
        <v>76</v>
      </c>
      <c r="E1401" s="17" t="s">
        <v>405</v>
      </c>
      <c r="F1401" t="e">
        <f t="array" ref="F1401">PROFEXHyperlinkAddress(B1401:B1401)</f>
        <v>#NAME?</v>
      </c>
    </row>
    <row r="1402" spans="1:6">
      <c r="A1402" s="11"/>
      <c r="B1402" s="12"/>
      <c r="C1402" s="11"/>
      <c r="D1402" s="13"/>
      <c r="E1402" s="11"/>
      <c r="F1402" t="e">
        <f t="array" ref="F1402">PROFEXHyperlinkAddress(B1402:B1402)</f>
        <v>#NAME?</v>
      </c>
    </row>
    <row r="1403" ht="49.5" spans="1:6">
      <c r="A1403" s="11"/>
      <c r="B1403" s="14" t="s">
        <v>78</v>
      </c>
      <c r="C1403" s="11"/>
      <c r="D1403" s="13"/>
      <c r="E1403" s="11"/>
      <c r="F1403" t="e">
        <f t="array" ref="F1403">PROFEXHyperlinkAddress(B1403:B1403)</f>
        <v>#NAME?</v>
      </c>
    </row>
    <row r="1404" spans="1:6">
      <c r="A1404" s="11"/>
      <c r="B1404" s="12"/>
      <c r="C1404" s="11"/>
      <c r="D1404" s="13"/>
      <c r="E1404" s="11"/>
      <c r="F1404" t="e">
        <f t="array" ref="F1404">PROFEXHyperlinkAddress(B1404:B1404)</f>
        <v>#NAME?</v>
      </c>
    </row>
    <row r="1405" ht="25.5" spans="1:6">
      <c r="A1405" s="15"/>
      <c r="B1405" s="14" t="s">
        <v>5</v>
      </c>
      <c r="C1405" s="15"/>
      <c r="D1405" s="16"/>
      <c r="E1405" s="15"/>
      <c r="F1405" t="e">
        <f t="array" ref="F1405">PROFEXHyperlinkAddress(B1405:B1405)</f>
        <v>#NAME?</v>
      </c>
    </row>
    <row r="1406" ht="300" spans="1:6">
      <c r="A1406" s="17">
        <v>5084097</v>
      </c>
      <c r="B1406" s="18" t="s">
        <v>517</v>
      </c>
      <c r="C1406" s="17" t="s">
        <v>1</v>
      </c>
      <c r="D1406" s="19" t="s">
        <v>76</v>
      </c>
      <c r="E1406" s="17" t="s">
        <v>422</v>
      </c>
      <c r="F1406" t="e">
        <f t="array" ref="F1406">PROFEXHyperlinkAddress(B1406:B1406)</f>
        <v>#NAME?</v>
      </c>
    </row>
    <row r="1407" spans="1:6">
      <c r="A1407" s="11"/>
      <c r="B1407" s="12"/>
      <c r="C1407" s="11"/>
      <c r="D1407" s="13"/>
      <c r="E1407" s="11"/>
      <c r="F1407" t="e">
        <f t="array" ref="F1407">PROFEXHyperlinkAddress(B1407:B1407)</f>
        <v>#NAME?</v>
      </c>
    </row>
    <row r="1408" ht="49.5" spans="1:6">
      <c r="A1408" s="11"/>
      <c r="B1408" s="14" t="s">
        <v>78</v>
      </c>
      <c r="C1408" s="11"/>
      <c r="D1408" s="13"/>
      <c r="E1408" s="11"/>
      <c r="F1408" t="e">
        <f t="array" ref="F1408">PROFEXHyperlinkAddress(B1408:B1408)</f>
        <v>#NAME?</v>
      </c>
    </row>
    <row r="1409" spans="1:6">
      <c r="A1409" s="11"/>
      <c r="B1409" s="12"/>
      <c r="C1409" s="11"/>
      <c r="D1409" s="13"/>
      <c r="E1409" s="11"/>
      <c r="F1409" t="e">
        <f t="array" ref="F1409">PROFEXHyperlinkAddress(B1409:B1409)</f>
        <v>#NAME?</v>
      </c>
    </row>
    <row r="1410" ht="25.5" spans="1:6">
      <c r="A1410" s="15"/>
      <c r="B1410" s="14" t="s">
        <v>5</v>
      </c>
      <c r="C1410" s="15"/>
      <c r="D1410" s="16"/>
      <c r="E1410" s="15"/>
      <c r="F1410" t="e">
        <f t="array" ref="F1410">PROFEXHyperlinkAddress(B1410:B1410)</f>
        <v>#NAME?</v>
      </c>
    </row>
    <row r="1411" ht="270" spans="1:6">
      <c r="A1411" s="17">
        <v>5083097</v>
      </c>
      <c r="B1411" s="18" t="s">
        <v>518</v>
      </c>
      <c r="C1411" s="17" t="s">
        <v>1</v>
      </c>
      <c r="D1411" s="19" t="s">
        <v>76</v>
      </c>
      <c r="E1411" s="17" t="s">
        <v>420</v>
      </c>
      <c r="F1411" t="e">
        <f t="array" ref="F1411">PROFEXHyperlinkAddress(B1411:B1411)</f>
        <v>#NAME?</v>
      </c>
    </row>
    <row r="1412" spans="1:6">
      <c r="A1412" s="11"/>
      <c r="B1412" s="12"/>
      <c r="C1412" s="11"/>
      <c r="D1412" s="13"/>
      <c r="E1412" s="11"/>
      <c r="F1412" t="e">
        <f t="array" ref="F1412">PROFEXHyperlinkAddress(B1412:B1412)</f>
        <v>#NAME?</v>
      </c>
    </row>
    <row r="1413" ht="49.5" spans="1:6">
      <c r="A1413" s="11"/>
      <c r="B1413" s="14" t="s">
        <v>78</v>
      </c>
      <c r="C1413" s="11"/>
      <c r="D1413" s="13"/>
      <c r="E1413" s="11"/>
      <c r="F1413" t="e">
        <f t="array" ref="F1413">PROFEXHyperlinkAddress(B1413:B1413)</f>
        <v>#NAME?</v>
      </c>
    </row>
    <row r="1414" spans="1:6">
      <c r="A1414" s="11"/>
      <c r="B1414" s="12"/>
      <c r="C1414" s="11"/>
      <c r="D1414" s="13"/>
      <c r="E1414" s="11"/>
      <c r="F1414" t="e">
        <f t="array" ref="F1414">PROFEXHyperlinkAddress(B1414:B1414)</f>
        <v>#NAME?</v>
      </c>
    </row>
    <row r="1415" ht="25.5" spans="1:6">
      <c r="A1415" s="15"/>
      <c r="B1415" s="14" t="s">
        <v>5</v>
      </c>
      <c r="C1415" s="15"/>
      <c r="D1415" s="16"/>
      <c r="E1415" s="15"/>
      <c r="F1415" t="e">
        <f t="array" ref="F1415">PROFEXHyperlinkAddress(B1415:B1415)</f>
        <v>#NAME?</v>
      </c>
    </row>
    <row r="1416" ht="255" spans="1:6">
      <c r="A1416" s="17">
        <v>5082097</v>
      </c>
      <c r="B1416" s="18" t="s">
        <v>519</v>
      </c>
      <c r="C1416" s="17" t="s">
        <v>1</v>
      </c>
      <c r="D1416" s="19" t="s">
        <v>76</v>
      </c>
      <c r="E1416" s="17" t="s">
        <v>418</v>
      </c>
      <c r="F1416" t="e">
        <f t="array" ref="F1416">PROFEXHyperlinkAddress(B1416:B1416)</f>
        <v>#NAME?</v>
      </c>
    </row>
    <row r="1417" spans="1:6">
      <c r="A1417" s="11"/>
      <c r="B1417" s="12"/>
      <c r="C1417" s="11"/>
      <c r="D1417" s="13"/>
      <c r="E1417" s="11"/>
      <c r="F1417" t="e">
        <f t="array" ref="F1417">PROFEXHyperlinkAddress(B1417:B1417)</f>
        <v>#NAME?</v>
      </c>
    </row>
    <row r="1418" ht="49.5" spans="1:6">
      <c r="A1418" s="11"/>
      <c r="B1418" s="14" t="s">
        <v>78</v>
      </c>
      <c r="C1418" s="11"/>
      <c r="D1418" s="13"/>
      <c r="E1418" s="11"/>
      <c r="F1418" t="e">
        <f t="array" ref="F1418">PROFEXHyperlinkAddress(B1418:B1418)</f>
        <v>#NAME?</v>
      </c>
    </row>
    <row r="1419" spans="1:6">
      <c r="A1419" s="11"/>
      <c r="B1419" s="12"/>
      <c r="C1419" s="11"/>
      <c r="D1419" s="13"/>
      <c r="E1419" s="11"/>
      <c r="F1419" t="e">
        <f t="array" ref="F1419">PROFEXHyperlinkAddress(B1419:B1419)</f>
        <v>#NAME?</v>
      </c>
    </row>
    <row r="1420" ht="25.5" spans="1:6">
      <c r="A1420" s="15"/>
      <c r="B1420" s="14" t="s">
        <v>5</v>
      </c>
      <c r="C1420" s="15"/>
      <c r="D1420" s="16"/>
      <c r="E1420" s="15"/>
      <c r="F1420" t="e">
        <f t="array" ref="F1420">PROFEXHyperlinkAddress(B1420:B1420)</f>
        <v>#NAME?</v>
      </c>
    </row>
    <row r="1421" ht="225" spans="1:6">
      <c r="A1421" s="17">
        <v>5081097</v>
      </c>
      <c r="B1421" s="18" t="s">
        <v>520</v>
      </c>
      <c r="C1421" s="17" t="s">
        <v>1</v>
      </c>
      <c r="D1421" s="19" t="s">
        <v>76</v>
      </c>
      <c r="E1421" s="17" t="s">
        <v>415</v>
      </c>
      <c r="F1421" t="e">
        <f t="array" ref="F1421">PROFEXHyperlinkAddress(B1421:B1421)</f>
        <v>#NAME?</v>
      </c>
    </row>
    <row r="1422" spans="1:6">
      <c r="A1422" s="11"/>
      <c r="B1422" s="12"/>
      <c r="C1422" s="11"/>
      <c r="D1422" s="13"/>
      <c r="E1422" s="11"/>
      <c r="F1422" t="e">
        <f t="array" ref="F1422">PROFEXHyperlinkAddress(B1422:B1422)</f>
        <v>#NAME?</v>
      </c>
    </row>
    <row r="1423" ht="49.5" spans="1:6">
      <c r="A1423" s="11"/>
      <c r="B1423" s="14" t="s">
        <v>78</v>
      </c>
      <c r="C1423" s="11"/>
      <c r="D1423" s="13"/>
      <c r="E1423" s="11"/>
      <c r="F1423" t="e">
        <f t="array" ref="F1423">PROFEXHyperlinkAddress(B1423:B1423)</f>
        <v>#NAME?</v>
      </c>
    </row>
    <row r="1424" spans="1:6">
      <c r="A1424" s="11"/>
      <c r="B1424" s="12"/>
      <c r="C1424" s="11"/>
      <c r="D1424" s="13"/>
      <c r="E1424" s="11"/>
      <c r="F1424" t="e">
        <f t="array" ref="F1424">PROFEXHyperlinkAddress(B1424:B1424)</f>
        <v>#NAME?</v>
      </c>
    </row>
    <row r="1425" ht="25.5" spans="1:6">
      <c r="A1425" s="15"/>
      <c r="B1425" s="14" t="s">
        <v>5</v>
      </c>
      <c r="C1425" s="15"/>
      <c r="D1425" s="16"/>
      <c r="E1425" s="15"/>
      <c r="F1425" t="e">
        <f t="array" ref="F1425">PROFEXHyperlinkAddress(B1425:B1425)</f>
        <v>#NAME?</v>
      </c>
    </row>
    <row r="1426" ht="225" spans="1:6">
      <c r="A1426" s="17">
        <v>5080097</v>
      </c>
      <c r="B1426" s="18" t="s">
        <v>521</v>
      </c>
      <c r="C1426" s="17" t="s">
        <v>1</v>
      </c>
      <c r="D1426" s="19" t="s">
        <v>76</v>
      </c>
      <c r="E1426" s="17" t="s">
        <v>415</v>
      </c>
      <c r="F1426" t="e">
        <f t="array" ref="F1426">PROFEXHyperlinkAddress(B1426:B1426)</f>
        <v>#NAME?</v>
      </c>
    </row>
    <row r="1427" spans="1:6">
      <c r="A1427" s="11"/>
      <c r="B1427" s="12"/>
      <c r="C1427" s="11"/>
      <c r="D1427" s="13"/>
      <c r="E1427" s="11"/>
      <c r="F1427" t="e">
        <f t="array" ref="F1427">PROFEXHyperlinkAddress(B1427:B1427)</f>
        <v>#NAME?</v>
      </c>
    </row>
    <row r="1428" ht="49.5" spans="1:6">
      <c r="A1428" s="11"/>
      <c r="B1428" s="14" t="s">
        <v>78</v>
      </c>
      <c r="C1428" s="11"/>
      <c r="D1428" s="13"/>
      <c r="E1428" s="11"/>
      <c r="F1428" t="e">
        <f t="array" ref="F1428">PROFEXHyperlinkAddress(B1428:B1428)</f>
        <v>#NAME?</v>
      </c>
    </row>
    <row r="1429" spans="1:6">
      <c r="A1429" s="11"/>
      <c r="B1429" s="12"/>
      <c r="C1429" s="11"/>
      <c r="D1429" s="13"/>
      <c r="E1429" s="11"/>
      <c r="F1429" t="e">
        <f t="array" ref="F1429">PROFEXHyperlinkAddress(B1429:B1429)</f>
        <v>#NAME?</v>
      </c>
    </row>
    <row r="1430" ht="25.5" spans="1:6">
      <c r="A1430" s="15"/>
      <c r="B1430" s="14" t="s">
        <v>5</v>
      </c>
      <c r="C1430" s="15"/>
      <c r="D1430" s="16"/>
      <c r="E1430" s="15"/>
      <c r="F1430" t="e">
        <f t="array" ref="F1430">PROFEXHyperlinkAddress(B1430:B1430)</f>
        <v>#NAME?</v>
      </c>
    </row>
    <row r="1431" ht="150" spans="1:6">
      <c r="A1431" s="17">
        <v>5077097</v>
      </c>
      <c r="B1431" s="18" t="s">
        <v>522</v>
      </c>
      <c r="C1431" s="17" t="s">
        <v>1</v>
      </c>
      <c r="D1431" s="19" t="s">
        <v>2</v>
      </c>
      <c r="E1431" s="17" t="s">
        <v>523</v>
      </c>
      <c r="F1431" t="e">
        <f t="array" ref="F1431">PROFEXHyperlinkAddress(B1431:B1431)</f>
        <v>#NAME?</v>
      </c>
    </row>
    <row r="1432" spans="1:6">
      <c r="A1432" s="11"/>
      <c r="B1432" s="12"/>
      <c r="C1432" s="11"/>
      <c r="D1432" s="13"/>
      <c r="E1432" s="11"/>
      <c r="F1432" t="e">
        <f t="array" ref="F1432">PROFEXHyperlinkAddress(B1432:B1432)</f>
        <v>#NAME?</v>
      </c>
    </row>
    <row r="1433" ht="57.75" spans="1:6">
      <c r="A1433" s="11"/>
      <c r="B1433" s="14" t="s">
        <v>21</v>
      </c>
      <c r="C1433" s="11"/>
      <c r="D1433" s="13"/>
      <c r="E1433" s="11"/>
      <c r="F1433" t="e">
        <f t="array" ref="F1433">PROFEXHyperlinkAddress(B1433:B1433)</f>
        <v>#NAME?</v>
      </c>
    </row>
    <row r="1434" spans="1:6">
      <c r="A1434" s="11"/>
      <c r="B1434" s="12"/>
      <c r="C1434" s="11"/>
      <c r="D1434" s="13"/>
      <c r="E1434" s="11"/>
      <c r="F1434" t="e">
        <f t="array" ref="F1434">PROFEXHyperlinkAddress(B1434:B1434)</f>
        <v>#NAME?</v>
      </c>
    </row>
    <row r="1435" ht="25.5" spans="1:6">
      <c r="A1435" s="15"/>
      <c r="B1435" s="14" t="s">
        <v>524</v>
      </c>
      <c r="C1435" s="15"/>
      <c r="D1435" s="16"/>
      <c r="E1435" s="15"/>
      <c r="F1435" t="e">
        <f t="array" ref="F1435">PROFEXHyperlinkAddress(B1435:B1435)</f>
        <v>#NAME?</v>
      </c>
    </row>
    <row r="1436" ht="90" spans="1:6">
      <c r="A1436" s="17">
        <v>5070097</v>
      </c>
      <c r="B1436" s="18" t="s">
        <v>525</v>
      </c>
      <c r="C1436" s="17" t="s">
        <v>1</v>
      </c>
      <c r="D1436" s="19" t="s">
        <v>7</v>
      </c>
      <c r="E1436" s="17" t="s">
        <v>145</v>
      </c>
      <c r="F1436" t="e">
        <f t="array" ref="F1436">PROFEXHyperlinkAddress(B1436:B1436)</f>
        <v>#NAME?</v>
      </c>
    </row>
    <row r="1437" spans="1:6">
      <c r="A1437" s="11"/>
      <c r="B1437" s="12"/>
      <c r="C1437" s="11"/>
      <c r="D1437" s="13"/>
      <c r="E1437" s="11"/>
      <c r="F1437" t="e">
        <f t="array" ref="F1437">PROFEXHyperlinkAddress(B1437:B1437)</f>
        <v>#NAME?</v>
      </c>
    </row>
    <row r="1438" ht="57.75" spans="1:6">
      <c r="A1438" s="11"/>
      <c r="B1438" s="14" t="s">
        <v>21</v>
      </c>
      <c r="C1438" s="11"/>
      <c r="D1438" s="13"/>
      <c r="E1438" s="11"/>
      <c r="F1438" t="e">
        <f t="array" ref="F1438">PROFEXHyperlinkAddress(B1438:B1438)</f>
        <v>#NAME?</v>
      </c>
    </row>
    <row r="1439" spans="1:6">
      <c r="A1439" s="11"/>
      <c r="B1439" s="12"/>
      <c r="C1439" s="11"/>
      <c r="D1439" s="13"/>
      <c r="E1439" s="11"/>
      <c r="F1439" t="e">
        <f t="array" ref="F1439">PROFEXHyperlinkAddress(B1439:B1439)</f>
        <v>#NAME?</v>
      </c>
    </row>
    <row r="1440" ht="25.5" spans="1:6">
      <c r="A1440" s="15"/>
      <c r="B1440" s="14" t="s">
        <v>5</v>
      </c>
      <c r="C1440" s="15"/>
      <c r="D1440" s="16"/>
      <c r="E1440" s="15"/>
      <c r="F1440" t="e">
        <f t="array" ref="F1440">PROFEXHyperlinkAddress(B1440:B1440)</f>
        <v>#NAME?</v>
      </c>
    </row>
    <row r="1441" ht="165" spans="1:6">
      <c r="A1441" s="17">
        <v>5069097</v>
      </c>
      <c r="B1441" s="18" t="s">
        <v>526</v>
      </c>
      <c r="C1441" s="17" t="s">
        <v>1</v>
      </c>
      <c r="D1441" s="19" t="s">
        <v>2</v>
      </c>
      <c r="E1441" s="17" t="s">
        <v>470</v>
      </c>
      <c r="F1441" t="e">
        <f t="array" ref="F1441">PROFEXHyperlinkAddress(B1441:B1441)</f>
        <v>#NAME?</v>
      </c>
    </row>
    <row r="1442" spans="1:6">
      <c r="A1442" s="11"/>
      <c r="B1442" s="12"/>
      <c r="C1442" s="11"/>
      <c r="D1442" s="13"/>
      <c r="E1442" s="11"/>
      <c r="F1442" t="e">
        <f t="array" ref="F1442">PROFEXHyperlinkAddress(B1442:B1442)</f>
        <v>#NAME?</v>
      </c>
    </row>
    <row r="1443" ht="49.5" spans="1:6">
      <c r="A1443" s="11"/>
      <c r="B1443" s="14" t="s">
        <v>78</v>
      </c>
      <c r="C1443" s="11"/>
      <c r="D1443" s="13"/>
      <c r="E1443" s="11"/>
      <c r="F1443" t="e">
        <f t="array" ref="F1443">PROFEXHyperlinkAddress(B1443:B1443)</f>
        <v>#NAME?</v>
      </c>
    </row>
    <row r="1444" spans="1:6">
      <c r="A1444" s="11"/>
      <c r="B1444" s="12"/>
      <c r="C1444" s="11"/>
      <c r="D1444" s="13"/>
      <c r="E1444" s="11"/>
      <c r="F1444" t="e">
        <f t="array" ref="F1444">PROFEXHyperlinkAddress(B1444:B1444)</f>
        <v>#NAME?</v>
      </c>
    </row>
    <row r="1445" ht="25.5" spans="1:6">
      <c r="A1445" s="15"/>
      <c r="B1445" s="14" t="s">
        <v>5</v>
      </c>
      <c r="C1445" s="15"/>
      <c r="D1445" s="16"/>
      <c r="E1445" s="15"/>
      <c r="F1445" t="e">
        <f t="array" ref="F1445">PROFEXHyperlinkAddress(B1445:B1445)</f>
        <v>#NAME?</v>
      </c>
    </row>
    <row r="1446" ht="195" spans="1:6">
      <c r="A1446" s="17">
        <v>5068097</v>
      </c>
      <c r="B1446" s="18" t="s">
        <v>527</v>
      </c>
      <c r="C1446" s="17" t="s">
        <v>1</v>
      </c>
      <c r="D1446" s="19" t="s">
        <v>7</v>
      </c>
      <c r="E1446" s="17" t="s">
        <v>400</v>
      </c>
      <c r="F1446" t="e">
        <f t="array" ref="F1446">PROFEXHyperlinkAddress(B1446:B1446)</f>
        <v>#NAME?</v>
      </c>
    </row>
    <row r="1447" spans="1:6">
      <c r="A1447" s="11"/>
      <c r="B1447" s="12"/>
      <c r="C1447" s="11"/>
      <c r="D1447" s="13"/>
      <c r="E1447" s="11"/>
      <c r="F1447" t="e">
        <f t="array" ref="F1447">PROFEXHyperlinkAddress(B1447:B1447)</f>
        <v>#NAME?</v>
      </c>
    </row>
    <row r="1448" ht="57.75" spans="1:6">
      <c r="A1448" s="11"/>
      <c r="B1448" s="14" t="s">
        <v>21</v>
      </c>
      <c r="C1448" s="11"/>
      <c r="D1448" s="13"/>
      <c r="E1448" s="11"/>
      <c r="F1448" t="e">
        <f t="array" ref="F1448">PROFEXHyperlinkAddress(B1448:B1448)</f>
        <v>#NAME?</v>
      </c>
    </row>
    <row r="1449" spans="1:6">
      <c r="A1449" s="11"/>
      <c r="B1449" s="12"/>
      <c r="C1449" s="11"/>
      <c r="D1449" s="13"/>
      <c r="E1449" s="11"/>
      <c r="F1449" t="e">
        <f t="array" ref="F1449">PROFEXHyperlinkAddress(B1449:B1449)</f>
        <v>#NAME?</v>
      </c>
    </row>
    <row r="1450" ht="25.5" spans="1:6">
      <c r="A1450" s="15"/>
      <c r="B1450" s="14" t="s">
        <v>5</v>
      </c>
      <c r="C1450" s="15"/>
      <c r="D1450" s="16"/>
      <c r="E1450" s="15"/>
      <c r="F1450" t="e">
        <f t="array" ref="F1450">PROFEXHyperlinkAddress(B1450:B1450)</f>
        <v>#NAME?</v>
      </c>
    </row>
    <row r="1451" ht="210" spans="1:6">
      <c r="A1451" s="17">
        <v>5065097</v>
      </c>
      <c r="B1451" s="18" t="s">
        <v>528</v>
      </c>
      <c r="C1451" s="17" t="s">
        <v>1</v>
      </c>
      <c r="D1451" s="19" t="s">
        <v>7</v>
      </c>
      <c r="E1451" s="17" t="s">
        <v>408</v>
      </c>
      <c r="F1451" t="e">
        <f t="array" ref="F1451">PROFEXHyperlinkAddress(B1451:B1451)</f>
        <v>#NAME?</v>
      </c>
    </row>
    <row r="1452" spans="1:6">
      <c r="A1452" s="11"/>
      <c r="B1452" s="12"/>
      <c r="C1452" s="11"/>
      <c r="D1452" s="13"/>
      <c r="E1452" s="11"/>
      <c r="F1452" t="e">
        <f t="array" ref="F1452">PROFEXHyperlinkAddress(B1452:B1452)</f>
        <v>#NAME?</v>
      </c>
    </row>
    <row r="1453" ht="57.75" spans="1:6">
      <c r="A1453" s="11"/>
      <c r="B1453" s="14" t="s">
        <v>409</v>
      </c>
      <c r="C1453" s="11"/>
      <c r="D1453" s="13"/>
      <c r="E1453" s="11"/>
      <c r="F1453" t="e">
        <f t="array" ref="F1453">PROFEXHyperlinkAddress(B1453:B1453)</f>
        <v>#NAME?</v>
      </c>
    </row>
    <row r="1454" spans="1:6">
      <c r="A1454" s="11"/>
      <c r="B1454" s="12"/>
      <c r="C1454" s="11"/>
      <c r="D1454" s="13"/>
      <c r="E1454" s="11"/>
      <c r="F1454" t="e">
        <f t="array" ref="F1454">PROFEXHyperlinkAddress(B1454:B1454)</f>
        <v>#NAME?</v>
      </c>
    </row>
    <row r="1455" ht="25.5" spans="1:6">
      <c r="A1455" s="15"/>
      <c r="B1455" s="14" t="s">
        <v>5</v>
      </c>
      <c r="C1455" s="15"/>
      <c r="D1455" s="16"/>
      <c r="E1455" s="15"/>
      <c r="F1455" t="e">
        <f t="array" ref="F1455">PROFEXHyperlinkAddress(B1455:B1455)</f>
        <v>#NAME?</v>
      </c>
    </row>
    <row r="1456" ht="180" spans="1:6">
      <c r="A1456" s="17">
        <v>5064097</v>
      </c>
      <c r="B1456" s="18" t="s">
        <v>529</v>
      </c>
      <c r="C1456" s="17" t="s">
        <v>1</v>
      </c>
      <c r="D1456" s="19" t="s">
        <v>2</v>
      </c>
      <c r="E1456" s="17" t="s">
        <v>530</v>
      </c>
      <c r="F1456" t="e">
        <f t="array" ref="F1456">PROFEXHyperlinkAddress(B1456:B1456)</f>
        <v>#NAME?</v>
      </c>
    </row>
    <row r="1457" spans="1:6">
      <c r="A1457" s="11"/>
      <c r="B1457" s="12"/>
      <c r="C1457" s="11"/>
      <c r="D1457" s="13"/>
      <c r="E1457" s="11"/>
      <c r="F1457" t="e">
        <f t="array" ref="F1457">PROFEXHyperlinkAddress(B1457:B1457)</f>
        <v>#NAME?</v>
      </c>
    </row>
    <row r="1458" ht="57.75" spans="1:6">
      <c r="A1458" s="11"/>
      <c r="B1458" s="14" t="s">
        <v>21</v>
      </c>
      <c r="C1458" s="11"/>
      <c r="D1458" s="13"/>
      <c r="E1458" s="11"/>
      <c r="F1458" t="e">
        <f t="array" ref="F1458">PROFEXHyperlinkAddress(B1458:B1458)</f>
        <v>#NAME?</v>
      </c>
    </row>
    <row r="1459" spans="1:6">
      <c r="A1459" s="11"/>
      <c r="B1459" s="12"/>
      <c r="C1459" s="11"/>
      <c r="D1459" s="13"/>
      <c r="E1459" s="11"/>
      <c r="F1459" t="e">
        <f t="array" ref="F1459">PROFEXHyperlinkAddress(B1459:B1459)</f>
        <v>#NAME?</v>
      </c>
    </row>
    <row r="1460" ht="25.5" spans="1:6">
      <c r="A1460" s="15"/>
      <c r="B1460" s="14" t="s">
        <v>531</v>
      </c>
      <c r="C1460" s="15"/>
      <c r="D1460" s="16"/>
      <c r="E1460" s="15"/>
      <c r="F1460" t="e">
        <f t="array" ref="F1460">PROFEXHyperlinkAddress(B1460:B1460)</f>
        <v>#NAME?</v>
      </c>
    </row>
    <row r="1461" ht="120" spans="1:6">
      <c r="A1461" s="17">
        <v>5063097</v>
      </c>
      <c r="B1461" s="18" t="s">
        <v>532</v>
      </c>
      <c r="C1461" s="17" t="s">
        <v>1</v>
      </c>
      <c r="D1461" s="19" t="s">
        <v>2</v>
      </c>
      <c r="E1461" s="17" t="s">
        <v>400</v>
      </c>
      <c r="F1461" t="e">
        <f t="array" ref="F1461">PROFEXHyperlinkAddress(B1461:B1461)</f>
        <v>#NAME?</v>
      </c>
    </row>
    <row r="1462" spans="1:6">
      <c r="A1462" s="11"/>
      <c r="B1462" s="12"/>
      <c r="C1462" s="11"/>
      <c r="D1462" s="13"/>
      <c r="E1462" s="11"/>
      <c r="F1462" t="e">
        <f t="array" ref="F1462">PROFEXHyperlinkAddress(B1462:B1462)</f>
        <v>#NAME?</v>
      </c>
    </row>
    <row r="1463" ht="57.75" spans="1:6">
      <c r="A1463" s="11"/>
      <c r="B1463" s="14" t="s">
        <v>21</v>
      </c>
      <c r="C1463" s="11"/>
      <c r="D1463" s="13"/>
      <c r="E1463" s="11"/>
      <c r="F1463" t="e">
        <f t="array" ref="F1463">PROFEXHyperlinkAddress(B1463:B1463)</f>
        <v>#NAME?</v>
      </c>
    </row>
    <row r="1464" spans="1:6">
      <c r="A1464" s="11"/>
      <c r="B1464" s="12"/>
      <c r="C1464" s="11"/>
      <c r="D1464" s="13"/>
      <c r="E1464" s="11"/>
      <c r="F1464" t="e">
        <f t="array" ref="F1464">PROFEXHyperlinkAddress(B1464:B1464)</f>
        <v>#NAME?</v>
      </c>
    </row>
    <row r="1465" ht="25.5" spans="1:6">
      <c r="A1465" s="15"/>
      <c r="B1465" s="14" t="s">
        <v>5</v>
      </c>
      <c r="C1465" s="15"/>
      <c r="D1465" s="16"/>
      <c r="E1465" s="15"/>
      <c r="F1465" t="e">
        <f t="array" ref="F1465">PROFEXHyperlinkAddress(B1465:B1465)</f>
        <v>#NAME?</v>
      </c>
    </row>
    <row r="1466" ht="135" spans="1:6">
      <c r="A1466" s="17">
        <v>5062097</v>
      </c>
      <c r="B1466" s="18" t="s">
        <v>533</v>
      </c>
      <c r="C1466" s="17" t="s">
        <v>1</v>
      </c>
      <c r="D1466" s="19" t="s">
        <v>7</v>
      </c>
      <c r="E1466" s="17" t="s">
        <v>498</v>
      </c>
      <c r="F1466" t="e">
        <f t="array" ref="F1466">PROFEXHyperlinkAddress(B1466:B1466)</f>
        <v>#NAME?</v>
      </c>
    </row>
    <row r="1467" spans="1:6">
      <c r="A1467" s="11"/>
      <c r="B1467" s="12"/>
      <c r="C1467" s="11"/>
      <c r="D1467" s="13"/>
      <c r="E1467" s="11"/>
      <c r="F1467" t="e">
        <f t="array" ref="F1467">PROFEXHyperlinkAddress(B1467:B1467)</f>
        <v>#NAME?</v>
      </c>
    </row>
    <row r="1468" ht="57.75" spans="1:6">
      <c r="A1468" s="11"/>
      <c r="B1468" s="14" t="s">
        <v>16</v>
      </c>
      <c r="C1468" s="11"/>
      <c r="D1468" s="13"/>
      <c r="E1468" s="11"/>
      <c r="F1468" t="e">
        <f t="array" ref="F1468">PROFEXHyperlinkAddress(B1468:B1468)</f>
        <v>#NAME?</v>
      </c>
    </row>
    <row r="1469" spans="1:6">
      <c r="A1469" s="11"/>
      <c r="B1469" s="12"/>
      <c r="C1469" s="11"/>
      <c r="D1469" s="13"/>
      <c r="E1469" s="11"/>
      <c r="F1469" t="e">
        <f t="array" ref="F1469">PROFEXHyperlinkAddress(B1469:B1469)</f>
        <v>#NAME?</v>
      </c>
    </row>
    <row r="1470" ht="25.5" spans="1:6">
      <c r="A1470" s="15"/>
      <c r="B1470" s="14" t="s">
        <v>5</v>
      </c>
      <c r="C1470" s="15"/>
      <c r="D1470" s="16"/>
      <c r="E1470" s="15"/>
      <c r="F1470" t="e">
        <f t="array" ref="F1470">PROFEXHyperlinkAddress(B1470:B1470)</f>
        <v>#NAME?</v>
      </c>
    </row>
    <row r="1471" ht="165" spans="1:6">
      <c r="A1471" s="17">
        <v>5060097</v>
      </c>
      <c r="B1471" s="18" t="s">
        <v>534</v>
      </c>
      <c r="C1471" s="17" t="s">
        <v>1</v>
      </c>
      <c r="D1471" s="19" t="s">
        <v>2</v>
      </c>
      <c r="E1471" s="17" t="s">
        <v>535</v>
      </c>
      <c r="F1471" t="e">
        <f t="array" ref="F1471">PROFEXHyperlinkAddress(B1471:B1471)</f>
        <v>#NAME?</v>
      </c>
    </row>
    <row r="1472" spans="1:6">
      <c r="A1472" s="11"/>
      <c r="B1472" s="12"/>
      <c r="C1472" s="11"/>
      <c r="D1472" s="13"/>
      <c r="E1472" s="11"/>
      <c r="F1472" t="e">
        <f t="array" ref="F1472">PROFEXHyperlinkAddress(B1472:B1472)</f>
        <v>#NAME?</v>
      </c>
    </row>
    <row r="1473" ht="49.5" spans="1:6">
      <c r="A1473" s="11"/>
      <c r="B1473" s="14" t="s">
        <v>78</v>
      </c>
      <c r="C1473" s="11"/>
      <c r="D1473" s="13"/>
      <c r="E1473" s="11"/>
      <c r="F1473" t="e">
        <f t="array" ref="F1473">PROFEXHyperlinkAddress(B1473:B1473)</f>
        <v>#NAME?</v>
      </c>
    </row>
    <row r="1474" spans="1:6">
      <c r="A1474" s="11"/>
      <c r="B1474" s="12"/>
      <c r="C1474" s="11"/>
      <c r="D1474" s="13"/>
      <c r="E1474" s="11"/>
      <c r="F1474" t="e">
        <f t="array" ref="F1474">PROFEXHyperlinkAddress(B1474:B1474)</f>
        <v>#NAME?</v>
      </c>
    </row>
    <row r="1475" ht="25.5" spans="1:6">
      <c r="A1475" s="15"/>
      <c r="B1475" s="14" t="s">
        <v>5</v>
      </c>
      <c r="C1475" s="15"/>
      <c r="D1475" s="16"/>
      <c r="E1475" s="15"/>
      <c r="F1475" t="e">
        <f t="array" ref="F1475">PROFEXHyperlinkAddress(B1475:B1475)</f>
        <v>#NAME?</v>
      </c>
    </row>
    <row r="1476" ht="180" spans="1:6">
      <c r="A1476" s="17">
        <v>5059097</v>
      </c>
      <c r="B1476" s="18" t="s">
        <v>536</v>
      </c>
      <c r="C1476" s="17" t="s">
        <v>1</v>
      </c>
      <c r="D1476" s="19" t="s">
        <v>2</v>
      </c>
      <c r="E1476" s="17" t="s">
        <v>537</v>
      </c>
      <c r="F1476" t="e">
        <f t="array" ref="F1476">PROFEXHyperlinkAddress(B1476:B1476)</f>
        <v>#NAME?</v>
      </c>
    </row>
    <row r="1477" spans="1:6">
      <c r="A1477" s="11"/>
      <c r="B1477" s="12"/>
      <c r="C1477" s="11"/>
      <c r="D1477" s="13"/>
      <c r="E1477" s="11"/>
      <c r="F1477" t="e">
        <f t="array" ref="F1477">PROFEXHyperlinkAddress(B1477:B1477)</f>
        <v>#NAME?</v>
      </c>
    </row>
    <row r="1478" ht="49.5" spans="1:6">
      <c r="A1478" s="11"/>
      <c r="B1478" s="14" t="s">
        <v>78</v>
      </c>
      <c r="C1478" s="11"/>
      <c r="D1478" s="13"/>
      <c r="E1478" s="11"/>
      <c r="F1478" t="e">
        <f t="array" ref="F1478">PROFEXHyperlinkAddress(B1478:B1478)</f>
        <v>#NAME?</v>
      </c>
    </row>
    <row r="1479" spans="1:6">
      <c r="A1479" s="11"/>
      <c r="B1479" s="12"/>
      <c r="C1479" s="11"/>
      <c r="D1479" s="13"/>
      <c r="E1479" s="11"/>
      <c r="F1479" t="e">
        <f t="array" ref="F1479">PROFEXHyperlinkAddress(B1479:B1479)</f>
        <v>#NAME?</v>
      </c>
    </row>
    <row r="1480" ht="25.5" spans="1:6">
      <c r="A1480" s="15"/>
      <c r="B1480" s="14" t="s">
        <v>5</v>
      </c>
      <c r="C1480" s="15"/>
      <c r="D1480" s="16"/>
      <c r="E1480" s="15"/>
      <c r="F1480" t="e">
        <f t="array" ref="F1480">PROFEXHyperlinkAddress(B1480:B1480)</f>
        <v>#NAME?</v>
      </c>
    </row>
    <row r="1481" ht="165" spans="1:6">
      <c r="A1481" s="17">
        <v>5058097</v>
      </c>
      <c r="B1481" s="18" t="s">
        <v>538</v>
      </c>
      <c r="C1481" s="17" t="s">
        <v>1</v>
      </c>
      <c r="D1481" s="19" t="s">
        <v>2</v>
      </c>
      <c r="E1481" s="17" t="s">
        <v>539</v>
      </c>
      <c r="F1481" t="e">
        <f t="array" ref="F1481">PROFEXHyperlinkAddress(B1481:B1481)</f>
        <v>#NAME?</v>
      </c>
    </row>
    <row r="1482" spans="1:6">
      <c r="A1482" s="11"/>
      <c r="B1482" s="12"/>
      <c r="C1482" s="11"/>
      <c r="D1482" s="13"/>
      <c r="E1482" s="11"/>
      <c r="F1482" t="e">
        <f t="array" ref="F1482">PROFEXHyperlinkAddress(B1482:B1482)</f>
        <v>#NAME?</v>
      </c>
    </row>
    <row r="1483" ht="57.75" spans="1:6">
      <c r="A1483" s="11"/>
      <c r="B1483" s="14" t="s">
        <v>16</v>
      </c>
      <c r="C1483" s="11"/>
      <c r="D1483" s="13"/>
      <c r="E1483" s="11"/>
      <c r="F1483" t="e">
        <f t="array" ref="F1483">PROFEXHyperlinkAddress(B1483:B1483)</f>
        <v>#NAME?</v>
      </c>
    </row>
    <row r="1484" spans="1:6">
      <c r="A1484" s="11"/>
      <c r="B1484" s="12"/>
      <c r="C1484" s="11"/>
      <c r="D1484" s="13"/>
      <c r="E1484" s="11"/>
      <c r="F1484" t="e">
        <f t="array" ref="F1484">PROFEXHyperlinkAddress(B1484:B1484)</f>
        <v>#NAME?</v>
      </c>
    </row>
    <row r="1485" ht="25.5" spans="1:6">
      <c r="A1485" s="15"/>
      <c r="B1485" s="14" t="s">
        <v>540</v>
      </c>
      <c r="C1485" s="15"/>
      <c r="D1485" s="16"/>
      <c r="E1485" s="15"/>
      <c r="F1485" t="e">
        <f t="array" ref="F1485">PROFEXHyperlinkAddress(B1485:B1485)</f>
        <v>#NAME?</v>
      </c>
    </row>
    <row r="1486" ht="150" spans="1:6">
      <c r="A1486" s="17">
        <v>5057097</v>
      </c>
      <c r="B1486" s="18" t="s">
        <v>541</v>
      </c>
      <c r="C1486" s="17" t="s">
        <v>1</v>
      </c>
      <c r="D1486" s="19" t="s">
        <v>7</v>
      </c>
      <c r="E1486" s="17" t="s">
        <v>412</v>
      </c>
      <c r="F1486" t="e">
        <f t="array" ref="F1486">PROFEXHyperlinkAddress(B1486:B1486)</f>
        <v>#NAME?</v>
      </c>
    </row>
    <row r="1487" spans="1:6">
      <c r="A1487" s="11"/>
      <c r="B1487" s="12"/>
      <c r="C1487" s="11"/>
      <c r="D1487" s="13"/>
      <c r="E1487" s="11"/>
      <c r="F1487" t="e">
        <f t="array" ref="F1487">PROFEXHyperlinkAddress(B1487:B1487)</f>
        <v>#NAME?</v>
      </c>
    </row>
    <row r="1488" ht="57.75" spans="1:6">
      <c r="A1488" s="11"/>
      <c r="B1488" s="14" t="s">
        <v>21</v>
      </c>
      <c r="C1488" s="11"/>
      <c r="D1488" s="13"/>
      <c r="E1488" s="11"/>
      <c r="F1488" t="e">
        <f t="array" ref="F1488">PROFEXHyperlinkAddress(B1488:B1488)</f>
        <v>#NAME?</v>
      </c>
    </row>
    <row r="1489" spans="1:6">
      <c r="A1489" s="11"/>
      <c r="B1489" s="12"/>
      <c r="C1489" s="11"/>
      <c r="D1489" s="13"/>
      <c r="E1489" s="11"/>
      <c r="F1489" t="e">
        <f t="array" ref="F1489">PROFEXHyperlinkAddress(B1489:B1489)</f>
        <v>#NAME?</v>
      </c>
    </row>
    <row r="1490" ht="25.5" spans="1:6">
      <c r="A1490" s="15"/>
      <c r="B1490" s="14" t="s">
        <v>5</v>
      </c>
      <c r="C1490" s="15"/>
      <c r="D1490" s="16"/>
      <c r="E1490" s="15"/>
      <c r="F1490" t="e">
        <f t="array" ref="F1490">PROFEXHyperlinkAddress(B1490:B1490)</f>
        <v>#NAME?</v>
      </c>
    </row>
    <row r="1491" ht="210" spans="1:6">
      <c r="A1491" s="17">
        <v>5056097</v>
      </c>
      <c r="B1491" s="18" t="s">
        <v>542</v>
      </c>
      <c r="C1491" s="17" t="s">
        <v>1</v>
      </c>
      <c r="D1491" s="19" t="s">
        <v>2</v>
      </c>
      <c r="E1491" s="17" t="s">
        <v>543</v>
      </c>
      <c r="F1491" t="e">
        <f t="array" ref="F1491">PROFEXHyperlinkAddress(B1491:B1491)</f>
        <v>#NAME?</v>
      </c>
    </row>
    <row r="1492" spans="1:6">
      <c r="A1492" s="11"/>
      <c r="B1492" s="12"/>
      <c r="C1492" s="11"/>
      <c r="D1492" s="13"/>
      <c r="E1492" s="11"/>
      <c r="F1492" t="e">
        <f t="array" ref="F1492">PROFEXHyperlinkAddress(B1492:B1492)</f>
        <v>#NAME?</v>
      </c>
    </row>
    <row r="1493" ht="49.5" spans="1:6">
      <c r="A1493" s="11"/>
      <c r="B1493" s="14" t="s">
        <v>78</v>
      </c>
      <c r="C1493" s="11"/>
      <c r="D1493" s="13"/>
      <c r="E1493" s="11"/>
      <c r="F1493" t="e">
        <f t="array" ref="F1493">PROFEXHyperlinkAddress(B1493:B1493)</f>
        <v>#NAME?</v>
      </c>
    </row>
    <row r="1494" spans="1:6">
      <c r="A1494" s="11"/>
      <c r="B1494" s="12"/>
      <c r="C1494" s="11"/>
      <c r="D1494" s="13"/>
      <c r="E1494" s="11"/>
      <c r="F1494" t="e">
        <f t="array" ref="F1494">PROFEXHyperlinkAddress(B1494:B1494)</f>
        <v>#NAME?</v>
      </c>
    </row>
    <row r="1495" ht="25.5" spans="1:6">
      <c r="A1495" s="15"/>
      <c r="B1495" s="14" t="s">
        <v>5</v>
      </c>
      <c r="C1495" s="15"/>
      <c r="D1495" s="16"/>
      <c r="E1495" s="15"/>
      <c r="F1495" t="e">
        <f t="array" ref="F1495">PROFEXHyperlinkAddress(B1495:B1495)</f>
        <v>#NAME?</v>
      </c>
    </row>
    <row r="1496" ht="210" spans="1:6">
      <c r="A1496" s="17">
        <v>5055097</v>
      </c>
      <c r="B1496" s="18" t="s">
        <v>544</v>
      </c>
      <c r="C1496" s="17" t="s">
        <v>1</v>
      </c>
      <c r="D1496" s="19" t="s">
        <v>2</v>
      </c>
      <c r="E1496" s="17" t="s">
        <v>543</v>
      </c>
      <c r="F1496" t="e">
        <f t="array" ref="F1496">PROFEXHyperlinkAddress(B1496:B1496)</f>
        <v>#NAME?</v>
      </c>
    </row>
    <row r="1497" spans="1:6">
      <c r="A1497" s="11"/>
      <c r="B1497" s="12"/>
      <c r="C1497" s="11"/>
      <c r="D1497" s="13"/>
      <c r="E1497" s="11"/>
      <c r="F1497" t="e">
        <f t="array" ref="F1497">PROFEXHyperlinkAddress(B1497:B1497)</f>
        <v>#NAME?</v>
      </c>
    </row>
    <row r="1498" ht="49.5" spans="1:6">
      <c r="A1498" s="11"/>
      <c r="B1498" s="14" t="s">
        <v>78</v>
      </c>
      <c r="C1498" s="11"/>
      <c r="D1498" s="13"/>
      <c r="E1498" s="11"/>
      <c r="F1498" t="e">
        <f t="array" ref="F1498">PROFEXHyperlinkAddress(B1498:B1498)</f>
        <v>#NAME?</v>
      </c>
    </row>
    <row r="1499" spans="1:6">
      <c r="A1499" s="11"/>
      <c r="B1499" s="12"/>
      <c r="C1499" s="11"/>
      <c r="D1499" s="13"/>
      <c r="E1499" s="11"/>
      <c r="F1499" t="e">
        <f t="array" ref="F1499">PROFEXHyperlinkAddress(B1499:B1499)</f>
        <v>#NAME?</v>
      </c>
    </row>
    <row r="1500" ht="25.5" spans="1:6">
      <c r="A1500" s="15"/>
      <c r="B1500" s="14" t="s">
        <v>5</v>
      </c>
      <c r="C1500" s="15"/>
      <c r="D1500" s="16"/>
      <c r="E1500" s="15"/>
      <c r="F1500" t="e">
        <f t="array" ref="F1500">PROFEXHyperlinkAddress(B1500:B1500)</f>
        <v>#NAME?</v>
      </c>
    </row>
    <row r="1501" ht="180" spans="1:6">
      <c r="A1501" s="17">
        <v>5049097</v>
      </c>
      <c r="B1501" s="18" t="s">
        <v>545</v>
      </c>
      <c r="C1501" s="17" t="s">
        <v>1</v>
      </c>
      <c r="D1501" s="19" t="s">
        <v>2</v>
      </c>
      <c r="E1501" s="17" t="s">
        <v>546</v>
      </c>
      <c r="F1501" t="e">
        <f t="array" ref="F1501">PROFEXHyperlinkAddress(B1501:B1501)</f>
        <v>#NAME?</v>
      </c>
    </row>
    <row r="1502" spans="1:6">
      <c r="A1502" s="11"/>
      <c r="B1502" s="12"/>
      <c r="C1502" s="11"/>
      <c r="D1502" s="13"/>
      <c r="E1502" s="11"/>
      <c r="F1502" t="e">
        <f t="array" ref="F1502">PROFEXHyperlinkAddress(B1502:B1502)</f>
        <v>#NAME?</v>
      </c>
    </row>
    <row r="1503" ht="49.5" spans="1:6">
      <c r="A1503" s="11"/>
      <c r="B1503" s="14" t="s">
        <v>188</v>
      </c>
      <c r="C1503" s="11"/>
      <c r="D1503" s="13"/>
      <c r="E1503" s="11"/>
      <c r="F1503" t="e">
        <f t="array" ref="F1503">PROFEXHyperlinkAddress(B1503:B1503)</f>
        <v>#NAME?</v>
      </c>
    </row>
    <row r="1504" spans="1:6">
      <c r="A1504" s="11"/>
      <c r="B1504" s="12"/>
      <c r="C1504" s="11"/>
      <c r="D1504" s="13"/>
      <c r="E1504" s="11"/>
      <c r="F1504" t="e">
        <f t="array" ref="F1504">PROFEXHyperlinkAddress(B1504:B1504)</f>
        <v>#NAME?</v>
      </c>
    </row>
    <row r="1505" ht="25.5" spans="1:6">
      <c r="A1505" s="15"/>
      <c r="B1505" s="14" t="s">
        <v>5</v>
      </c>
      <c r="C1505" s="15"/>
      <c r="D1505" s="16"/>
      <c r="E1505" s="15"/>
      <c r="F1505" t="e">
        <f t="array" ref="F1505">PROFEXHyperlinkAddress(B1505:B1505)</f>
        <v>#NAME?</v>
      </c>
    </row>
    <row r="1506" ht="270" spans="1:6">
      <c r="A1506" s="17">
        <v>5043097</v>
      </c>
      <c r="B1506" s="18" t="s">
        <v>547</v>
      </c>
      <c r="C1506" s="17" t="s">
        <v>1</v>
      </c>
      <c r="D1506" s="19" t="s">
        <v>2</v>
      </c>
      <c r="E1506" s="17" t="s">
        <v>548</v>
      </c>
      <c r="F1506" t="e">
        <f t="array" ref="F1506">PROFEXHyperlinkAddress(B1506:B1506)</f>
        <v>#NAME?</v>
      </c>
    </row>
    <row r="1507" spans="1:6">
      <c r="A1507" s="11"/>
      <c r="B1507" s="12"/>
      <c r="C1507" s="11"/>
      <c r="D1507" s="13"/>
      <c r="E1507" s="11"/>
      <c r="F1507" t="e">
        <f t="array" ref="F1507">PROFEXHyperlinkAddress(B1507:B1507)</f>
        <v>#NAME?</v>
      </c>
    </row>
    <row r="1508" ht="49.5" spans="1:6">
      <c r="A1508" s="11"/>
      <c r="B1508" s="14" t="s">
        <v>78</v>
      </c>
      <c r="C1508" s="11"/>
      <c r="D1508" s="13"/>
      <c r="E1508" s="11"/>
      <c r="F1508" t="e">
        <f t="array" ref="F1508">PROFEXHyperlinkAddress(B1508:B1508)</f>
        <v>#NAME?</v>
      </c>
    </row>
    <row r="1509" spans="1:6">
      <c r="A1509" s="11"/>
      <c r="B1509" s="12"/>
      <c r="C1509" s="11"/>
      <c r="D1509" s="13"/>
      <c r="E1509" s="11"/>
      <c r="F1509" t="e">
        <f t="array" ref="F1509">PROFEXHyperlinkAddress(B1509:B1509)</f>
        <v>#NAME?</v>
      </c>
    </row>
    <row r="1510" ht="25.5" spans="1:6">
      <c r="A1510" s="15"/>
      <c r="B1510" s="14" t="s">
        <v>5</v>
      </c>
      <c r="C1510" s="15"/>
      <c r="D1510" s="16"/>
      <c r="E1510" s="15"/>
      <c r="F1510" t="e">
        <f t="array" ref="F1510">PROFEXHyperlinkAddress(B1510:B1510)</f>
        <v>#NAME?</v>
      </c>
    </row>
    <row r="1511" ht="165" spans="1:6">
      <c r="A1511" s="17">
        <v>5042097</v>
      </c>
      <c r="B1511" s="18" t="s">
        <v>549</v>
      </c>
      <c r="C1511" s="17" t="s">
        <v>1</v>
      </c>
      <c r="D1511" s="19" t="s">
        <v>2</v>
      </c>
      <c r="E1511" s="17" t="s">
        <v>550</v>
      </c>
      <c r="F1511" t="e">
        <f t="array" ref="F1511">PROFEXHyperlinkAddress(B1511:B1511)</f>
        <v>#NAME?</v>
      </c>
    </row>
    <row r="1512" spans="1:6">
      <c r="A1512" s="11"/>
      <c r="B1512" s="12"/>
      <c r="C1512" s="11"/>
      <c r="D1512" s="13"/>
      <c r="E1512" s="11"/>
      <c r="F1512" t="e">
        <f t="array" ref="F1512">PROFEXHyperlinkAddress(B1512:B1512)</f>
        <v>#NAME?</v>
      </c>
    </row>
    <row r="1513" ht="49.5" spans="1:6">
      <c r="A1513" s="11"/>
      <c r="B1513" s="14" t="s">
        <v>78</v>
      </c>
      <c r="C1513" s="11"/>
      <c r="D1513" s="13"/>
      <c r="E1513" s="11"/>
      <c r="F1513" t="e">
        <f t="array" ref="F1513">PROFEXHyperlinkAddress(B1513:B1513)</f>
        <v>#NAME?</v>
      </c>
    </row>
    <row r="1514" spans="1:6">
      <c r="A1514" s="11"/>
      <c r="B1514" s="12"/>
      <c r="C1514" s="11"/>
      <c r="D1514" s="13"/>
      <c r="E1514" s="11"/>
      <c r="F1514" t="e">
        <f t="array" ref="F1514">PROFEXHyperlinkAddress(B1514:B1514)</f>
        <v>#NAME?</v>
      </c>
    </row>
    <row r="1515" ht="25.5" spans="1:6">
      <c r="A1515" s="15"/>
      <c r="B1515" s="14" t="s">
        <v>5</v>
      </c>
      <c r="C1515" s="15"/>
      <c r="D1515" s="16"/>
      <c r="E1515" s="15"/>
      <c r="F1515" t="e">
        <f t="array" ref="F1515">PROFEXHyperlinkAddress(B1515:B1515)</f>
        <v>#NAME?</v>
      </c>
    </row>
    <row r="1516" ht="240" spans="1:6">
      <c r="A1516" s="17">
        <v>5041097</v>
      </c>
      <c r="B1516" s="18" t="s">
        <v>551</v>
      </c>
      <c r="C1516" s="17" t="s">
        <v>1</v>
      </c>
      <c r="D1516" s="19" t="s">
        <v>2</v>
      </c>
      <c r="E1516" s="17" t="s">
        <v>370</v>
      </c>
      <c r="F1516" t="e">
        <f t="array" ref="F1516">PROFEXHyperlinkAddress(B1516:B1516)</f>
        <v>#NAME?</v>
      </c>
    </row>
    <row r="1517" spans="1:6">
      <c r="A1517" s="11"/>
      <c r="B1517" s="12"/>
      <c r="C1517" s="11"/>
      <c r="D1517" s="13"/>
      <c r="E1517" s="11"/>
      <c r="F1517" t="e">
        <f t="array" ref="F1517">PROFEXHyperlinkAddress(B1517:B1517)</f>
        <v>#NAME?</v>
      </c>
    </row>
    <row r="1518" ht="49.5" spans="1:6">
      <c r="A1518" s="11"/>
      <c r="B1518" s="14" t="s">
        <v>78</v>
      </c>
      <c r="C1518" s="11"/>
      <c r="D1518" s="13"/>
      <c r="E1518" s="11"/>
      <c r="F1518" t="e">
        <f t="array" ref="F1518">PROFEXHyperlinkAddress(B1518:B1518)</f>
        <v>#NAME?</v>
      </c>
    </row>
    <row r="1519" spans="1:6">
      <c r="A1519" s="11"/>
      <c r="B1519" s="12"/>
      <c r="C1519" s="11"/>
      <c r="D1519" s="13"/>
      <c r="E1519" s="11"/>
      <c r="F1519" t="e">
        <f t="array" ref="F1519">PROFEXHyperlinkAddress(B1519:B1519)</f>
        <v>#NAME?</v>
      </c>
    </row>
    <row r="1520" ht="25.5" spans="1:6">
      <c r="A1520" s="15"/>
      <c r="B1520" s="14" t="s">
        <v>5</v>
      </c>
      <c r="C1520" s="15"/>
      <c r="D1520" s="16"/>
      <c r="E1520" s="15"/>
      <c r="F1520" t="e">
        <f t="array" ref="F1520">PROFEXHyperlinkAddress(B1520:B1520)</f>
        <v>#NAME?</v>
      </c>
    </row>
    <row r="1521" ht="180" spans="1:6">
      <c r="A1521" s="17">
        <v>5040097</v>
      </c>
      <c r="B1521" s="18" t="s">
        <v>552</v>
      </c>
      <c r="C1521" s="17" t="s">
        <v>1</v>
      </c>
      <c r="D1521" s="19" t="s">
        <v>2</v>
      </c>
      <c r="E1521" s="17" t="s">
        <v>553</v>
      </c>
      <c r="F1521" t="e">
        <f t="array" ref="F1521">PROFEXHyperlinkAddress(B1521:B1521)</f>
        <v>#NAME?</v>
      </c>
    </row>
    <row r="1522" spans="1:6">
      <c r="A1522" s="11"/>
      <c r="B1522" s="12"/>
      <c r="C1522" s="11"/>
      <c r="D1522" s="13"/>
      <c r="E1522" s="11"/>
      <c r="F1522" t="e">
        <f t="array" ref="F1522">PROFEXHyperlinkAddress(B1522:B1522)</f>
        <v>#NAME?</v>
      </c>
    </row>
    <row r="1523" ht="49.5" spans="1:6">
      <c r="A1523" s="11"/>
      <c r="B1523" s="14" t="s">
        <v>78</v>
      </c>
      <c r="C1523" s="11"/>
      <c r="D1523" s="13"/>
      <c r="E1523" s="11"/>
      <c r="F1523" t="e">
        <f t="array" ref="F1523">PROFEXHyperlinkAddress(B1523:B1523)</f>
        <v>#NAME?</v>
      </c>
    </row>
    <row r="1524" spans="1:6">
      <c r="A1524" s="11"/>
      <c r="B1524" s="12"/>
      <c r="C1524" s="11"/>
      <c r="D1524" s="13"/>
      <c r="E1524" s="11"/>
      <c r="F1524" t="e">
        <f t="array" ref="F1524">PROFEXHyperlinkAddress(B1524:B1524)</f>
        <v>#NAME?</v>
      </c>
    </row>
    <row r="1525" ht="25.5" spans="1:6">
      <c r="A1525" s="15"/>
      <c r="B1525" s="14" t="s">
        <v>5</v>
      </c>
      <c r="C1525" s="15"/>
      <c r="D1525" s="16"/>
      <c r="E1525" s="15"/>
      <c r="F1525" t="e">
        <f t="array" ref="F1525">PROFEXHyperlinkAddress(B1525:B1525)</f>
        <v>#NAME?</v>
      </c>
    </row>
    <row r="1526" ht="225" spans="1:6">
      <c r="A1526" s="17">
        <v>5039097</v>
      </c>
      <c r="B1526" s="18" t="s">
        <v>554</v>
      </c>
      <c r="C1526" s="17" t="s">
        <v>1</v>
      </c>
      <c r="D1526" s="19" t="s">
        <v>2</v>
      </c>
      <c r="E1526" s="17" t="s">
        <v>555</v>
      </c>
      <c r="F1526" t="e">
        <f t="array" ref="F1526">PROFEXHyperlinkAddress(B1526:B1526)</f>
        <v>#NAME?</v>
      </c>
    </row>
    <row r="1527" spans="1:6">
      <c r="A1527" s="11"/>
      <c r="B1527" s="12"/>
      <c r="C1527" s="11"/>
      <c r="D1527" s="13"/>
      <c r="E1527" s="11"/>
      <c r="F1527" t="e">
        <f t="array" ref="F1527">PROFEXHyperlinkAddress(B1527:B1527)</f>
        <v>#NAME?</v>
      </c>
    </row>
    <row r="1528" ht="49.5" spans="1:6">
      <c r="A1528" s="11"/>
      <c r="B1528" s="14" t="s">
        <v>78</v>
      </c>
      <c r="C1528" s="11"/>
      <c r="D1528" s="13"/>
      <c r="E1528" s="11"/>
      <c r="F1528" t="e">
        <f t="array" ref="F1528">PROFEXHyperlinkAddress(B1528:B1528)</f>
        <v>#NAME?</v>
      </c>
    </row>
    <row r="1529" spans="1:6">
      <c r="A1529" s="11"/>
      <c r="B1529" s="12"/>
      <c r="C1529" s="11"/>
      <c r="D1529" s="13"/>
      <c r="E1529" s="11"/>
      <c r="F1529" t="e">
        <f t="array" ref="F1529">PROFEXHyperlinkAddress(B1529:B1529)</f>
        <v>#NAME?</v>
      </c>
    </row>
    <row r="1530" ht="25.5" spans="1:6">
      <c r="A1530" s="15"/>
      <c r="B1530" s="14" t="s">
        <v>5</v>
      </c>
      <c r="C1530" s="15"/>
      <c r="D1530" s="16"/>
      <c r="E1530" s="15"/>
      <c r="F1530" t="e">
        <f t="array" ref="F1530">PROFEXHyperlinkAddress(B1530:B1530)</f>
        <v>#NAME?</v>
      </c>
    </row>
    <row r="1531" ht="195" spans="1:6">
      <c r="A1531" s="17">
        <v>5038097</v>
      </c>
      <c r="B1531" s="18" t="s">
        <v>556</v>
      </c>
      <c r="C1531" s="17" t="s">
        <v>1</v>
      </c>
      <c r="D1531" s="19" t="s">
        <v>2</v>
      </c>
      <c r="E1531" s="17" t="s">
        <v>557</v>
      </c>
      <c r="F1531" t="e">
        <f t="array" ref="F1531">PROFEXHyperlinkAddress(B1531:B1531)</f>
        <v>#NAME?</v>
      </c>
    </row>
    <row r="1532" spans="1:6">
      <c r="A1532" s="11"/>
      <c r="B1532" s="12"/>
      <c r="C1532" s="11"/>
      <c r="D1532" s="13"/>
      <c r="E1532" s="11"/>
      <c r="F1532" t="e">
        <f t="array" ref="F1532">PROFEXHyperlinkAddress(B1532:B1532)</f>
        <v>#NAME?</v>
      </c>
    </row>
    <row r="1533" ht="57.75" spans="1:6">
      <c r="A1533" s="11"/>
      <c r="B1533" s="14" t="s">
        <v>21</v>
      </c>
      <c r="C1533" s="11"/>
      <c r="D1533" s="13"/>
      <c r="E1533" s="11"/>
      <c r="F1533" t="e">
        <f t="array" ref="F1533">PROFEXHyperlinkAddress(B1533:B1533)</f>
        <v>#NAME?</v>
      </c>
    </row>
    <row r="1534" spans="1:6">
      <c r="A1534" s="11"/>
      <c r="B1534" s="12"/>
      <c r="C1534" s="11"/>
      <c r="D1534" s="13"/>
      <c r="E1534" s="11"/>
      <c r="F1534" t="e">
        <f t="array" ref="F1534">PROFEXHyperlinkAddress(B1534:B1534)</f>
        <v>#NAME?</v>
      </c>
    </row>
    <row r="1535" ht="25.5" spans="1:6">
      <c r="A1535" s="15"/>
      <c r="B1535" s="14" t="s">
        <v>5</v>
      </c>
      <c r="C1535" s="15"/>
      <c r="D1535" s="16"/>
      <c r="E1535" s="15"/>
      <c r="F1535" t="e">
        <f t="array" ref="F1535">PROFEXHyperlinkAddress(B1535:B1535)</f>
        <v>#NAME?</v>
      </c>
    </row>
    <row r="1536" ht="150" spans="1:6">
      <c r="A1536" s="17">
        <v>5036097</v>
      </c>
      <c r="B1536" s="18" t="s">
        <v>558</v>
      </c>
      <c r="C1536" s="17" t="s">
        <v>1</v>
      </c>
      <c r="D1536" s="19" t="s">
        <v>2</v>
      </c>
      <c r="E1536" s="17" t="s">
        <v>101</v>
      </c>
      <c r="F1536" t="e">
        <f t="array" ref="F1536">PROFEXHyperlinkAddress(B1536:B1536)</f>
        <v>#NAME?</v>
      </c>
    </row>
    <row r="1537" spans="1:6">
      <c r="A1537" s="11"/>
      <c r="B1537" s="12"/>
      <c r="C1537" s="11"/>
      <c r="D1537" s="13"/>
      <c r="E1537" s="11"/>
      <c r="F1537" t="e">
        <f t="array" ref="F1537">PROFEXHyperlinkAddress(B1537:B1537)</f>
        <v>#NAME?</v>
      </c>
    </row>
    <row r="1538" ht="57.75" spans="1:6">
      <c r="A1538" s="11"/>
      <c r="B1538" s="14" t="s">
        <v>16</v>
      </c>
      <c r="C1538" s="11"/>
      <c r="D1538" s="13"/>
      <c r="E1538" s="11"/>
      <c r="F1538" t="e">
        <f t="array" ref="F1538">PROFEXHyperlinkAddress(B1538:B1538)</f>
        <v>#NAME?</v>
      </c>
    </row>
    <row r="1539" spans="1:6">
      <c r="A1539" s="11"/>
      <c r="B1539" s="12"/>
      <c r="C1539" s="11"/>
      <c r="D1539" s="13"/>
      <c r="E1539" s="11"/>
      <c r="F1539" t="e">
        <f t="array" ref="F1539">PROFEXHyperlinkAddress(B1539:B1539)</f>
        <v>#NAME?</v>
      </c>
    </row>
    <row r="1540" ht="25.5" spans="1:6">
      <c r="A1540" s="15"/>
      <c r="B1540" s="14" t="s">
        <v>5</v>
      </c>
      <c r="C1540" s="15"/>
      <c r="D1540" s="16"/>
      <c r="E1540" s="15"/>
      <c r="F1540" t="e">
        <f t="array" ref="F1540">PROFEXHyperlinkAddress(B1540:B1540)</f>
        <v>#NAME?</v>
      </c>
    </row>
    <row r="1541" ht="210" spans="1:6">
      <c r="A1541" s="17">
        <v>5034097</v>
      </c>
      <c r="B1541" s="18" t="s">
        <v>559</v>
      </c>
      <c r="C1541" s="17" t="s">
        <v>1</v>
      </c>
      <c r="D1541" s="19" t="s">
        <v>2</v>
      </c>
      <c r="E1541" s="17" t="s">
        <v>560</v>
      </c>
      <c r="F1541" t="e">
        <f t="array" ref="F1541">PROFEXHyperlinkAddress(B1541:B1541)</f>
        <v>#NAME?</v>
      </c>
    </row>
    <row r="1542" spans="1:6">
      <c r="A1542" s="11"/>
      <c r="B1542" s="12"/>
      <c r="C1542" s="11"/>
      <c r="D1542" s="13"/>
      <c r="E1542" s="11"/>
      <c r="F1542" t="e">
        <f t="array" ref="F1542">PROFEXHyperlinkAddress(B1542:B1542)</f>
        <v>#NAME?</v>
      </c>
    </row>
    <row r="1543" ht="57.75" spans="1:6">
      <c r="A1543" s="11"/>
      <c r="B1543" s="14" t="s">
        <v>16</v>
      </c>
      <c r="C1543" s="11"/>
      <c r="D1543" s="13"/>
      <c r="E1543" s="11"/>
      <c r="F1543" t="e">
        <f t="array" ref="F1543">PROFEXHyperlinkAddress(B1543:B1543)</f>
        <v>#NAME?</v>
      </c>
    </row>
    <row r="1544" spans="1:6">
      <c r="A1544" s="11"/>
      <c r="B1544" s="12"/>
      <c r="C1544" s="11"/>
      <c r="D1544" s="13"/>
      <c r="E1544" s="11"/>
      <c r="F1544" t="e">
        <f t="array" ref="F1544">PROFEXHyperlinkAddress(B1544:B1544)</f>
        <v>#NAME?</v>
      </c>
    </row>
    <row r="1545" ht="25.5" spans="1:6">
      <c r="A1545" s="15"/>
      <c r="B1545" s="14" t="s">
        <v>5</v>
      </c>
      <c r="C1545" s="15"/>
      <c r="D1545" s="16"/>
      <c r="E1545" s="15"/>
      <c r="F1545" t="e">
        <f t="array" ref="F1545">PROFEXHyperlinkAddress(B1545:B1545)</f>
        <v>#NAME?</v>
      </c>
    </row>
    <row r="1546" ht="120" spans="1:6">
      <c r="A1546" s="17">
        <v>5032097</v>
      </c>
      <c r="B1546" s="18" t="s">
        <v>561</v>
      </c>
      <c r="C1546" s="17" t="s">
        <v>1</v>
      </c>
      <c r="D1546" s="19" t="s">
        <v>2</v>
      </c>
      <c r="E1546" s="17" t="s">
        <v>562</v>
      </c>
      <c r="F1546" t="e">
        <f t="array" ref="F1546">PROFEXHyperlinkAddress(B1546:B1546)</f>
        <v>#NAME?</v>
      </c>
    </row>
    <row r="1547" spans="1:6">
      <c r="A1547" s="11"/>
      <c r="B1547" s="12"/>
      <c r="C1547" s="11"/>
      <c r="D1547" s="13"/>
      <c r="E1547" s="11"/>
      <c r="F1547" t="e">
        <f t="array" ref="F1547">PROFEXHyperlinkAddress(B1547:B1547)</f>
        <v>#NAME?</v>
      </c>
    </row>
    <row r="1548" ht="57.75" spans="1:6">
      <c r="A1548" s="11"/>
      <c r="B1548" s="14" t="s">
        <v>21</v>
      </c>
      <c r="C1548" s="11"/>
      <c r="D1548" s="13"/>
      <c r="E1548" s="11"/>
      <c r="F1548" t="e">
        <f t="array" ref="F1548">PROFEXHyperlinkAddress(B1548:B1548)</f>
        <v>#NAME?</v>
      </c>
    </row>
    <row r="1549" spans="1:6">
      <c r="A1549" s="11"/>
      <c r="B1549" s="12"/>
      <c r="C1549" s="11"/>
      <c r="D1549" s="13"/>
      <c r="E1549" s="11"/>
      <c r="F1549" t="e">
        <f t="array" ref="F1549">PROFEXHyperlinkAddress(B1549:B1549)</f>
        <v>#NAME?</v>
      </c>
    </row>
    <row r="1550" ht="25.5" spans="1:6">
      <c r="A1550" s="15"/>
      <c r="B1550" s="14" t="s">
        <v>563</v>
      </c>
      <c r="C1550" s="15"/>
      <c r="D1550" s="16"/>
      <c r="E1550" s="15"/>
      <c r="F1550" t="e">
        <f t="array" ref="F1550">PROFEXHyperlinkAddress(B1550:B1550)</f>
        <v>#NAME?</v>
      </c>
    </row>
    <row r="1551" ht="150" spans="1:6">
      <c r="A1551" s="17">
        <v>5030097</v>
      </c>
      <c r="B1551" s="18" t="s">
        <v>564</v>
      </c>
      <c r="C1551" s="17" t="s">
        <v>1</v>
      </c>
      <c r="D1551" s="19" t="s">
        <v>2</v>
      </c>
      <c r="E1551" s="17" t="s">
        <v>432</v>
      </c>
      <c r="F1551" t="e">
        <f t="array" ref="F1551">PROFEXHyperlinkAddress(B1551:B1551)</f>
        <v>#NAME?</v>
      </c>
    </row>
    <row r="1552" spans="1:6">
      <c r="A1552" s="11"/>
      <c r="B1552" s="12"/>
      <c r="C1552" s="11"/>
      <c r="D1552" s="13"/>
      <c r="E1552" s="11"/>
      <c r="F1552" t="e">
        <f t="array" ref="F1552">PROFEXHyperlinkAddress(B1552:B1552)</f>
        <v>#NAME?</v>
      </c>
    </row>
    <row r="1553" ht="57.75" spans="1:6">
      <c r="A1553" s="11"/>
      <c r="B1553" s="14" t="s">
        <v>21</v>
      </c>
      <c r="C1553" s="11"/>
      <c r="D1553" s="13"/>
      <c r="E1553" s="11"/>
      <c r="F1553" t="e">
        <f t="array" ref="F1553">PROFEXHyperlinkAddress(B1553:B1553)</f>
        <v>#NAME?</v>
      </c>
    </row>
    <row r="1554" spans="1:6">
      <c r="A1554" s="11"/>
      <c r="B1554" s="12"/>
      <c r="C1554" s="11"/>
      <c r="D1554" s="13"/>
      <c r="E1554" s="11"/>
      <c r="F1554" t="e">
        <f t="array" ref="F1554">PROFEXHyperlinkAddress(B1554:B1554)</f>
        <v>#NAME?</v>
      </c>
    </row>
    <row r="1555" ht="25.5" spans="1:6">
      <c r="A1555" s="15"/>
      <c r="B1555" s="14" t="s">
        <v>565</v>
      </c>
      <c r="C1555" s="15"/>
      <c r="D1555" s="16"/>
      <c r="E1555" s="15"/>
      <c r="F1555" t="e">
        <f t="array" ref="F1555">PROFEXHyperlinkAddress(B1555:B1555)</f>
        <v>#NAME?</v>
      </c>
    </row>
    <row r="1556" ht="135" spans="1:6">
      <c r="A1556" s="17">
        <v>5029097</v>
      </c>
      <c r="B1556" s="18" t="s">
        <v>566</v>
      </c>
      <c r="C1556" s="17" t="s">
        <v>1</v>
      </c>
      <c r="D1556" s="19" t="s">
        <v>2</v>
      </c>
      <c r="E1556" s="17" t="s">
        <v>464</v>
      </c>
      <c r="F1556" t="e">
        <f t="array" ref="F1556">PROFEXHyperlinkAddress(B1556:B1556)</f>
        <v>#NAME?</v>
      </c>
    </row>
    <row r="1557" spans="1:6">
      <c r="A1557" s="11"/>
      <c r="B1557" s="12"/>
      <c r="C1557" s="11"/>
      <c r="D1557" s="13"/>
      <c r="E1557" s="11"/>
      <c r="F1557" t="e">
        <f t="array" ref="F1557">PROFEXHyperlinkAddress(B1557:B1557)</f>
        <v>#NAME?</v>
      </c>
    </row>
    <row r="1558" ht="57.75" spans="1:6">
      <c r="A1558" s="11"/>
      <c r="B1558" s="14" t="s">
        <v>16</v>
      </c>
      <c r="C1558" s="11"/>
      <c r="D1558" s="13"/>
      <c r="E1558" s="11"/>
      <c r="F1558" t="e">
        <f t="array" ref="F1558">PROFEXHyperlinkAddress(B1558:B1558)</f>
        <v>#NAME?</v>
      </c>
    </row>
    <row r="1559" spans="1:6">
      <c r="A1559" s="11"/>
      <c r="B1559" s="12"/>
      <c r="C1559" s="11"/>
      <c r="D1559" s="13"/>
      <c r="E1559" s="11"/>
      <c r="F1559" t="e">
        <f t="array" ref="F1559">PROFEXHyperlinkAddress(B1559:B1559)</f>
        <v>#NAME?</v>
      </c>
    </row>
    <row r="1560" ht="25.5" spans="1:6">
      <c r="A1560" s="15"/>
      <c r="B1560" s="14" t="s">
        <v>567</v>
      </c>
      <c r="C1560" s="15"/>
      <c r="D1560" s="16"/>
      <c r="E1560" s="15"/>
      <c r="F1560" t="e">
        <f t="array" ref="F1560">PROFEXHyperlinkAddress(B1560:B1560)</f>
        <v>#NAME?</v>
      </c>
    </row>
    <row r="1561" ht="225" spans="1:6">
      <c r="A1561" s="17">
        <v>5027097</v>
      </c>
      <c r="B1561" s="18" t="s">
        <v>568</v>
      </c>
      <c r="C1561" s="17" t="s">
        <v>1</v>
      </c>
      <c r="D1561" s="19" t="s">
        <v>2</v>
      </c>
      <c r="E1561" s="17" t="s">
        <v>396</v>
      </c>
      <c r="F1561" t="e">
        <f t="array" ref="F1561">PROFEXHyperlinkAddress(B1561:B1561)</f>
        <v>#NAME?</v>
      </c>
    </row>
    <row r="1562" spans="1:6">
      <c r="A1562" s="11"/>
      <c r="B1562" s="12"/>
      <c r="C1562" s="11"/>
      <c r="D1562" s="13"/>
      <c r="E1562" s="11"/>
      <c r="F1562" t="e">
        <f t="array" ref="F1562">PROFEXHyperlinkAddress(B1562:B1562)</f>
        <v>#NAME?</v>
      </c>
    </row>
    <row r="1563" ht="57.75" spans="1:6">
      <c r="A1563" s="11"/>
      <c r="B1563" s="14" t="s">
        <v>21</v>
      </c>
      <c r="C1563" s="11"/>
      <c r="D1563" s="13"/>
      <c r="E1563" s="11"/>
      <c r="F1563" t="e">
        <f t="array" ref="F1563">PROFEXHyperlinkAddress(B1563:B1563)</f>
        <v>#NAME?</v>
      </c>
    </row>
    <row r="1564" spans="1:6">
      <c r="A1564" s="11"/>
      <c r="B1564" s="12"/>
      <c r="C1564" s="11"/>
      <c r="D1564" s="13"/>
      <c r="E1564" s="11"/>
      <c r="F1564" t="e">
        <f t="array" ref="F1564">PROFEXHyperlinkAddress(B1564:B1564)</f>
        <v>#NAME?</v>
      </c>
    </row>
    <row r="1565" ht="25.5" spans="1:6">
      <c r="A1565" s="15"/>
      <c r="B1565" s="14" t="s">
        <v>5</v>
      </c>
      <c r="C1565" s="15"/>
      <c r="D1565" s="16"/>
      <c r="E1565" s="15"/>
      <c r="F1565" t="e">
        <f t="array" ref="F1565">PROFEXHyperlinkAddress(B1565:B1565)</f>
        <v>#NAME?</v>
      </c>
    </row>
    <row r="1566" ht="135" spans="1:6">
      <c r="A1566" s="17">
        <v>5023097</v>
      </c>
      <c r="B1566" s="18" t="s">
        <v>569</v>
      </c>
      <c r="C1566" s="17" t="s">
        <v>1</v>
      </c>
      <c r="D1566" s="19" t="s">
        <v>2</v>
      </c>
      <c r="E1566" s="17" t="s">
        <v>570</v>
      </c>
      <c r="F1566" t="e">
        <f t="array" ref="F1566">PROFEXHyperlinkAddress(B1566:B1566)</f>
        <v>#NAME?</v>
      </c>
    </row>
    <row r="1567" spans="1:6">
      <c r="A1567" s="11"/>
      <c r="B1567" s="12"/>
      <c r="C1567" s="11"/>
      <c r="D1567" s="13"/>
      <c r="E1567" s="11"/>
      <c r="F1567" t="e">
        <f t="array" ref="F1567">PROFEXHyperlinkAddress(B1567:B1567)</f>
        <v>#NAME?</v>
      </c>
    </row>
    <row r="1568" ht="57.75" spans="1:6">
      <c r="A1568" s="11"/>
      <c r="B1568" s="14" t="s">
        <v>16</v>
      </c>
      <c r="C1568" s="11"/>
      <c r="D1568" s="13"/>
      <c r="E1568" s="11"/>
      <c r="F1568" t="e">
        <f t="array" ref="F1568">PROFEXHyperlinkAddress(B1568:B1568)</f>
        <v>#NAME?</v>
      </c>
    </row>
    <row r="1569" spans="1:6">
      <c r="A1569" s="11"/>
      <c r="B1569" s="12"/>
      <c r="C1569" s="11"/>
      <c r="D1569" s="13"/>
      <c r="E1569" s="11"/>
      <c r="F1569" t="e">
        <f t="array" ref="F1569">PROFEXHyperlinkAddress(B1569:B1569)</f>
        <v>#NAME?</v>
      </c>
    </row>
    <row r="1570" ht="25.5" spans="1:6">
      <c r="A1570" s="15"/>
      <c r="B1570" s="14" t="s">
        <v>571</v>
      </c>
      <c r="C1570" s="15"/>
      <c r="D1570" s="16"/>
      <c r="E1570" s="15"/>
      <c r="F1570" t="e">
        <f t="array" ref="F1570">PROFEXHyperlinkAddress(B1570:B1570)</f>
        <v>#NAME?</v>
      </c>
    </row>
    <row r="1571" ht="120" spans="1:6">
      <c r="A1571" s="17">
        <v>5021097</v>
      </c>
      <c r="B1571" s="18" t="s">
        <v>572</v>
      </c>
      <c r="C1571" s="17" t="s">
        <v>1</v>
      </c>
      <c r="D1571" s="19" t="s">
        <v>7</v>
      </c>
      <c r="E1571" s="17" t="s">
        <v>74</v>
      </c>
      <c r="F1571" t="e">
        <f t="array" ref="F1571">PROFEXHyperlinkAddress(B1571:B1571)</f>
        <v>#NAME?</v>
      </c>
    </row>
    <row r="1572" spans="1:6">
      <c r="A1572" s="11"/>
      <c r="B1572" s="12"/>
      <c r="C1572" s="11"/>
      <c r="D1572" s="13"/>
      <c r="E1572" s="11"/>
      <c r="F1572" t="e">
        <f t="array" ref="F1572">PROFEXHyperlinkAddress(B1572:B1572)</f>
        <v>#NAME?</v>
      </c>
    </row>
    <row r="1573" ht="57.75" spans="1:6">
      <c r="A1573" s="11"/>
      <c r="B1573" s="14" t="s">
        <v>21</v>
      </c>
      <c r="C1573" s="11"/>
      <c r="D1573" s="13"/>
      <c r="E1573" s="11"/>
      <c r="F1573" t="e">
        <f t="array" ref="F1573">PROFEXHyperlinkAddress(B1573:B1573)</f>
        <v>#NAME?</v>
      </c>
    </row>
    <row r="1574" spans="1:6">
      <c r="A1574" s="11"/>
      <c r="B1574" s="12"/>
      <c r="C1574" s="11"/>
      <c r="D1574" s="13"/>
      <c r="E1574" s="11"/>
      <c r="F1574" t="e">
        <f t="array" ref="F1574">PROFEXHyperlinkAddress(B1574:B1574)</f>
        <v>#NAME?</v>
      </c>
    </row>
    <row r="1575" ht="25.5" spans="1:6">
      <c r="A1575" s="15"/>
      <c r="B1575" s="14" t="s">
        <v>5</v>
      </c>
      <c r="C1575" s="15"/>
      <c r="D1575" s="16"/>
      <c r="E1575" s="15"/>
      <c r="F1575" t="e">
        <f t="array" ref="F1575">PROFEXHyperlinkAddress(B1575:B1575)</f>
        <v>#NAME?</v>
      </c>
    </row>
    <row r="1576" ht="150" spans="1:6">
      <c r="A1576" s="17">
        <v>5015097</v>
      </c>
      <c r="B1576" s="18" t="s">
        <v>573</v>
      </c>
      <c r="C1576" s="17" t="s">
        <v>1</v>
      </c>
      <c r="D1576" s="19" t="s">
        <v>2</v>
      </c>
      <c r="E1576" s="17" t="s">
        <v>574</v>
      </c>
      <c r="F1576" t="e">
        <f t="array" ref="F1576">PROFEXHyperlinkAddress(B1576:B1576)</f>
        <v>#NAME?</v>
      </c>
    </row>
    <row r="1577" spans="1:6">
      <c r="A1577" s="11"/>
      <c r="B1577" s="12"/>
      <c r="C1577" s="11"/>
      <c r="D1577" s="13"/>
      <c r="E1577" s="11"/>
      <c r="F1577" t="e">
        <f t="array" ref="F1577">PROFEXHyperlinkAddress(B1577:B1577)</f>
        <v>#NAME?</v>
      </c>
    </row>
    <row r="1578" ht="57.75" spans="1:6">
      <c r="A1578" s="11"/>
      <c r="B1578" s="14" t="s">
        <v>16</v>
      </c>
      <c r="C1578" s="11"/>
      <c r="D1578" s="13"/>
      <c r="E1578" s="11"/>
      <c r="F1578" t="e">
        <f t="array" ref="F1578">PROFEXHyperlinkAddress(B1578:B1578)</f>
        <v>#NAME?</v>
      </c>
    </row>
    <row r="1579" spans="1:6">
      <c r="A1579" s="11"/>
      <c r="B1579" s="12"/>
      <c r="C1579" s="11"/>
      <c r="D1579" s="13"/>
      <c r="E1579" s="11"/>
      <c r="F1579" t="e">
        <f t="array" ref="F1579">PROFEXHyperlinkAddress(B1579:B1579)</f>
        <v>#NAME?</v>
      </c>
    </row>
    <row r="1580" ht="25.5" spans="1:6">
      <c r="A1580" s="15"/>
      <c r="B1580" s="14" t="s">
        <v>5</v>
      </c>
      <c r="C1580" s="15"/>
      <c r="D1580" s="16"/>
      <c r="E1580" s="15"/>
      <c r="F1580" t="e">
        <f t="array" ref="F1580">PROFEXHyperlinkAddress(B1580:B1580)</f>
        <v>#NAME?</v>
      </c>
    </row>
    <row r="1581" ht="270" spans="1:6">
      <c r="A1581" s="17">
        <v>5014097</v>
      </c>
      <c r="B1581" s="18" t="s">
        <v>575</v>
      </c>
      <c r="C1581" s="17" t="s">
        <v>1</v>
      </c>
      <c r="D1581" s="19" t="s">
        <v>2</v>
      </c>
      <c r="E1581" s="17" t="s">
        <v>576</v>
      </c>
      <c r="F1581" t="e">
        <f t="array" ref="F1581">PROFEXHyperlinkAddress(B1581:B1581)</f>
        <v>#NAME?</v>
      </c>
    </row>
    <row r="1582" spans="1:6">
      <c r="A1582" s="11"/>
      <c r="B1582" s="12"/>
      <c r="C1582" s="11"/>
      <c r="D1582" s="13"/>
      <c r="E1582" s="11"/>
      <c r="F1582" t="e">
        <f t="array" ref="F1582">PROFEXHyperlinkAddress(B1582:B1582)</f>
        <v>#NAME?</v>
      </c>
    </row>
    <row r="1583" ht="49.5" spans="1:6">
      <c r="A1583" s="11"/>
      <c r="B1583" s="14" t="s">
        <v>78</v>
      </c>
      <c r="C1583" s="11"/>
      <c r="D1583" s="13"/>
      <c r="E1583" s="11"/>
      <c r="F1583" t="e">
        <f t="array" ref="F1583">PROFEXHyperlinkAddress(B1583:B1583)</f>
        <v>#NAME?</v>
      </c>
    </row>
    <row r="1584" spans="1:6">
      <c r="A1584" s="11"/>
      <c r="B1584" s="12"/>
      <c r="C1584" s="11"/>
      <c r="D1584" s="13"/>
      <c r="E1584" s="11"/>
      <c r="F1584" t="e">
        <f t="array" ref="F1584">PROFEXHyperlinkAddress(B1584:B1584)</f>
        <v>#NAME?</v>
      </c>
    </row>
    <row r="1585" ht="25.5" spans="1:6">
      <c r="A1585" s="15"/>
      <c r="B1585" s="14" t="s">
        <v>5</v>
      </c>
      <c r="C1585" s="15"/>
      <c r="D1585" s="16"/>
      <c r="E1585" s="15"/>
      <c r="F1585" t="e">
        <f t="array" ref="F1585">PROFEXHyperlinkAddress(B1585:B1585)</f>
        <v>#NAME?</v>
      </c>
    </row>
    <row r="1586" ht="210" spans="1:6">
      <c r="A1586" s="17">
        <v>5013097</v>
      </c>
      <c r="B1586" s="18" t="s">
        <v>577</v>
      </c>
      <c r="C1586" s="17" t="s">
        <v>1</v>
      </c>
      <c r="D1586" s="19" t="s">
        <v>2</v>
      </c>
      <c r="E1586" s="17" t="s">
        <v>578</v>
      </c>
      <c r="F1586" t="e">
        <f t="array" ref="F1586">PROFEXHyperlinkAddress(B1586:B1586)</f>
        <v>#NAME?</v>
      </c>
    </row>
    <row r="1587" spans="1:6">
      <c r="A1587" s="11"/>
      <c r="B1587" s="12"/>
      <c r="C1587" s="11"/>
      <c r="D1587" s="13"/>
      <c r="E1587" s="11"/>
      <c r="F1587" t="e">
        <f t="array" ref="F1587">PROFEXHyperlinkAddress(B1587:B1587)</f>
        <v>#NAME?</v>
      </c>
    </row>
    <row r="1588" ht="49.5" spans="1:6">
      <c r="A1588" s="11"/>
      <c r="B1588" s="14" t="s">
        <v>78</v>
      </c>
      <c r="C1588" s="11"/>
      <c r="D1588" s="13"/>
      <c r="E1588" s="11"/>
      <c r="F1588" t="e">
        <f t="array" ref="F1588">PROFEXHyperlinkAddress(B1588:B1588)</f>
        <v>#NAME?</v>
      </c>
    </row>
    <row r="1589" spans="1:6">
      <c r="A1589" s="11"/>
      <c r="B1589" s="12"/>
      <c r="C1589" s="11"/>
      <c r="D1589" s="13"/>
      <c r="E1589" s="11"/>
      <c r="F1589" t="e">
        <f t="array" ref="F1589">PROFEXHyperlinkAddress(B1589:B1589)</f>
        <v>#NAME?</v>
      </c>
    </row>
    <row r="1590" ht="25.5" spans="1:6">
      <c r="A1590" s="15"/>
      <c r="B1590" s="14" t="s">
        <v>5</v>
      </c>
      <c r="C1590" s="15"/>
      <c r="D1590" s="16"/>
      <c r="E1590" s="15"/>
      <c r="F1590" t="e">
        <f t="array" ref="F1590">PROFEXHyperlinkAddress(B1590:B1590)</f>
        <v>#NAME?</v>
      </c>
    </row>
    <row r="1591" ht="225" spans="1:6">
      <c r="A1591" s="17">
        <v>5012097</v>
      </c>
      <c r="B1591" s="18" t="s">
        <v>579</v>
      </c>
      <c r="C1591" s="17" t="s">
        <v>1</v>
      </c>
      <c r="D1591" s="19" t="s">
        <v>2</v>
      </c>
      <c r="E1591" s="17" t="s">
        <v>580</v>
      </c>
      <c r="F1591" t="e">
        <f t="array" ref="F1591">PROFEXHyperlinkAddress(B1591:B1591)</f>
        <v>#NAME?</v>
      </c>
    </row>
    <row r="1592" spans="1:6">
      <c r="A1592" s="11"/>
      <c r="B1592" s="12"/>
      <c r="C1592" s="11"/>
      <c r="D1592" s="13"/>
      <c r="E1592" s="11"/>
      <c r="F1592" t="e">
        <f t="array" ref="F1592">PROFEXHyperlinkAddress(B1592:B1592)</f>
        <v>#NAME?</v>
      </c>
    </row>
    <row r="1593" ht="49.5" spans="1:6">
      <c r="A1593" s="11"/>
      <c r="B1593" s="14" t="s">
        <v>78</v>
      </c>
      <c r="C1593" s="11"/>
      <c r="D1593" s="13"/>
      <c r="E1593" s="11"/>
      <c r="F1593" t="e">
        <f t="array" ref="F1593">PROFEXHyperlinkAddress(B1593:B1593)</f>
        <v>#NAME?</v>
      </c>
    </row>
    <row r="1594" spans="1:6">
      <c r="A1594" s="11"/>
      <c r="B1594" s="12"/>
      <c r="C1594" s="11"/>
      <c r="D1594" s="13"/>
      <c r="E1594" s="11"/>
      <c r="F1594" t="e">
        <f t="array" ref="F1594">PROFEXHyperlinkAddress(B1594:B1594)</f>
        <v>#NAME?</v>
      </c>
    </row>
    <row r="1595" ht="25.5" spans="1:6">
      <c r="A1595" s="15"/>
      <c r="B1595" s="14" t="s">
        <v>5</v>
      </c>
      <c r="C1595" s="15"/>
      <c r="D1595" s="16"/>
      <c r="E1595" s="15"/>
      <c r="F1595" t="e">
        <f t="array" ref="F1595">PROFEXHyperlinkAddress(B1595:B1595)</f>
        <v>#NAME?</v>
      </c>
    </row>
    <row r="1596" ht="135" spans="1:6">
      <c r="A1596" s="17">
        <v>5010097</v>
      </c>
      <c r="B1596" s="18" t="s">
        <v>581</v>
      </c>
      <c r="C1596" s="17" t="s">
        <v>1</v>
      </c>
      <c r="D1596" s="19" t="s">
        <v>2</v>
      </c>
      <c r="E1596" s="17" t="s">
        <v>582</v>
      </c>
      <c r="F1596" t="e">
        <f t="array" ref="F1596">PROFEXHyperlinkAddress(B1596:B1596)</f>
        <v>#NAME?</v>
      </c>
    </row>
    <row r="1597" spans="1:6">
      <c r="A1597" s="11"/>
      <c r="B1597" s="12"/>
      <c r="C1597" s="11"/>
      <c r="D1597" s="13"/>
      <c r="E1597" s="11"/>
      <c r="F1597" t="e">
        <f t="array" ref="F1597">PROFEXHyperlinkAddress(B1597:B1597)</f>
        <v>#NAME?</v>
      </c>
    </row>
    <row r="1598" ht="57.75" spans="1:6">
      <c r="A1598" s="11"/>
      <c r="B1598" s="14" t="s">
        <v>21</v>
      </c>
      <c r="C1598" s="11"/>
      <c r="D1598" s="13"/>
      <c r="E1598" s="11"/>
      <c r="F1598" t="e">
        <f t="array" ref="F1598">PROFEXHyperlinkAddress(B1598:B1598)</f>
        <v>#NAME?</v>
      </c>
    </row>
    <row r="1599" spans="1:6">
      <c r="A1599" s="11"/>
      <c r="B1599" s="12"/>
      <c r="C1599" s="11"/>
      <c r="D1599" s="13"/>
      <c r="E1599" s="11"/>
      <c r="F1599" t="e">
        <f t="array" ref="F1599">PROFEXHyperlinkAddress(B1599:B1599)</f>
        <v>#NAME?</v>
      </c>
    </row>
    <row r="1600" ht="25.5" spans="1:6">
      <c r="A1600" s="15"/>
      <c r="B1600" s="14" t="s">
        <v>5</v>
      </c>
      <c r="C1600" s="15"/>
      <c r="D1600" s="16"/>
      <c r="E1600" s="15"/>
      <c r="F1600" t="e">
        <f t="array" ref="F1600">PROFEXHyperlinkAddress(B1600:B1600)</f>
        <v>#NAME?</v>
      </c>
    </row>
    <row r="1601" ht="210" spans="1:6">
      <c r="A1601" s="17">
        <v>5009097</v>
      </c>
      <c r="B1601" s="18" t="s">
        <v>583</v>
      </c>
      <c r="C1601" s="17" t="s">
        <v>1</v>
      </c>
      <c r="D1601" s="19" t="s">
        <v>76</v>
      </c>
      <c r="E1601" s="17" t="s">
        <v>543</v>
      </c>
      <c r="F1601" t="e">
        <f t="array" ref="F1601">PROFEXHyperlinkAddress(B1601:B1601)</f>
        <v>#NAME?</v>
      </c>
    </row>
    <row r="1602" spans="1:6">
      <c r="A1602" s="11"/>
      <c r="B1602" s="12"/>
      <c r="C1602" s="11"/>
      <c r="D1602" s="13"/>
      <c r="E1602" s="11"/>
      <c r="F1602" t="e">
        <f t="array" ref="F1602">PROFEXHyperlinkAddress(B1602:B1602)</f>
        <v>#NAME?</v>
      </c>
    </row>
    <row r="1603" ht="49.5" spans="1:6">
      <c r="A1603" s="11"/>
      <c r="B1603" s="14" t="s">
        <v>78</v>
      </c>
      <c r="C1603" s="11"/>
      <c r="D1603" s="13"/>
      <c r="E1603" s="11"/>
      <c r="F1603" t="e">
        <f t="array" ref="F1603">PROFEXHyperlinkAddress(B1603:B1603)</f>
        <v>#NAME?</v>
      </c>
    </row>
    <row r="1604" spans="1:6">
      <c r="A1604" s="11"/>
      <c r="B1604" s="12"/>
      <c r="C1604" s="11"/>
      <c r="D1604" s="13"/>
      <c r="E1604" s="11"/>
      <c r="F1604" t="e">
        <f t="array" ref="F1604">PROFEXHyperlinkAddress(B1604:B1604)</f>
        <v>#NAME?</v>
      </c>
    </row>
    <row r="1605" ht="25.5" spans="1:6">
      <c r="A1605" s="15"/>
      <c r="B1605" s="14" t="s">
        <v>5</v>
      </c>
      <c r="C1605" s="15"/>
      <c r="D1605" s="16"/>
      <c r="E1605" s="15"/>
      <c r="F1605" t="e">
        <f t="array" ref="F1605">PROFEXHyperlinkAddress(B1605:B1605)</f>
        <v>#NAME?</v>
      </c>
    </row>
    <row r="1606" ht="210" spans="1:6">
      <c r="A1606" s="17">
        <v>5008097</v>
      </c>
      <c r="B1606" s="18" t="s">
        <v>584</v>
      </c>
      <c r="C1606" s="17" t="s">
        <v>1</v>
      </c>
      <c r="D1606" s="19" t="s">
        <v>76</v>
      </c>
      <c r="E1606" s="17" t="s">
        <v>543</v>
      </c>
      <c r="F1606" t="e">
        <f t="array" ref="F1606">PROFEXHyperlinkAddress(B1606:B1606)</f>
        <v>#NAME?</v>
      </c>
    </row>
    <row r="1607" spans="1:6">
      <c r="A1607" s="11"/>
      <c r="B1607" s="12"/>
      <c r="C1607" s="11"/>
      <c r="D1607" s="13"/>
      <c r="E1607" s="11"/>
      <c r="F1607" t="e">
        <f t="array" ref="F1607">PROFEXHyperlinkAddress(B1607:B1607)</f>
        <v>#NAME?</v>
      </c>
    </row>
    <row r="1608" ht="49.5" spans="1:6">
      <c r="A1608" s="11"/>
      <c r="B1608" s="14" t="s">
        <v>78</v>
      </c>
      <c r="C1608" s="11"/>
      <c r="D1608" s="13"/>
      <c r="E1608" s="11"/>
      <c r="F1608" t="e">
        <f t="array" ref="F1608">PROFEXHyperlinkAddress(B1608:B1608)</f>
        <v>#NAME?</v>
      </c>
    </row>
    <row r="1609" spans="1:6">
      <c r="A1609" s="11"/>
      <c r="B1609" s="12"/>
      <c r="C1609" s="11"/>
      <c r="D1609" s="13"/>
      <c r="E1609" s="11"/>
      <c r="F1609" t="e">
        <f t="array" ref="F1609">PROFEXHyperlinkAddress(B1609:B1609)</f>
        <v>#NAME?</v>
      </c>
    </row>
    <row r="1610" ht="25.5" spans="1:6">
      <c r="A1610" s="15"/>
      <c r="B1610" s="14" t="s">
        <v>5</v>
      </c>
      <c r="C1610" s="15"/>
      <c r="D1610" s="16"/>
      <c r="E1610" s="15"/>
      <c r="F1610" t="e">
        <f t="array" ref="F1610">PROFEXHyperlinkAddress(B1610:B1610)</f>
        <v>#NAME?</v>
      </c>
    </row>
    <row r="1611" ht="180" spans="1:6">
      <c r="A1611" s="17">
        <v>5007097</v>
      </c>
      <c r="B1611" s="18" t="s">
        <v>585</v>
      </c>
      <c r="C1611" s="17" t="s">
        <v>1</v>
      </c>
      <c r="D1611" s="19" t="s">
        <v>7</v>
      </c>
      <c r="E1611" s="17" t="s">
        <v>289</v>
      </c>
      <c r="F1611" t="e">
        <f t="array" ref="F1611">PROFEXHyperlinkAddress(B1611:B1611)</f>
        <v>#NAME?</v>
      </c>
    </row>
    <row r="1612" spans="1:6">
      <c r="A1612" s="11"/>
      <c r="B1612" s="12"/>
      <c r="C1612" s="11"/>
      <c r="D1612" s="13"/>
      <c r="E1612" s="11"/>
      <c r="F1612" t="e">
        <f t="array" ref="F1612">PROFEXHyperlinkAddress(B1612:B1612)</f>
        <v>#NAME?</v>
      </c>
    </row>
    <row r="1613" ht="57.75" spans="1:6">
      <c r="A1613" s="11"/>
      <c r="B1613" s="14" t="s">
        <v>21</v>
      </c>
      <c r="C1613" s="11"/>
      <c r="D1613" s="13"/>
      <c r="E1613" s="11"/>
      <c r="F1613" t="e">
        <f t="array" ref="F1613">PROFEXHyperlinkAddress(B1613:B1613)</f>
        <v>#NAME?</v>
      </c>
    </row>
    <row r="1614" spans="1:6">
      <c r="A1614" s="11"/>
      <c r="B1614" s="12"/>
      <c r="C1614" s="11"/>
      <c r="D1614" s="13"/>
      <c r="E1614" s="11"/>
      <c r="F1614" t="e">
        <f t="array" ref="F1614">PROFEXHyperlinkAddress(B1614:B1614)</f>
        <v>#NAME?</v>
      </c>
    </row>
    <row r="1615" ht="25.5" spans="1:6">
      <c r="A1615" s="15"/>
      <c r="B1615" s="14" t="s">
        <v>5</v>
      </c>
      <c r="C1615" s="15"/>
      <c r="D1615" s="16"/>
      <c r="E1615" s="15"/>
      <c r="F1615" t="e">
        <f t="array" ref="F1615">PROFEXHyperlinkAddress(B1615:B1615)</f>
        <v>#NAME?</v>
      </c>
    </row>
    <row r="1616" ht="195" spans="1:6">
      <c r="A1616" s="17">
        <v>5001097</v>
      </c>
      <c r="B1616" s="18" t="s">
        <v>586</v>
      </c>
      <c r="C1616" s="17" t="s">
        <v>1</v>
      </c>
      <c r="D1616" s="19" t="s">
        <v>76</v>
      </c>
      <c r="E1616" s="17" t="s">
        <v>460</v>
      </c>
      <c r="F1616" t="e">
        <f t="array" ref="F1616">PROFEXHyperlinkAddress(B1616:B1616)</f>
        <v>#NAME?</v>
      </c>
    </row>
    <row r="1617" spans="1:6">
      <c r="A1617" s="11"/>
      <c r="B1617" s="12"/>
      <c r="C1617" s="11"/>
      <c r="D1617" s="13"/>
      <c r="E1617" s="11"/>
      <c r="F1617" t="e">
        <f t="array" ref="F1617">PROFEXHyperlinkAddress(B1617:B1617)</f>
        <v>#NAME?</v>
      </c>
    </row>
    <row r="1618" ht="49.5" spans="1:6">
      <c r="A1618" s="11"/>
      <c r="B1618" s="14" t="s">
        <v>78</v>
      </c>
      <c r="C1618" s="11"/>
      <c r="D1618" s="13"/>
      <c r="E1618" s="11"/>
      <c r="F1618" t="e">
        <f t="array" ref="F1618">PROFEXHyperlinkAddress(B1618:B1618)</f>
        <v>#NAME?</v>
      </c>
    </row>
    <row r="1619" spans="1:6">
      <c r="A1619" s="11"/>
      <c r="B1619" s="12"/>
      <c r="C1619" s="11"/>
      <c r="D1619" s="13"/>
      <c r="E1619" s="11"/>
      <c r="F1619" t="e">
        <f t="array" ref="F1619">PROFEXHyperlinkAddress(B1619:B1619)</f>
        <v>#NAME?</v>
      </c>
    </row>
    <row r="1620" ht="25.5" spans="1:6">
      <c r="A1620" s="15"/>
      <c r="B1620" s="14" t="s">
        <v>5</v>
      </c>
      <c r="C1620" s="15"/>
      <c r="D1620" s="16"/>
      <c r="E1620" s="15"/>
      <c r="F1620" t="e">
        <f t="array" ref="F1620">PROFEXHyperlinkAddress(B1620:B1620)</f>
        <v>#NAME?</v>
      </c>
    </row>
    <row r="1621" ht="150" spans="1:6">
      <c r="A1621" s="17">
        <v>5000097</v>
      </c>
      <c r="B1621" s="18" t="s">
        <v>587</v>
      </c>
      <c r="C1621" s="17" t="s">
        <v>1</v>
      </c>
      <c r="D1621" s="19" t="s">
        <v>2</v>
      </c>
      <c r="E1621" s="17" t="s">
        <v>20</v>
      </c>
      <c r="F1621" t="e">
        <f t="array" ref="F1621">PROFEXHyperlinkAddress(B1621:B1621)</f>
        <v>#NAME?</v>
      </c>
    </row>
    <row r="1622" spans="1:6">
      <c r="A1622" s="11"/>
      <c r="B1622" s="12"/>
      <c r="C1622" s="11"/>
      <c r="D1622" s="13"/>
      <c r="E1622" s="11"/>
      <c r="F1622" t="e">
        <f t="array" ref="F1622">PROFEXHyperlinkAddress(B1622:B1622)</f>
        <v>#NAME?</v>
      </c>
    </row>
    <row r="1623" ht="57.75" spans="1:6">
      <c r="A1623" s="11"/>
      <c r="B1623" s="14" t="s">
        <v>21</v>
      </c>
      <c r="C1623" s="11"/>
      <c r="D1623" s="13"/>
      <c r="E1623" s="11"/>
      <c r="F1623" t="e">
        <f t="array" ref="F1623">PROFEXHyperlinkAddress(B1623:B1623)</f>
        <v>#NAME?</v>
      </c>
    </row>
    <row r="1624" spans="1:6">
      <c r="A1624" s="11"/>
      <c r="B1624" s="12"/>
      <c r="C1624" s="11"/>
      <c r="D1624" s="13"/>
      <c r="E1624" s="11"/>
      <c r="F1624" t="e">
        <f t="array" ref="F1624">PROFEXHyperlinkAddress(B1624:B1624)</f>
        <v>#NAME?</v>
      </c>
    </row>
    <row r="1625" ht="25.5" spans="1:6">
      <c r="A1625" s="15"/>
      <c r="B1625" s="14" t="s">
        <v>5</v>
      </c>
      <c r="C1625" s="15"/>
      <c r="D1625" s="16"/>
      <c r="E1625" s="15"/>
      <c r="F1625" t="e">
        <f t="array" ref="F1625">PROFEXHyperlinkAddress(B1625:B1625)</f>
        <v>#NAME?</v>
      </c>
    </row>
    <row r="1626" ht="90" spans="1:6">
      <c r="A1626" s="17">
        <v>4999097</v>
      </c>
      <c r="B1626" s="18" t="s">
        <v>588</v>
      </c>
      <c r="C1626" s="17" t="s">
        <v>1</v>
      </c>
      <c r="D1626" s="19" t="s">
        <v>2</v>
      </c>
      <c r="E1626" s="17" t="s">
        <v>460</v>
      </c>
      <c r="F1626" t="e">
        <f t="array" ref="F1626">PROFEXHyperlinkAddress(B1626:B1626)</f>
        <v>#NAME?</v>
      </c>
    </row>
    <row r="1627" spans="1:6">
      <c r="A1627" s="11"/>
      <c r="B1627" s="12"/>
      <c r="C1627" s="11"/>
      <c r="D1627" s="13"/>
      <c r="E1627" s="11"/>
      <c r="F1627" t="e">
        <f t="array" ref="F1627">PROFEXHyperlinkAddress(B1627:B1627)</f>
        <v>#NAME?</v>
      </c>
    </row>
    <row r="1628" ht="57.75" spans="1:6">
      <c r="A1628" s="11"/>
      <c r="B1628" s="14" t="s">
        <v>21</v>
      </c>
      <c r="C1628" s="11"/>
      <c r="D1628" s="13"/>
      <c r="E1628" s="11"/>
      <c r="F1628" t="e">
        <f t="array" ref="F1628">PROFEXHyperlinkAddress(B1628:B1628)</f>
        <v>#NAME?</v>
      </c>
    </row>
    <row r="1629" spans="1:6">
      <c r="A1629" s="11"/>
      <c r="B1629" s="12"/>
      <c r="C1629" s="11"/>
      <c r="D1629" s="13"/>
      <c r="E1629" s="11"/>
      <c r="F1629" t="e">
        <f t="array" ref="F1629">PROFEXHyperlinkAddress(B1629:B1629)</f>
        <v>#NAME?</v>
      </c>
    </row>
    <row r="1630" ht="25.5" spans="1:6">
      <c r="A1630" s="15"/>
      <c r="B1630" s="14" t="s">
        <v>5</v>
      </c>
      <c r="C1630" s="15"/>
      <c r="D1630" s="16"/>
      <c r="E1630" s="15"/>
      <c r="F1630" t="e">
        <f t="array" ref="F1630">PROFEXHyperlinkAddress(B1630:B1630)</f>
        <v>#NAME?</v>
      </c>
    </row>
    <row r="1631" ht="135" spans="1:6">
      <c r="A1631" s="17">
        <v>4997097</v>
      </c>
      <c r="B1631" s="18" t="s">
        <v>589</v>
      </c>
      <c r="C1631" s="17" t="s">
        <v>1</v>
      </c>
      <c r="D1631" s="19" t="s">
        <v>2</v>
      </c>
      <c r="E1631" s="17" t="s">
        <v>464</v>
      </c>
      <c r="F1631" t="e">
        <f t="array" ref="F1631">PROFEXHyperlinkAddress(B1631:B1631)</f>
        <v>#NAME?</v>
      </c>
    </row>
    <row r="1632" spans="1:6">
      <c r="A1632" s="11"/>
      <c r="B1632" s="12"/>
      <c r="C1632" s="11"/>
      <c r="D1632" s="13"/>
      <c r="E1632" s="11"/>
      <c r="F1632" t="e">
        <f t="array" ref="F1632">PROFEXHyperlinkAddress(B1632:B1632)</f>
        <v>#NAME?</v>
      </c>
    </row>
    <row r="1633" ht="57.75" spans="1:6">
      <c r="A1633" s="11"/>
      <c r="B1633" s="14" t="s">
        <v>16</v>
      </c>
      <c r="C1633" s="11"/>
      <c r="D1633" s="13"/>
      <c r="E1633" s="11"/>
      <c r="F1633" t="e">
        <f t="array" ref="F1633">PROFEXHyperlinkAddress(B1633:B1633)</f>
        <v>#NAME?</v>
      </c>
    </row>
    <row r="1634" spans="1:6">
      <c r="A1634" s="11"/>
      <c r="B1634" s="12"/>
      <c r="C1634" s="11"/>
      <c r="D1634" s="13"/>
      <c r="E1634" s="11"/>
      <c r="F1634" t="e">
        <f t="array" ref="F1634">PROFEXHyperlinkAddress(B1634:B1634)</f>
        <v>#NAME?</v>
      </c>
    </row>
    <row r="1635" ht="25.5" spans="1:6">
      <c r="A1635" s="15"/>
      <c r="B1635" s="14" t="s">
        <v>590</v>
      </c>
      <c r="C1635" s="15"/>
      <c r="D1635" s="16"/>
      <c r="E1635" s="15"/>
      <c r="F1635" t="e">
        <f t="array" ref="F1635">PROFEXHyperlinkAddress(B1635:B1635)</f>
        <v>#NAME?</v>
      </c>
    </row>
    <row r="1636" ht="135" spans="1:6">
      <c r="A1636" s="17">
        <v>4986097</v>
      </c>
      <c r="B1636" s="18" t="s">
        <v>591</v>
      </c>
      <c r="C1636" s="17" t="s">
        <v>1</v>
      </c>
      <c r="D1636" s="19" t="s">
        <v>7</v>
      </c>
      <c r="E1636" s="17" t="s">
        <v>289</v>
      </c>
      <c r="F1636" t="e">
        <f t="array" ref="F1636">PROFEXHyperlinkAddress(B1636:B1636)</f>
        <v>#NAME?</v>
      </c>
    </row>
    <row r="1637" spans="1:6">
      <c r="A1637" s="11"/>
      <c r="B1637" s="12"/>
      <c r="C1637" s="11"/>
      <c r="D1637" s="13"/>
      <c r="E1637" s="11"/>
      <c r="F1637" t="e">
        <f t="array" ref="F1637">PROFEXHyperlinkAddress(B1637:B1637)</f>
        <v>#NAME?</v>
      </c>
    </row>
    <row r="1638" ht="57.75" spans="1:6">
      <c r="A1638" s="11"/>
      <c r="B1638" s="14" t="s">
        <v>21</v>
      </c>
      <c r="C1638" s="11"/>
      <c r="D1638" s="13"/>
      <c r="E1638" s="11"/>
      <c r="F1638" t="e">
        <f t="array" ref="F1638">PROFEXHyperlinkAddress(B1638:B1638)</f>
        <v>#NAME?</v>
      </c>
    </row>
    <row r="1639" spans="1:6">
      <c r="A1639" s="11"/>
      <c r="B1639" s="12"/>
      <c r="C1639" s="11"/>
      <c r="D1639" s="13"/>
      <c r="E1639" s="11"/>
      <c r="F1639" t="e">
        <f t="array" ref="F1639">PROFEXHyperlinkAddress(B1639:B1639)</f>
        <v>#NAME?</v>
      </c>
    </row>
    <row r="1640" ht="25.5" spans="1:6">
      <c r="A1640" s="15"/>
      <c r="B1640" s="14" t="s">
        <v>5</v>
      </c>
      <c r="C1640" s="15"/>
      <c r="D1640" s="16"/>
      <c r="E1640" s="15"/>
      <c r="F1640" t="e">
        <f t="array" ref="F1640">PROFEXHyperlinkAddress(B1640:B1640)</f>
        <v>#NAME?</v>
      </c>
    </row>
    <row r="1641" ht="165" spans="1:6">
      <c r="A1641" s="17">
        <v>4984097</v>
      </c>
      <c r="B1641" s="18" t="s">
        <v>592</v>
      </c>
      <c r="C1641" s="17" t="s">
        <v>1</v>
      </c>
      <c r="D1641" s="19" t="s">
        <v>76</v>
      </c>
      <c r="E1641" s="17" t="s">
        <v>470</v>
      </c>
      <c r="F1641" t="e">
        <f t="array" ref="F1641">PROFEXHyperlinkAddress(B1641:B1641)</f>
        <v>#NAME?</v>
      </c>
    </row>
    <row r="1642" spans="1:6">
      <c r="A1642" s="11"/>
      <c r="B1642" s="12"/>
      <c r="C1642" s="11"/>
      <c r="D1642" s="13"/>
      <c r="E1642" s="11"/>
      <c r="F1642" t="e">
        <f t="array" ref="F1642">PROFEXHyperlinkAddress(B1642:B1642)</f>
        <v>#NAME?</v>
      </c>
    </row>
    <row r="1643" ht="49.5" spans="1:6">
      <c r="A1643" s="11"/>
      <c r="B1643" s="14" t="s">
        <v>78</v>
      </c>
      <c r="C1643" s="11"/>
      <c r="D1643" s="13"/>
      <c r="E1643" s="11"/>
      <c r="F1643" t="e">
        <f t="array" ref="F1643">PROFEXHyperlinkAddress(B1643:B1643)</f>
        <v>#NAME?</v>
      </c>
    </row>
    <row r="1644" spans="1:6">
      <c r="A1644" s="11"/>
      <c r="B1644" s="12"/>
      <c r="C1644" s="11"/>
      <c r="D1644" s="13"/>
      <c r="E1644" s="11"/>
      <c r="F1644" t="e">
        <f t="array" ref="F1644">PROFEXHyperlinkAddress(B1644:B1644)</f>
        <v>#NAME?</v>
      </c>
    </row>
    <row r="1645" ht="25.5" spans="1:6">
      <c r="A1645" s="15"/>
      <c r="B1645" s="14" t="s">
        <v>5</v>
      </c>
      <c r="C1645" s="15"/>
      <c r="D1645" s="16"/>
      <c r="E1645" s="15"/>
      <c r="F1645" t="e">
        <f t="array" ref="F1645">PROFEXHyperlinkAddress(B1645:B1645)</f>
        <v>#NAME?</v>
      </c>
    </row>
    <row r="1646" ht="150" spans="1:6">
      <c r="A1646" s="17">
        <v>4981097</v>
      </c>
      <c r="B1646" s="18" t="s">
        <v>593</v>
      </c>
      <c r="C1646" s="17" t="s">
        <v>1</v>
      </c>
      <c r="D1646" s="19" t="s">
        <v>2</v>
      </c>
      <c r="E1646" s="17" t="s">
        <v>594</v>
      </c>
      <c r="F1646" t="e">
        <f t="array" ref="F1646">PROFEXHyperlinkAddress(B1646:B1646)</f>
        <v>#NAME?</v>
      </c>
    </row>
    <row r="1647" spans="1:6">
      <c r="A1647" s="11"/>
      <c r="B1647" s="12"/>
      <c r="C1647" s="11"/>
      <c r="D1647" s="13"/>
      <c r="E1647" s="11"/>
      <c r="F1647" t="e">
        <f t="array" ref="F1647">PROFEXHyperlinkAddress(B1647:B1647)</f>
        <v>#NAME?</v>
      </c>
    </row>
    <row r="1648" ht="57.75" spans="1:6">
      <c r="A1648" s="11"/>
      <c r="B1648" s="14" t="s">
        <v>21</v>
      </c>
      <c r="C1648" s="11"/>
      <c r="D1648" s="13"/>
      <c r="E1648" s="11"/>
      <c r="F1648" t="e">
        <f t="array" ref="F1648">PROFEXHyperlinkAddress(B1648:B1648)</f>
        <v>#NAME?</v>
      </c>
    </row>
    <row r="1649" spans="1:6">
      <c r="A1649" s="11"/>
      <c r="B1649" s="12"/>
      <c r="C1649" s="11"/>
      <c r="D1649" s="13"/>
      <c r="E1649" s="11"/>
      <c r="F1649" t="e">
        <f t="array" ref="F1649">PROFEXHyperlinkAddress(B1649:B1649)</f>
        <v>#NAME?</v>
      </c>
    </row>
    <row r="1650" ht="25.5" spans="1:6">
      <c r="A1650" s="15"/>
      <c r="B1650" s="14" t="s">
        <v>5</v>
      </c>
      <c r="C1650" s="15"/>
      <c r="D1650" s="16"/>
      <c r="E1650" s="15"/>
      <c r="F1650" t="e">
        <f t="array" ref="F1650">PROFEXHyperlinkAddress(B1650:B1650)</f>
        <v>#NAME?</v>
      </c>
    </row>
    <row r="1651" ht="135" spans="1:6">
      <c r="A1651" s="17">
        <v>4980097</v>
      </c>
      <c r="B1651" s="18" t="s">
        <v>595</v>
      </c>
      <c r="C1651" s="17" t="s">
        <v>1</v>
      </c>
      <c r="D1651" s="19" t="s">
        <v>2</v>
      </c>
      <c r="E1651" s="17" t="s">
        <v>594</v>
      </c>
      <c r="F1651" t="e">
        <f t="array" ref="F1651">PROFEXHyperlinkAddress(B1651:B1651)</f>
        <v>#NAME?</v>
      </c>
    </row>
    <row r="1652" spans="1:6">
      <c r="A1652" s="11"/>
      <c r="B1652" s="12"/>
      <c r="C1652" s="11"/>
      <c r="D1652" s="13"/>
      <c r="E1652" s="11"/>
      <c r="F1652" t="e">
        <f t="array" ref="F1652">PROFEXHyperlinkAddress(B1652:B1652)</f>
        <v>#NAME?</v>
      </c>
    </row>
    <row r="1653" ht="57.75" spans="1:6">
      <c r="A1653" s="11"/>
      <c r="B1653" s="14" t="s">
        <v>21</v>
      </c>
      <c r="C1653" s="11"/>
      <c r="D1653" s="13"/>
      <c r="E1653" s="11"/>
      <c r="F1653" t="e">
        <f t="array" ref="F1653">PROFEXHyperlinkAddress(B1653:B1653)</f>
        <v>#NAME?</v>
      </c>
    </row>
    <row r="1654" spans="1:6">
      <c r="A1654" s="11"/>
      <c r="B1654" s="12"/>
      <c r="C1654" s="11"/>
      <c r="D1654" s="13"/>
      <c r="E1654" s="11"/>
      <c r="F1654" t="e">
        <f t="array" ref="F1654">PROFEXHyperlinkAddress(B1654:B1654)</f>
        <v>#NAME?</v>
      </c>
    </row>
    <row r="1655" ht="25.5" spans="1:6">
      <c r="A1655" s="15"/>
      <c r="B1655" s="14" t="s">
        <v>5</v>
      </c>
      <c r="C1655" s="15"/>
      <c r="D1655" s="16"/>
      <c r="E1655" s="15"/>
      <c r="F1655" t="e">
        <f t="array" ref="F1655">PROFEXHyperlinkAddress(B1655:B1655)</f>
        <v>#NAME?</v>
      </c>
    </row>
    <row r="1656" ht="270" spans="1:6">
      <c r="A1656" s="17">
        <v>4978097</v>
      </c>
      <c r="B1656" s="18" t="s">
        <v>596</v>
      </c>
      <c r="C1656" s="17" t="s">
        <v>1</v>
      </c>
      <c r="D1656" s="19" t="s">
        <v>76</v>
      </c>
      <c r="E1656" s="17" t="s">
        <v>597</v>
      </c>
      <c r="F1656" t="e">
        <f t="array" ref="F1656">PROFEXHyperlinkAddress(B1656:B1656)</f>
        <v>#NAME?</v>
      </c>
    </row>
    <row r="1657" spans="1:6">
      <c r="A1657" s="11"/>
      <c r="B1657" s="12"/>
      <c r="C1657" s="11"/>
      <c r="D1657" s="13"/>
      <c r="E1657" s="11"/>
      <c r="F1657" t="e">
        <f t="array" ref="F1657">PROFEXHyperlinkAddress(B1657:B1657)</f>
        <v>#NAME?</v>
      </c>
    </row>
    <row r="1658" ht="49.5" spans="1:6">
      <c r="A1658" s="11"/>
      <c r="B1658" s="14" t="s">
        <v>78</v>
      </c>
      <c r="C1658" s="11"/>
      <c r="D1658" s="13"/>
      <c r="E1658" s="11"/>
      <c r="F1658" t="e">
        <f t="array" ref="F1658">PROFEXHyperlinkAddress(B1658:B1658)</f>
        <v>#NAME?</v>
      </c>
    </row>
    <row r="1659" spans="1:6">
      <c r="A1659" s="11"/>
      <c r="B1659" s="12"/>
      <c r="C1659" s="11"/>
      <c r="D1659" s="13"/>
      <c r="E1659" s="11"/>
      <c r="F1659" t="e">
        <f t="array" ref="F1659">PROFEXHyperlinkAddress(B1659:B1659)</f>
        <v>#NAME?</v>
      </c>
    </row>
    <row r="1660" ht="25.5" spans="1:6">
      <c r="A1660" s="15"/>
      <c r="B1660" s="14" t="s">
        <v>5</v>
      </c>
      <c r="C1660" s="15"/>
      <c r="D1660" s="16"/>
      <c r="E1660" s="15"/>
      <c r="F1660" t="e">
        <f t="array" ref="F1660">PROFEXHyperlinkAddress(B1660:B1660)</f>
        <v>#NAME?</v>
      </c>
    </row>
    <row r="1661" ht="195" spans="1:6">
      <c r="A1661" s="17">
        <v>4977097</v>
      </c>
      <c r="B1661" s="18" t="s">
        <v>598</v>
      </c>
      <c r="C1661" s="17" t="s">
        <v>1</v>
      </c>
      <c r="D1661" s="19" t="s">
        <v>2</v>
      </c>
      <c r="E1661" s="17" t="s">
        <v>599</v>
      </c>
      <c r="F1661" t="e">
        <f t="array" ref="F1661">PROFEXHyperlinkAddress(B1661:B1661)</f>
        <v>#NAME?</v>
      </c>
    </row>
    <row r="1662" spans="1:6">
      <c r="A1662" s="11"/>
      <c r="B1662" s="12"/>
      <c r="C1662" s="11"/>
      <c r="D1662" s="13"/>
      <c r="E1662" s="11"/>
      <c r="F1662" t="e">
        <f t="array" ref="F1662">PROFEXHyperlinkAddress(B1662:B1662)</f>
        <v>#NAME?</v>
      </c>
    </row>
    <row r="1663" ht="49.5" spans="1:6">
      <c r="A1663" s="11"/>
      <c r="B1663" s="14" t="s">
        <v>78</v>
      </c>
      <c r="C1663" s="11"/>
      <c r="D1663" s="13"/>
      <c r="E1663" s="11"/>
      <c r="F1663" t="e">
        <f t="array" ref="F1663">PROFEXHyperlinkAddress(B1663:B1663)</f>
        <v>#NAME?</v>
      </c>
    </row>
    <row r="1664" spans="1:6">
      <c r="A1664" s="11"/>
      <c r="B1664" s="12"/>
      <c r="C1664" s="11"/>
      <c r="D1664" s="13"/>
      <c r="E1664" s="11"/>
      <c r="F1664" t="e">
        <f t="array" ref="F1664">PROFEXHyperlinkAddress(B1664:B1664)</f>
        <v>#NAME?</v>
      </c>
    </row>
    <row r="1665" ht="25.5" spans="1:6">
      <c r="A1665" s="15"/>
      <c r="B1665" s="14" t="s">
        <v>5</v>
      </c>
      <c r="C1665" s="15"/>
      <c r="D1665" s="16"/>
      <c r="E1665" s="15"/>
      <c r="F1665" t="e">
        <f t="array" ref="F1665">PROFEXHyperlinkAddress(B1665:B1665)</f>
        <v>#NAME?</v>
      </c>
    </row>
    <row r="1666" ht="165" spans="1:6">
      <c r="A1666" s="17">
        <v>4976097</v>
      </c>
      <c r="B1666" s="18" t="s">
        <v>600</v>
      </c>
      <c r="C1666" s="17" t="s">
        <v>1</v>
      </c>
      <c r="D1666" s="19" t="s">
        <v>7</v>
      </c>
      <c r="E1666" s="17" t="s">
        <v>464</v>
      </c>
      <c r="F1666" t="e">
        <f t="array" ref="F1666">PROFEXHyperlinkAddress(B1666:B1666)</f>
        <v>#NAME?</v>
      </c>
    </row>
    <row r="1667" spans="1:6">
      <c r="A1667" s="11"/>
      <c r="B1667" s="12"/>
      <c r="C1667" s="11"/>
      <c r="D1667" s="13"/>
      <c r="E1667" s="11"/>
      <c r="F1667" t="e">
        <f t="array" ref="F1667">PROFEXHyperlinkAddress(B1667:B1667)</f>
        <v>#NAME?</v>
      </c>
    </row>
    <row r="1668" ht="57.75" spans="1:6">
      <c r="A1668" s="11"/>
      <c r="B1668" s="14" t="s">
        <v>16</v>
      </c>
      <c r="C1668" s="11"/>
      <c r="D1668" s="13"/>
      <c r="E1668" s="11"/>
      <c r="F1668" t="e">
        <f t="array" ref="F1668">PROFEXHyperlinkAddress(B1668:B1668)</f>
        <v>#NAME?</v>
      </c>
    </row>
    <row r="1669" spans="1:6">
      <c r="A1669" s="11"/>
      <c r="B1669" s="12"/>
      <c r="C1669" s="11"/>
      <c r="D1669" s="13"/>
      <c r="E1669" s="11"/>
      <c r="F1669" t="e">
        <f t="array" ref="F1669">PROFEXHyperlinkAddress(B1669:B1669)</f>
        <v>#NAME?</v>
      </c>
    </row>
    <row r="1670" ht="25.5" spans="1:6">
      <c r="A1670" s="15"/>
      <c r="B1670" s="14" t="s">
        <v>5</v>
      </c>
      <c r="C1670" s="15"/>
      <c r="D1670" s="16"/>
      <c r="E1670" s="15"/>
      <c r="F1670" t="e">
        <f t="array" ref="F1670">PROFEXHyperlinkAddress(B1670:B1670)</f>
        <v>#NAME?</v>
      </c>
    </row>
    <row r="1671" ht="105" spans="1:6">
      <c r="A1671" s="17">
        <v>4975097</v>
      </c>
      <c r="B1671" s="18" t="s">
        <v>601</v>
      </c>
      <c r="C1671" s="17" t="s">
        <v>1</v>
      </c>
      <c r="D1671" s="19" t="s">
        <v>2</v>
      </c>
      <c r="E1671" s="17" t="s">
        <v>602</v>
      </c>
      <c r="F1671" t="e">
        <f t="array" ref="F1671">PROFEXHyperlinkAddress(B1671:B1671)</f>
        <v>#NAME?</v>
      </c>
    </row>
    <row r="1672" spans="1:6">
      <c r="A1672" s="11"/>
      <c r="B1672" s="12"/>
      <c r="C1672" s="11"/>
      <c r="D1672" s="13"/>
      <c r="E1672" s="11"/>
      <c r="F1672" t="e">
        <f t="array" ref="F1672">PROFEXHyperlinkAddress(B1672:B1672)</f>
        <v>#NAME?</v>
      </c>
    </row>
    <row r="1673" ht="57.75" spans="1:6">
      <c r="A1673" s="11"/>
      <c r="B1673" s="14" t="s">
        <v>21</v>
      </c>
      <c r="C1673" s="11"/>
      <c r="D1673" s="13"/>
      <c r="E1673" s="11"/>
      <c r="F1673" t="e">
        <f t="array" ref="F1673">PROFEXHyperlinkAddress(B1673:B1673)</f>
        <v>#NAME?</v>
      </c>
    </row>
    <row r="1674" spans="1:6">
      <c r="A1674" s="11"/>
      <c r="B1674" s="12"/>
      <c r="C1674" s="11"/>
      <c r="D1674" s="13"/>
      <c r="E1674" s="11"/>
      <c r="F1674" t="e">
        <f t="array" ref="F1674">PROFEXHyperlinkAddress(B1674:B1674)</f>
        <v>#NAME?</v>
      </c>
    </row>
    <row r="1675" ht="25.5" spans="1:6">
      <c r="A1675" s="15"/>
      <c r="B1675" s="14" t="s">
        <v>603</v>
      </c>
      <c r="C1675" s="15"/>
      <c r="D1675" s="16"/>
      <c r="E1675" s="15"/>
      <c r="F1675" t="e">
        <f t="array" ref="F1675">PROFEXHyperlinkAddress(B1675:B1675)</f>
        <v>#NAME?</v>
      </c>
    </row>
    <row r="1676" ht="150" spans="1:6">
      <c r="A1676" s="17">
        <v>4974097</v>
      </c>
      <c r="B1676" s="18" t="s">
        <v>604</v>
      </c>
      <c r="C1676" s="17" t="s">
        <v>1</v>
      </c>
      <c r="D1676" s="19" t="s">
        <v>2</v>
      </c>
      <c r="E1676" s="17" t="s">
        <v>275</v>
      </c>
      <c r="F1676" t="e">
        <f t="array" ref="F1676">PROFEXHyperlinkAddress(B1676:B1676)</f>
        <v>#NAME?</v>
      </c>
    </row>
    <row r="1677" spans="1:6">
      <c r="A1677" s="11"/>
      <c r="B1677" s="12"/>
      <c r="C1677" s="11"/>
      <c r="D1677" s="13"/>
      <c r="E1677" s="11"/>
      <c r="F1677" t="e">
        <f t="array" ref="F1677">PROFEXHyperlinkAddress(B1677:B1677)</f>
        <v>#NAME?</v>
      </c>
    </row>
    <row r="1678" ht="57.75" spans="1:6">
      <c r="A1678" s="11"/>
      <c r="B1678" s="14" t="s">
        <v>21</v>
      </c>
      <c r="C1678" s="11"/>
      <c r="D1678" s="13"/>
      <c r="E1678" s="11"/>
      <c r="F1678" t="e">
        <f t="array" ref="F1678">PROFEXHyperlinkAddress(B1678:B1678)</f>
        <v>#NAME?</v>
      </c>
    </row>
    <row r="1679" spans="1:6">
      <c r="A1679" s="11"/>
      <c r="B1679" s="12"/>
      <c r="C1679" s="11"/>
      <c r="D1679" s="13"/>
      <c r="E1679" s="11"/>
      <c r="F1679" t="e">
        <f t="array" ref="F1679">PROFEXHyperlinkAddress(B1679:B1679)</f>
        <v>#NAME?</v>
      </c>
    </row>
    <row r="1680" ht="25.5" spans="1:6">
      <c r="A1680" s="15"/>
      <c r="B1680" s="14" t="s">
        <v>605</v>
      </c>
      <c r="C1680" s="15"/>
      <c r="D1680" s="16"/>
      <c r="E1680" s="15"/>
      <c r="F1680" t="e">
        <f t="array" ref="F1680">PROFEXHyperlinkAddress(B1680:B1680)</f>
        <v>#NAME?</v>
      </c>
    </row>
    <row r="1681" ht="135" spans="1:6">
      <c r="A1681" s="17">
        <v>4973097</v>
      </c>
      <c r="B1681" s="18" t="s">
        <v>606</v>
      </c>
      <c r="C1681" s="17" t="s">
        <v>1</v>
      </c>
      <c r="D1681" s="19" t="s">
        <v>2</v>
      </c>
      <c r="E1681" s="17" t="s">
        <v>607</v>
      </c>
      <c r="F1681" t="e">
        <f t="array" ref="F1681">PROFEXHyperlinkAddress(B1681:B1681)</f>
        <v>#NAME?</v>
      </c>
    </row>
    <row r="1682" spans="1:6">
      <c r="A1682" s="11"/>
      <c r="B1682" s="12"/>
      <c r="C1682" s="11"/>
      <c r="D1682" s="13"/>
      <c r="E1682" s="11"/>
      <c r="F1682" t="e">
        <f t="array" ref="F1682">PROFEXHyperlinkAddress(B1682:B1682)</f>
        <v>#NAME?</v>
      </c>
    </row>
    <row r="1683" ht="57.75" spans="1:6">
      <c r="A1683" s="11"/>
      <c r="B1683" s="14" t="s">
        <v>21</v>
      </c>
      <c r="C1683" s="11"/>
      <c r="D1683" s="13"/>
      <c r="E1683" s="11"/>
      <c r="F1683" t="e">
        <f t="array" ref="F1683">PROFEXHyperlinkAddress(B1683:B1683)</f>
        <v>#NAME?</v>
      </c>
    </row>
    <row r="1684" spans="1:6">
      <c r="A1684" s="11"/>
      <c r="B1684" s="12"/>
      <c r="C1684" s="11"/>
      <c r="D1684" s="13"/>
      <c r="E1684" s="11"/>
      <c r="F1684" t="e">
        <f t="array" ref="F1684">PROFEXHyperlinkAddress(B1684:B1684)</f>
        <v>#NAME?</v>
      </c>
    </row>
    <row r="1685" ht="25.5" spans="1:6">
      <c r="A1685" s="15"/>
      <c r="B1685" s="14" t="s">
        <v>608</v>
      </c>
      <c r="C1685" s="15"/>
      <c r="D1685" s="16"/>
      <c r="E1685" s="15"/>
      <c r="F1685" t="e">
        <f t="array" ref="F1685">PROFEXHyperlinkAddress(B1685:B1685)</f>
        <v>#NAME?</v>
      </c>
    </row>
    <row r="1686" ht="165" spans="1:6">
      <c r="A1686" s="17">
        <v>4963097</v>
      </c>
      <c r="B1686" s="18" t="s">
        <v>609</v>
      </c>
      <c r="C1686" s="17" t="s">
        <v>1</v>
      </c>
      <c r="D1686" s="19" t="s">
        <v>7</v>
      </c>
      <c r="E1686" s="17" t="s">
        <v>300</v>
      </c>
      <c r="F1686" t="e">
        <f t="array" ref="F1686">PROFEXHyperlinkAddress(B1686:B1686)</f>
        <v>#NAME?</v>
      </c>
    </row>
    <row r="1687" spans="1:6">
      <c r="A1687" s="11"/>
      <c r="B1687" s="12"/>
      <c r="C1687" s="11"/>
      <c r="D1687" s="13"/>
      <c r="E1687" s="11"/>
      <c r="F1687" t="e">
        <f t="array" ref="F1687">PROFEXHyperlinkAddress(B1687:B1687)</f>
        <v>#NAME?</v>
      </c>
    </row>
    <row r="1688" ht="57.75" spans="1:6">
      <c r="A1688" s="11"/>
      <c r="B1688" s="14" t="s">
        <v>21</v>
      </c>
      <c r="C1688" s="11"/>
      <c r="D1688" s="13"/>
      <c r="E1688" s="11"/>
      <c r="F1688" t="e">
        <f t="array" ref="F1688">PROFEXHyperlinkAddress(B1688:B1688)</f>
        <v>#NAME?</v>
      </c>
    </row>
    <row r="1689" spans="1:6">
      <c r="A1689" s="11"/>
      <c r="B1689" s="12"/>
      <c r="C1689" s="11"/>
      <c r="D1689" s="13"/>
      <c r="E1689" s="11"/>
      <c r="F1689" t="e">
        <f t="array" ref="F1689">PROFEXHyperlinkAddress(B1689:B1689)</f>
        <v>#NAME?</v>
      </c>
    </row>
    <row r="1690" ht="25.5" spans="1:6">
      <c r="A1690" s="15"/>
      <c r="B1690" s="14" t="s">
        <v>5</v>
      </c>
      <c r="C1690" s="15"/>
      <c r="D1690" s="16"/>
      <c r="E1690" s="15"/>
      <c r="F1690" t="e">
        <f t="array" ref="F1690">PROFEXHyperlinkAddress(B1690:B1690)</f>
        <v>#NAME?</v>
      </c>
    </row>
    <row r="1691" ht="165" spans="1:6">
      <c r="A1691" s="17">
        <v>4962097</v>
      </c>
      <c r="B1691" s="18" t="s">
        <v>610</v>
      </c>
      <c r="C1691" s="17" t="s">
        <v>1</v>
      </c>
      <c r="D1691" s="19" t="s">
        <v>7</v>
      </c>
      <c r="E1691" s="17" t="s">
        <v>464</v>
      </c>
      <c r="F1691" t="e">
        <f t="array" ref="F1691">PROFEXHyperlinkAddress(B1691:B1691)</f>
        <v>#NAME?</v>
      </c>
    </row>
    <row r="1692" spans="1:6">
      <c r="A1692" s="11"/>
      <c r="B1692" s="12"/>
      <c r="C1692" s="11"/>
      <c r="D1692" s="13"/>
      <c r="E1692" s="11"/>
      <c r="F1692" t="e">
        <f t="array" ref="F1692">PROFEXHyperlinkAddress(B1692:B1692)</f>
        <v>#NAME?</v>
      </c>
    </row>
    <row r="1693" ht="57.75" spans="1:6">
      <c r="A1693" s="11"/>
      <c r="B1693" s="14" t="s">
        <v>4</v>
      </c>
      <c r="C1693" s="11"/>
      <c r="D1693" s="13"/>
      <c r="E1693" s="11"/>
      <c r="F1693" t="e">
        <f t="array" ref="F1693">PROFEXHyperlinkAddress(B1693:B1693)</f>
        <v>#NAME?</v>
      </c>
    </row>
    <row r="1694" spans="1:6">
      <c r="A1694" s="11"/>
      <c r="B1694" s="12"/>
      <c r="C1694" s="11"/>
      <c r="D1694" s="13"/>
      <c r="E1694" s="11"/>
      <c r="F1694" t="e">
        <f t="array" ref="F1694">PROFEXHyperlinkAddress(B1694:B1694)</f>
        <v>#NAME?</v>
      </c>
    </row>
    <row r="1695" ht="25.5" spans="1:6">
      <c r="A1695" s="15"/>
      <c r="B1695" s="14" t="s">
        <v>5</v>
      </c>
      <c r="C1695" s="15"/>
      <c r="D1695" s="16"/>
      <c r="E1695" s="15"/>
      <c r="F1695" t="e">
        <f t="array" ref="F1695">PROFEXHyperlinkAddress(B1695:B1695)</f>
        <v>#NAME?</v>
      </c>
    </row>
    <row r="1696" ht="240" spans="1:6">
      <c r="A1696" s="17">
        <v>4960097</v>
      </c>
      <c r="B1696" s="18" t="s">
        <v>611</v>
      </c>
      <c r="C1696" s="17" t="s">
        <v>1</v>
      </c>
      <c r="D1696" s="19" t="s">
        <v>2</v>
      </c>
      <c r="E1696" s="17" t="s">
        <v>612</v>
      </c>
      <c r="F1696" t="e">
        <f t="array" ref="F1696">PROFEXHyperlinkAddress(B1696:B1696)</f>
        <v>#NAME?</v>
      </c>
    </row>
    <row r="1697" spans="1:6">
      <c r="A1697" s="11"/>
      <c r="B1697" s="12"/>
      <c r="C1697" s="11"/>
      <c r="D1697" s="13"/>
      <c r="E1697" s="11"/>
      <c r="F1697" t="e">
        <f t="array" ref="F1697">PROFEXHyperlinkAddress(B1697:B1697)</f>
        <v>#NAME?</v>
      </c>
    </row>
    <row r="1698" ht="49.5" spans="1:6">
      <c r="A1698" s="11"/>
      <c r="B1698" s="14" t="s">
        <v>78</v>
      </c>
      <c r="C1698" s="11"/>
      <c r="D1698" s="13"/>
      <c r="E1698" s="11"/>
      <c r="F1698" t="e">
        <f t="array" ref="F1698">PROFEXHyperlinkAddress(B1698:B1698)</f>
        <v>#NAME?</v>
      </c>
    </row>
    <row r="1699" spans="1:6">
      <c r="A1699" s="11"/>
      <c r="B1699" s="12"/>
      <c r="C1699" s="11"/>
      <c r="D1699" s="13"/>
      <c r="E1699" s="11"/>
      <c r="F1699" t="e">
        <f t="array" ref="F1699">PROFEXHyperlinkAddress(B1699:B1699)</f>
        <v>#NAME?</v>
      </c>
    </row>
    <row r="1700" ht="25.5" spans="1:6">
      <c r="A1700" s="15"/>
      <c r="B1700" s="14" t="s">
        <v>5</v>
      </c>
      <c r="C1700" s="15"/>
      <c r="D1700" s="16"/>
      <c r="E1700" s="15"/>
      <c r="F1700" t="e">
        <f t="array" ref="F1700">PROFEXHyperlinkAddress(B1700:B1700)</f>
        <v>#NAME?</v>
      </c>
    </row>
    <row r="1701" ht="165" spans="1:6">
      <c r="A1701" s="17">
        <v>4959097</v>
      </c>
      <c r="B1701" s="18" t="s">
        <v>613</v>
      </c>
      <c r="C1701" s="17" t="s">
        <v>1</v>
      </c>
      <c r="D1701" s="19" t="s">
        <v>2</v>
      </c>
      <c r="E1701" s="17" t="s">
        <v>228</v>
      </c>
      <c r="F1701" t="e">
        <f t="array" ref="F1701">PROFEXHyperlinkAddress(B1701:B1701)</f>
        <v>#NAME?</v>
      </c>
    </row>
    <row r="1702" spans="1:6">
      <c r="A1702" s="11"/>
      <c r="B1702" s="12"/>
      <c r="C1702" s="11"/>
      <c r="D1702" s="13"/>
      <c r="E1702" s="11"/>
      <c r="F1702" t="e">
        <f t="array" ref="F1702">PROFEXHyperlinkAddress(B1702:B1702)</f>
        <v>#NAME?</v>
      </c>
    </row>
    <row r="1703" ht="49.5" spans="1:6">
      <c r="A1703" s="11"/>
      <c r="B1703" s="14" t="s">
        <v>78</v>
      </c>
      <c r="C1703" s="11"/>
      <c r="D1703" s="13"/>
      <c r="E1703" s="11"/>
      <c r="F1703" t="e">
        <f t="array" ref="F1703">PROFEXHyperlinkAddress(B1703:B1703)</f>
        <v>#NAME?</v>
      </c>
    </row>
    <row r="1704" spans="1:6">
      <c r="A1704" s="11"/>
      <c r="B1704" s="12"/>
      <c r="C1704" s="11"/>
      <c r="D1704" s="13"/>
      <c r="E1704" s="11"/>
      <c r="F1704" t="e">
        <f t="array" ref="F1704">PROFEXHyperlinkAddress(B1704:B1704)</f>
        <v>#NAME?</v>
      </c>
    </row>
    <row r="1705" ht="25.5" spans="1:6">
      <c r="A1705" s="15"/>
      <c r="B1705" s="14" t="s">
        <v>5</v>
      </c>
      <c r="C1705" s="15"/>
      <c r="D1705" s="16"/>
      <c r="E1705" s="15"/>
      <c r="F1705" t="e">
        <f t="array" ref="F1705">PROFEXHyperlinkAddress(B1705:B1705)</f>
        <v>#NAME?</v>
      </c>
    </row>
    <row r="1706" ht="225" spans="1:6">
      <c r="A1706" s="17">
        <v>4958097</v>
      </c>
      <c r="B1706" s="18" t="s">
        <v>614</v>
      </c>
      <c r="C1706" s="17" t="s">
        <v>1</v>
      </c>
      <c r="D1706" s="19" t="s">
        <v>2</v>
      </c>
      <c r="E1706" s="17" t="s">
        <v>615</v>
      </c>
      <c r="F1706" t="e">
        <f t="array" ref="F1706">PROFEXHyperlinkAddress(B1706:B1706)</f>
        <v>#NAME?</v>
      </c>
    </row>
    <row r="1707" spans="1:6">
      <c r="A1707" s="11"/>
      <c r="B1707" s="12"/>
      <c r="C1707" s="11"/>
      <c r="D1707" s="13"/>
      <c r="E1707" s="11"/>
      <c r="F1707" t="e">
        <f t="array" ref="F1707">PROFEXHyperlinkAddress(B1707:B1707)</f>
        <v>#NAME?</v>
      </c>
    </row>
    <row r="1708" ht="57.75" spans="1:6">
      <c r="A1708" s="11"/>
      <c r="B1708" s="14" t="s">
        <v>21</v>
      </c>
      <c r="C1708" s="11"/>
      <c r="D1708" s="13"/>
      <c r="E1708" s="11"/>
      <c r="F1708" t="e">
        <f t="array" ref="F1708">PROFEXHyperlinkAddress(B1708:B1708)</f>
        <v>#NAME?</v>
      </c>
    </row>
    <row r="1709" spans="1:6">
      <c r="A1709" s="11"/>
      <c r="B1709" s="12"/>
      <c r="C1709" s="11"/>
      <c r="D1709" s="13"/>
      <c r="E1709" s="11"/>
      <c r="F1709" t="e">
        <f t="array" ref="F1709">PROFEXHyperlinkAddress(B1709:B1709)</f>
        <v>#NAME?</v>
      </c>
    </row>
    <row r="1710" ht="25.5" spans="1:6">
      <c r="A1710" s="15"/>
      <c r="B1710" s="14" t="s">
        <v>616</v>
      </c>
      <c r="C1710" s="15"/>
      <c r="D1710" s="16"/>
      <c r="E1710" s="15"/>
      <c r="F1710" t="e">
        <f t="array" ref="F1710">PROFEXHyperlinkAddress(B1710:B1710)</f>
        <v>#NAME?</v>
      </c>
    </row>
    <row r="1711" ht="150" spans="1:6">
      <c r="A1711" s="17">
        <v>4957097</v>
      </c>
      <c r="B1711" s="18" t="s">
        <v>617</v>
      </c>
      <c r="C1711" s="17" t="s">
        <v>1</v>
      </c>
      <c r="D1711" s="19" t="s">
        <v>2</v>
      </c>
      <c r="E1711" s="17" t="s">
        <v>618</v>
      </c>
      <c r="F1711" t="e">
        <f t="array" ref="F1711">PROFEXHyperlinkAddress(B1711:B1711)</f>
        <v>#NAME?</v>
      </c>
    </row>
    <row r="1712" spans="1:6">
      <c r="A1712" s="11"/>
      <c r="B1712" s="12"/>
      <c r="C1712" s="11"/>
      <c r="D1712" s="13"/>
      <c r="E1712" s="11"/>
      <c r="F1712" t="e">
        <f t="array" ref="F1712">PROFEXHyperlinkAddress(B1712:B1712)</f>
        <v>#NAME?</v>
      </c>
    </row>
    <row r="1713" ht="49.5" spans="1:6">
      <c r="A1713" s="11"/>
      <c r="B1713" s="14" t="s">
        <v>78</v>
      </c>
      <c r="C1713" s="11"/>
      <c r="D1713" s="13"/>
      <c r="E1713" s="11"/>
      <c r="F1713" t="e">
        <f t="array" ref="F1713">PROFEXHyperlinkAddress(B1713:B1713)</f>
        <v>#NAME?</v>
      </c>
    </row>
    <row r="1714" spans="1:6">
      <c r="A1714" s="11"/>
      <c r="B1714" s="12"/>
      <c r="C1714" s="11"/>
      <c r="D1714" s="13"/>
      <c r="E1714" s="11"/>
      <c r="F1714" t="e">
        <f t="array" ref="F1714">PROFEXHyperlinkAddress(B1714:B1714)</f>
        <v>#NAME?</v>
      </c>
    </row>
    <row r="1715" ht="25.5" spans="1:6">
      <c r="A1715" s="15"/>
      <c r="B1715" s="14" t="s">
        <v>5</v>
      </c>
      <c r="C1715" s="15"/>
      <c r="D1715" s="16"/>
      <c r="E1715" s="15"/>
      <c r="F1715" t="e">
        <f t="array" ref="F1715">PROFEXHyperlinkAddress(B1715:B1715)</f>
        <v>#NAME?</v>
      </c>
    </row>
    <row r="1716" ht="255" spans="1:6">
      <c r="A1716" s="17">
        <v>4956097</v>
      </c>
      <c r="B1716" s="18" t="s">
        <v>619</v>
      </c>
      <c r="C1716" s="17" t="s">
        <v>1</v>
      </c>
      <c r="D1716" s="19" t="s">
        <v>2</v>
      </c>
      <c r="E1716" s="17" t="s">
        <v>620</v>
      </c>
      <c r="F1716" t="e">
        <f t="array" ref="F1716">PROFEXHyperlinkAddress(B1716:B1716)</f>
        <v>#NAME?</v>
      </c>
    </row>
    <row r="1717" spans="1:6">
      <c r="A1717" s="11"/>
      <c r="B1717" s="12"/>
      <c r="C1717" s="11"/>
      <c r="D1717" s="13"/>
      <c r="E1717" s="11"/>
      <c r="F1717" t="e">
        <f t="array" ref="F1717">PROFEXHyperlinkAddress(B1717:B1717)</f>
        <v>#NAME?</v>
      </c>
    </row>
    <row r="1718" ht="49.5" spans="1:6">
      <c r="A1718" s="11"/>
      <c r="B1718" s="14" t="s">
        <v>78</v>
      </c>
      <c r="C1718" s="11"/>
      <c r="D1718" s="13"/>
      <c r="E1718" s="11"/>
      <c r="F1718" t="e">
        <f t="array" ref="F1718">PROFEXHyperlinkAddress(B1718:B1718)</f>
        <v>#NAME?</v>
      </c>
    </row>
    <row r="1719" spans="1:6">
      <c r="A1719" s="11"/>
      <c r="B1719" s="12"/>
      <c r="C1719" s="11"/>
      <c r="D1719" s="13"/>
      <c r="E1719" s="11"/>
      <c r="F1719" t="e">
        <f t="array" ref="F1719">PROFEXHyperlinkAddress(B1719:B1719)</f>
        <v>#NAME?</v>
      </c>
    </row>
    <row r="1720" ht="25.5" spans="1:6">
      <c r="A1720" s="15"/>
      <c r="B1720" s="14" t="s">
        <v>5</v>
      </c>
      <c r="C1720" s="15"/>
      <c r="D1720" s="16"/>
      <c r="E1720" s="15"/>
      <c r="F1720" t="e">
        <f t="array" ref="F1720">PROFEXHyperlinkAddress(B1720:B1720)</f>
        <v>#NAME?</v>
      </c>
    </row>
    <row r="1721" ht="255" spans="1:6">
      <c r="A1721" s="17">
        <v>4955097</v>
      </c>
      <c r="B1721" s="18" t="s">
        <v>621</v>
      </c>
      <c r="C1721" s="17" t="s">
        <v>1</v>
      </c>
      <c r="D1721" s="19" t="s">
        <v>2</v>
      </c>
      <c r="E1721" s="17" t="s">
        <v>622</v>
      </c>
      <c r="F1721" t="e">
        <f t="array" ref="F1721">PROFEXHyperlinkAddress(B1721:B1721)</f>
        <v>#NAME?</v>
      </c>
    </row>
    <row r="1722" spans="1:6">
      <c r="A1722" s="11"/>
      <c r="B1722" s="12"/>
      <c r="C1722" s="11"/>
      <c r="D1722" s="13"/>
      <c r="E1722" s="11"/>
      <c r="F1722" t="e">
        <f t="array" ref="F1722">PROFEXHyperlinkAddress(B1722:B1722)</f>
        <v>#NAME?</v>
      </c>
    </row>
    <row r="1723" ht="49.5" spans="1:6">
      <c r="A1723" s="11"/>
      <c r="B1723" s="14" t="s">
        <v>78</v>
      </c>
      <c r="C1723" s="11"/>
      <c r="D1723" s="13"/>
      <c r="E1723" s="11"/>
      <c r="F1723" t="e">
        <f t="array" ref="F1723">PROFEXHyperlinkAddress(B1723:B1723)</f>
        <v>#NAME?</v>
      </c>
    </row>
    <row r="1724" spans="1:6">
      <c r="A1724" s="11"/>
      <c r="B1724" s="12"/>
      <c r="C1724" s="11"/>
      <c r="D1724" s="13"/>
      <c r="E1724" s="11"/>
      <c r="F1724" t="e">
        <f t="array" ref="F1724">PROFEXHyperlinkAddress(B1724:B1724)</f>
        <v>#NAME?</v>
      </c>
    </row>
    <row r="1725" ht="25.5" spans="1:6">
      <c r="A1725" s="15"/>
      <c r="B1725" s="14" t="s">
        <v>5</v>
      </c>
      <c r="C1725" s="15"/>
      <c r="D1725" s="16"/>
      <c r="E1725" s="15"/>
      <c r="F1725" t="e">
        <f t="array" ref="F1725">PROFEXHyperlinkAddress(B1725:B1725)</f>
        <v>#NAME?</v>
      </c>
    </row>
    <row r="1726" ht="255" spans="1:6">
      <c r="A1726" s="17">
        <v>4954097</v>
      </c>
      <c r="B1726" s="18" t="s">
        <v>623</v>
      </c>
      <c r="C1726" s="17" t="s">
        <v>1</v>
      </c>
      <c r="D1726" s="19" t="s">
        <v>2</v>
      </c>
      <c r="E1726" s="17" t="s">
        <v>624</v>
      </c>
      <c r="F1726" t="e">
        <f t="array" ref="F1726">PROFEXHyperlinkAddress(B1726:B1726)</f>
        <v>#NAME?</v>
      </c>
    </row>
    <row r="1727" spans="1:6">
      <c r="A1727" s="11"/>
      <c r="B1727" s="12"/>
      <c r="C1727" s="11"/>
      <c r="D1727" s="13"/>
      <c r="E1727" s="11"/>
      <c r="F1727" t="e">
        <f t="array" ref="F1727">PROFEXHyperlinkAddress(B1727:B1727)</f>
        <v>#NAME?</v>
      </c>
    </row>
    <row r="1728" ht="49.5" spans="1:6">
      <c r="A1728" s="11"/>
      <c r="B1728" s="14" t="s">
        <v>78</v>
      </c>
      <c r="C1728" s="11"/>
      <c r="D1728" s="13"/>
      <c r="E1728" s="11"/>
      <c r="F1728" t="e">
        <f t="array" ref="F1728">PROFEXHyperlinkAddress(B1728:B1728)</f>
        <v>#NAME?</v>
      </c>
    </row>
    <row r="1729" spans="1:6">
      <c r="A1729" s="11"/>
      <c r="B1729" s="12"/>
      <c r="C1729" s="11"/>
      <c r="D1729" s="13"/>
      <c r="E1729" s="11"/>
      <c r="F1729" t="e">
        <f t="array" ref="F1729">PROFEXHyperlinkAddress(B1729:B1729)</f>
        <v>#NAME?</v>
      </c>
    </row>
    <row r="1730" ht="25.5" spans="1:6">
      <c r="A1730" s="15"/>
      <c r="B1730" s="14" t="s">
        <v>5</v>
      </c>
      <c r="C1730" s="15"/>
      <c r="D1730" s="16"/>
      <c r="E1730" s="15"/>
      <c r="F1730" t="e">
        <f t="array" ref="F1730">PROFEXHyperlinkAddress(B1730:B1730)</f>
        <v>#NAME?</v>
      </c>
    </row>
    <row r="1731" ht="120" spans="1:6">
      <c r="A1731" s="17">
        <v>4953097</v>
      </c>
      <c r="B1731" s="18" t="s">
        <v>625</v>
      </c>
      <c r="C1731" s="17" t="s">
        <v>1</v>
      </c>
      <c r="D1731" s="19" t="s">
        <v>2</v>
      </c>
      <c r="E1731" s="17" t="s">
        <v>523</v>
      </c>
      <c r="F1731" t="e">
        <f t="array" ref="F1731">PROFEXHyperlinkAddress(B1731:B1731)</f>
        <v>#NAME?</v>
      </c>
    </row>
    <row r="1732" spans="1:6">
      <c r="A1732" s="11"/>
      <c r="B1732" s="12"/>
      <c r="C1732" s="11"/>
      <c r="D1732" s="13"/>
      <c r="E1732" s="11"/>
      <c r="F1732" t="e">
        <f t="array" ref="F1732">PROFEXHyperlinkAddress(B1732:B1732)</f>
        <v>#NAME?</v>
      </c>
    </row>
    <row r="1733" ht="57.75" spans="1:6">
      <c r="A1733" s="11"/>
      <c r="B1733" s="14" t="s">
        <v>21</v>
      </c>
      <c r="C1733" s="11"/>
      <c r="D1733" s="13"/>
      <c r="E1733" s="11"/>
      <c r="F1733" t="e">
        <f t="array" ref="F1733">PROFEXHyperlinkAddress(B1733:B1733)</f>
        <v>#NAME?</v>
      </c>
    </row>
    <row r="1734" spans="1:6">
      <c r="A1734" s="11"/>
      <c r="B1734" s="12"/>
      <c r="C1734" s="11"/>
      <c r="D1734" s="13"/>
      <c r="E1734" s="11"/>
      <c r="F1734" t="e">
        <f t="array" ref="F1734">PROFEXHyperlinkAddress(B1734:B1734)</f>
        <v>#NAME?</v>
      </c>
    </row>
    <row r="1735" ht="25.5" spans="1:6">
      <c r="A1735" s="15"/>
      <c r="B1735" s="14" t="s">
        <v>626</v>
      </c>
      <c r="C1735" s="15"/>
      <c r="D1735" s="16"/>
      <c r="E1735" s="15"/>
      <c r="F1735" t="e">
        <f t="array" ref="F1735">PROFEXHyperlinkAddress(B1735:B1735)</f>
        <v>#NAME?</v>
      </c>
    </row>
    <row r="1736" ht="90" spans="1:6">
      <c r="A1736" s="17">
        <v>4952097</v>
      </c>
      <c r="B1736" s="18" t="s">
        <v>627</v>
      </c>
      <c r="C1736" s="17" t="s">
        <v>1</v>
      </c>
      <c r="D1736" s="19" t="s">
        <v>2</v>
      </c>
      <c r="E1736" s="17" t="s">
        <v>628</v>
      </c>
      <c r="F1736" t="e">
        <f t="array" ref="F1736">PROFEXHyperlinkAddress(B1736:B1736)</f>
        <v>#NAME?</v>
      </c>
    </row>
    <row r="1737" spans="1:6">
      <c r="A1737" s="11"/>
      <c r="B1737" s="12"/>
      <c r="C1737" s="11"/>
      <c r="D1737" s="13"/>
      <c r="E1737" s="11"/>
      <c r="F1737" t="e">
        <f t="array" ref="F1737">PROFEXHyperlinkAddress(B1737:B1737)</f>
        <v>#NAME?</v>
      </c>
    </row>
    <row r="1738" ht="57.75" spans="1:6">
      <c r="A1738" s="11"/>
      <c r="B1738" s="14" t="s">
        <v>21</v>
      </c>
      <c r="C1738" s="11"/>
      <c r="D1738" s="13"/>
      <c r="E1738" s="11"/>
      <c r="F1738" t="e">
        <f t="array" ref="F1738">PROFEXHyperlinkAddress(B1738:B1738)</f>
        <v>#NAME?</v>
      </c>
    </row>
    <row r="1739" spans="1:6">
      <c r="A1739" s="11"/>
      <c r="B1739" s="12"/>
      <c r="C1739" s="11"/>
      <c r="D1739" s="13"/>
      <c r="E1739" s="11"/>
      <c r="F1739" t="e">
        <f t="array" ref="F1739">PROFEXHyperlinkAddress(B1739:B1739)</f>
        <v>#NAME?</v>
      </c>
    </row>
    <row r="1740" ht="25.5" spans="1:6">
      <c r="A1740" s="15"/>
      <c r="B1740" s="14" t="s">
        <v>629</v>
      </c>
      <c r="C1740" s="15"/>
      <c r="D1740" s="16"/>
      <c r="E1740" s="15"/>
      <c r="F1740" t="e">
        <f t="array" ref="F1740">PROFEXHyperlinkAddress(B1740:B1740)</f>
        <v>#NAME?</v>
      </c>
    </row>
    <row r="1741" ht="195" spans="1:6">
      <c r="A1741" s="17">
        <v>4951097</v>
      </c>
      <c r="B1741" s="18" t="s">
        <v>630</v>
      </c>
      <c r="C1741" s="17" t="s">
        <v>1</v>
      </c>
      <c r="D1741" s="19" t="s">
        <v>2</v>
      </c>
      <c r="E1741" s="17" t="s">
        <v>631</v>
      </c>
      <c r="F1741" t="e">
        <f t="array" ref="F1741">PROFEXHyperlinkAddress(B1741:B1741)</f>
        <v>#NAME?</v>
      </c>
    </row>
    <row r="1742" spans="1:6">
      <c r="A1742" s="11"/>
      <c r="B1742" s="12"/>
      <c r="C1742" s="11"/>
      <c r="D1742" s="13"/>
      <c r="E1742" s="11"/>
      <c r="F1742" t="e">
        <f t="array" ref="F1742">PROFEXHyperlinkAddress(B1742:B1742)</f>
        <v>#NAME?</v>
      </c>
    </row>
    <row r="1743" ht="57.75" spans="1:6">
      <c r="A1743" s="11"/>
      <c r="B1743" s="14" t="s">
        <v>21</v>
      </c>
      <c r="C1743" s="11"/>
      <c r="D1743" s="13"/>
      <c r="E1743" s="11"/>
      <c r="F1743" t="e">
        <f t="array" ref="F1743">PROFEXHyperlinkAddress(B1743:B1743)</f>
        <v>#NAME?</v>
      </c>
    </row>
    <row r="1744" spans="1:6">
      <c r="A1744" s="11"/>
      <c r="B1744" s="12"/>
      <c r="C1744" s="11"/>
      <c r="D1744" s="13"/>
      <c r="E1744" s="11"/>
      <c r="F1744" t="e">
        <f t="array" ref="F1744">PROFEXHyperlinkAddress(B1744:B1744)</f>
        <v>#NAME?</v>
      </c>
    </row>
    <row r="1745" ht="25.5" spans="1:6">
      <c r="A1745" s="15"/>
      <c r="B1745" s="14" t="s">
        <v>632</v>
      </c>
      <c r="C1745" s="15"/>
      <c r="D1745" s="16"/>
      <c r="E1745" s="15"/>
      <c r="F1745" t="e">
        <f t="array" ref="F1745">PROFEXHyperlinkAddress(B1745:B1745)</f>
        <v>#NAME?</v>
      </c>
    </row>
    <row r="1746" ht="150" spans="1:6">
      <c r="A1746" s="17">
        <v>4949097</v>
      </c>
      <c r="B1746" s="18" t="s">
        <v>633</v>
      </c>
      <c r="C1746" s="17" t="s">
        <v>1</v>
      </c>
      <c r="D1746" s="19" t="s">
        <v>7</v>
      </c>
      <c r="E1746" s="17" t="s">
        <v>523</v>
      </c>
      <c r="F1746" t="e">
        <f t="array" ref="F1746">PROFEXHyperlinkAddress(B1746:B1746)</f>
        <v>#NAME?</v>
      </c>
    </row>
    <row r="1747" spans="1:6">
      <c r="A1747" s="11"/>
      <c r="B1747" s="12"/>
      <c r="C1747" s="11"/>
      <c r="D1747" s="13"/>
      <c r="E1747" s="11"/>
      <c r="F1747" t="e">
        <f t="array" ref="F1747">PROFEXHyperlinkAddress(B1747:B1747)</f>
        <v>#NAME?</v>
      </c>
    </row>
    <row r="1748" ht="57.75" spans="1:6">
      <c r="A1748" s="11"/>
      <c r="B1748" s="14" t="s">
        <v>21</v>
      </c>
      <c r="C1748" s="11"/>
      <c r="D1748" s="13"/>
      <c r="E1748" s="11"/>
      <c r="F1748" t="e">
        <f t="array" ref="F1748">PROFEXHyperlinkAddress(B1748:B1748)</f>
        <v>#NAME?</v>
      </c>
    </row>
    <row r="1749" spans="1:6">
      <c r="A1749" s="11"/>
      <c r="B1749" s="12"/>
      <c r="C1749" s="11"/>
      <c r="D1749" s="13"/>
      <c r="E1749" s="11"/>
      <c r="F1749" t="e">
        <f t="array" ref="F1749">PROFEXHyperlinkAddress(B1749:B1749)</f>
        <v>#NAME?</v>
      </c>
    </row>
    <row r="1750" ht="25.5" spans="1:6">
      <c r="A1750" s="15"/>
      <c r="B1750" s="14" t="s">
        <v>5</v>
      </c>
      <c r="C1750" s="15"/>
      <c r="D1750" s="16"/>
      <c r="E1750" s="15"/>
      <c r="F1750" t="e">
        <f t="array" ref="F1750">PROFEXHyperlinkAddress(B1750:B1750)</f>
        <v>#NAME?</v>
      </c>
    </row>
    <row r="1751" ht="195" spans="1:6">
      <c r="A1751" s="17">
        <v>4942097</v>
      </c>
      <c r="B1751" s="18" t="s">
        <v>634</v>
      </c>
      <c r="C1751" s="17" t="s">
        <v>1</v>
      </c>
      <c r="D1751" s="19" t="s">
        <v>2</v>
      </c>
      <c r="E1751" s="17" t="s">
        <v>635</v>
      </c>
      <c r="F1751" t="e">
        <f t="array" ref="F1751">PROFEXHyperlinkAddress(B1751:B1751)</f>
        <v>#NAME?</v>
      </c>
    </row>
    <row r="1752" spans="1:6">
      <c r="A1752" s="11"/>
      <c r="B1752" s="12"/>
      <c r="C1752" s="11"/>
      <c r="D1752" s="13"/>
      <c r="E1752" s="11"/>
      <c r="F1752" t="e">
        <f t="array" ref="F1752">PROFEXHyperlinkAddress(B1752:B1752)</f>
        <v>#NAME?</v>
      </c>
    </row>
    <row r="1753" ht="57.75" spans="1:6">
      <c r="A1753" s="11"/>
      <c r="B1753" s="14" t="s">
        <v>21</v>
      </c>
      <c r="C1753" s="11"/>
      <c r="D1753" s="13"/>
      <c r="E1753" s="11"/>
      <c r="F1753" t="e">
        <f t="array" ref="F1753">PROFEXHyperlinkAddress(B1753:B1753)</f>
        <v>#NAME?</v>
      </c>
    </row>
    <row r="1754" spans="1:6">
      <c r="A1754" s="11"/>
      <c r="B1754" s="12"/>
      <c r="C1754" s="11"/>
      <c r="D1754" s="13"/>
      <c r="E1754" s="11"/>
      <c r="F1754" t="e">
        <f t="array" ref="F1754">PROFEXHyperlinkAddress(B1754:B1754)</f>
        <v>#NAME?</v>
      </c>
    </row>
    <row r="1755" ht="25.5" spans="1:6">
      <c r="A1755" s="15"/>
      <c r="B1755" s="14" t="s">
        <v>636</v>
      </c>
      <c r="C1755" s="15"/>
      <c r="D1755" s="16"/>
      <c r="E1755" s="15"/>
      <c r="F1755" t="e">
        <f t="array" ref="F1755">PROFEXHyperlinkAddress(B1755:B1755)</f>
        <v>#NAME?</v>
      </c>
    </row>
    <row r="1756" ht="150" spans="1:6">
      <c r="A1756" s="17">
        <v>4941097</v>
      </c>
      <c r="B1756" s="18" t="s">
        <v>637</v>
      </c>
      <c r="C1756" s="17" t="s">
        <v>1</v>
      </c>
      <c r="D1756" s="19" t="s">
        <v>2</v>
      </c>
      <c r="E1756" s="17" t="s">
        <v>638</v>
      </c>
      <c r="F1756" t="e">
        <f t="array" ref="F1756">PROFEXHyperlinkAddress(B1756:B1756)</f>
        <v>#NAME?</v>
      </c>
    </row>
    <row r="1757" spans="1:6">
      <c r="A1757" s="11"/>
      <c r="B1757" s="12"/>
      <c r="C1757" s="11"/>
      <c r="D1757" s="13"/>
      <c r="E1757" s="11"/>
      <c r="F1757" t="e">
        <f t="array" ref="F1757">PROFEXHyperlinkAddress(B1757:B1757)</f>
        <v>#NAME?</v>
      </c>
    </row>
    <row r="1758" ht="57.75" spans="1:6">
      <c r="A1758" s="11"/>
      <c r="B1758" s="14" t="s">
        <v>21</v>
      </c>
      <c r="C1758" s="11"/>
      <c r="D1758" s="13"/>
      <c r="E1758" s="11"/>
      <c r="F1758" t="e">
        <f t="array" ref="F1758">PROFEXHyperlinkAddress(B1758:B1758)</f>
        <v>#NAME?</v>
      </c>
    </row>
    <row r="1759" spans="1:6">
      <c r="A1759" s="11"/>
      <c r="B1759" s="12"/>
      <c r="C1759" s="11"/>
      <c r="D1759" s="13"/>
      <c r="E1759" s="11"/>
      <c r="F1759" t="e">
        <f t="array" ref="F1759">PROFEXHyperlinkAddress(B1759:B1759)</f>
        <v>#NAME?</v>
      </c>
    </row>
    <row r="1760" ht="25.5" spans="1:6">
      <c r="A1760" s="15"/>
      <c r="B1760" s="14" t="s">
        <v>639</v>
      </c>
      <c r="C1760" s="15"/>
      <c r="D1760" s="16"/>
      <c r="E1760" s="15"/>
      <c r="F1760" t="e">
        <f t="array" ref="F1760">PROFEXHyperlinkAddress(B1760:B1760)</f>
        <v>#NAME?</v>
      </c>
    </row>
    <row r="1761" ht="180" spans="1:6">
      <c r="A1761" s="17">
        <v>4940097</v>
      </c>
      <c r="B1761" s="18" t="s">
        <v>640</v>
      </c>
      <c r="C1761" s="17" t="s">
        <v>1</v>
      </c>
      <c r="D1761" s="19" t="s">
        <v>2</v>
      </c>
      <c r="E1761" s="17" t="s">
        <v>641</v>
      </c>
      <c r="F1761" t="e">
        <f t="array" ref="F1761">PROFEXHyperlinkAddress(B1761:B1761)</f>
        <v>#NAME?</v>
      </c>
    </row>
    <row r="1762" spans="1:6">
      <c r="A1762" s="11"/>
      <c r="B1762" s="12"/>
      <c r="C1762" s="11"/>
      <c r="D1762" s="13"/>
      <c r="E1762" s="11"/>
      <c r="F1762" t="e">
        <f t="array" ref="F1762">PROFEXHyperlinkAddress(B1762:B1762)</f>
        <v>#NAME?</v>
      </c>
    </row>
    <row r="1763" ht="57.75" spans="1:6">
      <c r="A1763" s="11"/>
      <c r="B1763" s="14" t="s">
        <v>21</v>
      </c>
      <c r="C1763" s="11"/>
      <c r="D1763" s="13"/>
      <c r="E1763" s="11"/>
      <c r="F1763" t="e">
        <f t="array" ref="F1763">PROFEXHyperlinkAddress(B1763:B1763)</f>
        <v>#NAME?</v>
      </c>
    </row>
    <row r="1764" spans="1:6">
      <c r="A1764" s="11"/>
      <c r="B1764" s="12"/>
      <c r="C1764" s="11"/>
      <c r="D1764" s="13"/>
      <c r="E1764" s="11"/>
      <c r="F1764" t="e">
        <f t="array" ref="F1764">PROFEXHyperlinkAddress(B1764:B1764)</f>
        <v>#NAME?</v>
      </c>
    </row>
    <row r="1765" ht="25.5" spans="1:6">
      <c r="A1765" s="15"/>
      <c r="B1765" s="14" t="s">
        <v>642</v>
      </c>
      <c r="C1765" s="15"/>
      <c r="D1765" s="16"/>
      <c r="E1765" s="15"/>
      <c r="F1765" t="e">
        <f t="array" ref="F1765">PROFEXHyperlinkAddress(B1765:B1765)</f>
        <v>#NAME?</v>
      </c>
    </row>
    <row r="1766" ht="300" spans="1:6">
      <c r="A1766" s="17">
        <v>4939097</v>
      </c>
      <c r="B1766" s="18" t="s">
        <v>643</v>
      </c>
      <c r="C1766" s="17" t="s">
        <v>1</v>
      </c>
      <c r="D1766" s="19" t="s">
        <v>2</v>
      </c>
      <c r="E1766" s="17" t="s">
        <v>644</v>
      </c>
      <c r="F1766" t="e">
        <f t="array" ref="F1766">PROFEXHyperlinkAddress(B1766:B1766)</f>
        <v>#NAME?</v>
      </c>
    </row>
    <row r="1767" spans="1:6">
      <c r="A1767" s="11"/>
      <c r="B1767" s="12"/>
      <c r="C1767" s="11"/>
      <c r="D1767" s="13"/>
      <c r="E1767" s="11"/>
      <c r="F1767" t="e">
        <f t="array" ref="F1767">PROFEXHyperlinkAddress(B1767:B1767)</f>
        <v>#NAME?</v>
      </c>
    </row>
    <row r="1768" ht="57.75" spans="1:6">
      <c r="A1768" s="11"/>
      <c r="B1768" s="14" t="s">
        <v>21</v>
      </c>
      <c r="C1768" s="11"/>
      <c r="D1768" s="13"/>
      <c r="E1768" s="11"/>
      <c r="F1768" t="e">
        <f t="array" ref="F1768">PROFEXHyperlinkAddress(B1768:B1768)</f>
        <v>#NAME?</v>
      </c>
    </row>
    <row r="1769" spans="1:6">
      <c r="A1769" s="11"/>
      <c r="B1769" s="12"/>
      <c r="C1769" s="11"/>
      <c r="D1769" s="13"/>
      <c r="E1769" s="11"/>
      <c r="F1769" t="e">
        <f t="array" ref="F1769">PROFEXHyperlinkAddress(B1769:B1769)</f>
        <v>#NAME?</v>
      </c>
    </row>
    <row r="1770" ht="25.5" spans="1:6">
      <c r="A1770" s="15"/>
      <c r="B1770" s="14" t="s">
        <v>645</v>
      </c>
      <c r="C1770" s="15"/>
      <c r="D1770" s="16"/>
      <c r="E1770" s="15"/>
      <c r="F1770" t="e">
        <f t="array" ref="F1770">PROFEXHyperlinkAddress(B1770:B1770)</f>
        <v>#NAME?</v>
      </c>
    </row>
    <row r="1771" ht="165" spans="1:6">
      <c r="A1771" s="17">
        <v>4938097</v>
      </c>
      <c r="B1771" s="18" t="s">
        <v>646</v>
      </c>
      <c r="C1771" s="17" t="s">
        <v>1</v>
      </c>
      <c r="D1771" s="19" t="s">
        <v>2</v>
      </c>
      <c r="E1771" s="17" t="s">
        <v>647</v>
      </c>
      <c r="F1771" t="e">
        <f t="array" ref="F1771">PROFEXHyperlinkAddress(B1771:B1771)</f>
        <v>#NAME?</v>
      </c>
    </row>
    <row r="1772" spans="1:6">
      <c r="A1772" s="11"/>
      <c r="B1772" s="12"/>
      <c r="C1772" s="11"/>
      <c r="D1772" s="13"/>
      <c r="E1772" s="11"/>
      <c r="F1772" t="e">
        <f t="array" ref="F1772">PROFEXHyperlinkAddress(B1772:B1772)</f>
        <v>#NAME?</v>
      </c>
    </row>
    <row r="1773" ht="57.75" spans="1:6">
      <c r="A1773" s="11"/>
      <c r="B1773" s="14" t="s">
        <v>21</v>
      </c>
      <c r="C1773" s="11"/>
      <c r="D1773" s="13"/>
      <c r="E1773" s="11"/>
      <c r="F1773" t="e">
        <f t="array" ref="F1773">PROFEXHyperlinkAddress(B1773:B1773)</f>
        <v>#NAME?</v>
      </c>
    </row>
    <row r="1774" spans="1:6">
      <c r="A1774" s="11"/>
      <c r="B1774" s="12"/>
      <c r="C1774" s="11"/>
      <c r="D1774" s="13"/>
      <c r="E1774" s="11"/>
      <c r="F1774" t="e">
        <f t="array" ref="F1774">PROFEXHyperlinkAddress(B1774:B1774)</f>
        <v>#NAME?</v>
      </c>
    </row>
    <row r="1775" ht="25.5" spans="1:6">
      <c r="A1775" s="15"/>
      <c r="B1775" s="14" t="s">
        <v>648</v>
      </c>
      <c r="C1775" s="15"/>
      <c r="D1775" s="16"/>
      <c r="E1775" s="15"/>
      <c r="F1775" t="e">
        <f t="array" ref="F1775">PROFEXHyperlinkAddress(B1775:B1775)</f>
        <v>#NAME?</v>
      </c>
    </row>
    <row r="1776" ht="120" spans="1:6">
      <c r="A1776" s="17">
        <v>4937097</v>
      </c>
      <c r="B1776" s="18" t="s">
        <v>649</v>
      </c>
      <c r="C1776" s="17" t="s">
        <v>1</v>
      </c>
      <c r="D1776" s="19" t="s">
        <v>2</v>
      </c>
      <c r="E1776" s="17" t="s">
        <v>650</v>
      </c>
      <c r="F1776" t="e">
        <f t="array" ref="F1776">PROFEXHyperlinkAddress(B1776:B1776)</f>
        <v>#NAME?</v>
      </c>
    </row>
    <row r="1777" spans="1:6">
      <c r="A1777" s="11"/>
      <c r="B1777" s="12"/>
      <c r="C1777" s="11"/>
      <c r="D1777" s="13"/>
      <c r="E1777" s="11"/>
      <c r="F1777" t="e">
        <f t="array" ref="F1777">PROFEXHyperlinkAddress(B1777:B1777)</f>
        <v>#NAME?</v>
      </c>
    </row>
    <row r="1778" ht="57.75" spans="1:6">
      <c r="A1778" s="11"/>
      <c r="B1778" s="14" t="s">
        <v>21</v>
      </c>
      <c r="C1778" s="11"/>
      <c r="D1778" s="13"/>
      <c r="E1778" s="11"/>
      <c r="F1778" t="e">
        <f t="array" ref="F1778">PROFEXHyperlinkAddress(B1778:B1778)</f>
        <v>#NAME?</v>
      </c>
    </row>
    <row r="1779" spans="1:6">
      <c r="A1779" s="11"/>
      <c r="B1779" s="12"/>
      <c r="C1779" s="11"/>
      <c r="D1779" s="13"/>
      <c r="E1779" s="11"/>
      <c r="F1779" t="e">
        <f t="array" ref="F1779">PROFEXHyperlinkAddress(B1779:B1779)</f>
        <v>#NAME?</v>
      </c>
    </row>
    <row r="1780" ht="25.5" spans="1:6">
      <c r="A1780" s="15"/>
      <c r="B1780" s="14" t="s">
        <v>651</v>
      </c>
      <c r="C1780" s="15"/>
      <c r="D1780" s="16"/>
      <c r="E1780" s="15"/>
      <c r="F1780" t="e">
        <f t="array" ref="F1780">PROFEXHyperlinkAddress(B1780:B1780)</f>
        <v>#NAME?</v>
      </c>
    </row>
    <row r="1781" ht="195" spans="1:6">
      <c r="A1781" s="17">
        <v>4936097</v>
      </c>
      <c r="B1781" s="18" t="s">
        <v>652</v>
      </c>
      <c r="C1781" s="17" t="s">
        <v>1</v>
      </c>
      <c r="D1781" s="19" t="s">
        <v>2</v>
      </c>
      <c r="E1781" s="17" t="s">
        <v>653</v>
      </c>
      <c r="F1781" t="e">
        <f t="array" ref="F1781">PROFEXHyperlinkAddress(B1781:B1781)</f>
        <v>#NAME?</v>
      </c>
    </row>
    <row r="1782" spans="1:6">
      <c r="A1782" s="11"/>
      <c r="B1782" s="12"/>
      <c r="C1782" s="11"/>
      <c r="D1782" s="13"/>
      <c r="E1782" s="11"/>
      <c r="F1782" t="e">
        <f t="array" ref="F1782">PROFEXHyperlinkAddress(B1782:B1782)</f>
        <v>#NAME?</v>
      </c>
    </row>
    <row r="1783" ht="57.75" spans="1:6">
      <c r="A1783" s="11"/>
      <c r="B1783" s="14" t="s">
        <v>21</v>
      </c>
      <c r="C1783" s="11"/>
      <c r="D1783" s="13"/>
      <c r="E1783" s="11"/>
      <c r="F1783" t="e">
        <f t="array" ref="F1783">PROFEXHyperlinkAddress(B1783:B1783)</f>
        <v>#NAME?</v>
      </c>
    </row>
    <row r="1784" spans="1:6">
      <c r="A1784" s="11"/>
      <c r="B1784" s="12"/>
      <c r="C1784" s="11"/>
      <c r="D1784" s="13"/>
      <c r="E1784" s="11"/>
      <c r="F1784" t="e">
        <f t="array" ref="F1784">PROFEXHyperlinkAddress(B1784:B1784)</f>
        <v>#NAME?</v>
      </c>
    </row>
    <row r="1785" ht="25.5" spans="1:6">
      <c r="A1785" s="15"/>
      <c r="B1785" s="14" t="s">
        <v>654</v>
      </c>
      <c r="C1785" s="15"/>
      <c r="D1785" s="16"/>
      <c r="E1785" s="15"/>
      <c r="F1785" t="e">
        <f t="array" ref="F1785">PROFEXHyperlinkAddress(B1785:B1785)</f>
        <v>#NAME?</v>
      </c>
    </row>
    <row r="1786" ht="105" spans="1:6">
      <c r="A1786" s="17">
        <v>4935097</v>
      </c>
      <c r="B1786" s="18" t="s">
        <v>655</v>
      </c>
      <c r="C1786" s="17" t="s">
        <v>1</v>
      </c>
      <c r="D1786" s="19" t="s">
        <v>2</v>
      </c>
      <c r="E1786" s="17" t="s">
        <v>26</v>
      </c>
      <c r="F1786" t="e">
        <f t="array" ref="F1786">PROFEXHyperlinkAddress(B1786:B1786)</f>
        <v>#NAME?</v>
      </c>
    </row>
    <row r="1787" spans="1:6">
      <c r="A1787" s="11"/>
      <c r="B1787" s="12"/>
      <c r="C1787" s="11"/>
      <c r="D1787" s="13"/>
      <c r="E1787" s="11"/>
      <c r="F1787" t="e">
        <f t="array" ref="F1787">PROFEXHyperlinkAddress(B1787:B1787)</f>
        <v>#NAME?</v>
      </c>
    </row>
    <row r="1788" ht="57.75" spans="1:6">
      <c r="A1788" s="11"/>
      <c r="B1788" s="14" t="s">
        <v>21</v>
      </c>
      <c r="C1788" s="11"/>
      <c r="D1788" s="13"/>
      <c r="E1788" s="11"/>
      <c r="F1788" t="e">
        <f t="array" ref="F1788">PROFEXHyperlinkAddress(B1788:B1788)</f>
        <v>#NAME?</v>
      </c>
    </row>
    <row r="1789" spans="1:6">
      <c r="A1789" s="11"/>
      <c r="B1789" s="12"/>
      <c r="C1789" s="11"/>
      <c r="D1789" s="13"/>
      <c r="E1789" s="11"/>
      <c r="F1789" t="e">
        <f t="array" ref="F1789">PROFEXHyperlinkAddress(B1789:B1789)</f>
        <v>#NAME?</v>
      </c>
    </row>
    <row r="1790" ht="25.5" spans="1:6">
      <c r="A1790" s="15"/>
      <c r="B1790" s="14" t="s">
        <v>656</v>
      </c>
      <c r="C1790" s="15"/>
      <c r="D1790" s="16"/>
      <c r="E1790" s="15"/>
      <c r="F1790" t="e">
        <f t="array" ref="F1790">PROFEXHyperlinkAddress(B1790:B1790)</f>
        <v>#NAME?</v>
      </c>
    </row>
    <row r="1791" ht="75" spans="1:6">
      <c r="A1791" s="17">
        <v>4934097</v>
      </c>
      <c r="B1791" s="18" t="s">
        <v>657</v>
      </c>
      <c r="C1791" s="17" t="s">
        <v>1</v>
      </c>
      <c r="D1791" s="19" t="s">
        <v>2</v>
      </c>
      <c r="E1791" s="17" t="s">
        <v>165</v>
      </c>
      <c r="F1791" t="e">
        <f t="array" ref="F1791">PROFEXHyperlinkAddress(B1791:B1791)</f>
        <v>#NAME?</v>
      </c>
    </row>
    <row r="1792" spans="1:6">
      <c r="A1792" s="11"/>
      <c r="B1792" s="12"/>
      <c r="C1792" s="11"/>
      <c r="D1792" s="13"/>
      <c r="E1792" s="11"/>
      <c r="F1792" t="e">
        <f t="array" ref="F1792">PROFEXHyperlinkAddress(B1792:B1792)</f>
        <v>#NAME?</v>
      </c>
    </row>
    <row r="1793" ht="57.75" spans="1:6">
      <c r="A1793" s="11"/>
      <c r="B1793" s="14" t="s">
        <v>21</v>
      </c>
      <c r="C1793" s="11"/>
      <c r="D1793" s="13"/>
      <c r="E1793" s="11"/>
      <c r="F1793" t="e">
        <f t="array" ref="F1793">PROFEXHyperlinkAddress(B1793:B1793)</f>
        <v>#NAME?</v>
      </c>
    </row>
    <row r="1794" spans="1:6">
      <c r="A1794" s="11"/>
      <c r="B1794" s="12"/>
      <c r="C1794" s="11"/>
      <c r="D1794" s="13"/>
      <c r="E1794" s="11"/>
      <c r="F1794" t="e">
        <f t="array" ref="F1794">PROFEXHyperlinkAddress(B1794:B1794)</f>
        <v>#NAME?</v>
      </c>
    </row>
    <row r="1795" ht="25.5" spans="1:6">
      <c r="A1795" s="15"/>
      <c r="B1795" s="14" t="s">
        <v>658</v>
      </c>
      <c r="C1795" s="15"/>
      <c r="D1795" s="16"/>
      <c r="E1795" s="15"/>
      <c r="F1795" t="e">
        <f t="array" ref="F1795">PROFEXHyperlinkAddress(B1795:B1795)</f>
        <v>#NAME?</v>
      </c>
    </row>
    <row r="1796" ht="120" spans="1:6">
      <c r="A1796" s="17">
        <v>4932097</v>
      </c>
      <c r="B1796" s="18" t="s">
        <v>659</v>
      </c>
      <c r="C1796" s="17" t="s">
        <v>1</v>
      </c>
      <c r="D1796" s="19" t="s">
        <v>2</v>
      </c>
      <c r="E1796" s="17" t="s">
        <v>198</v>
      </c>
      <c r="F1796" t="e">
        <f t="array" ref="F1796">PROFEXHyperlinkAddress(B1796:B1796)</f>
        <v>#NAME?</v>
      </c>
    </row>
    <row r="1797" spans="1:6">
      <c r="A1797" s="11"/>
      <c r="B1797" s="12"/>
      <c r="C1797" s="11"/>
      <c r="D1797" s="13"/>
      <c r="E1797" s="11"/>
      <c r="F1797" t="e">
        <f t="array" ref="F1797">PROFEXHyperlinkAddress(B1797:B1797)</f>
        <v>#NAME?</v>
      </c>
    </row>
    <row r="1798" ht="57.75" spans="1:6">
      <c r="A1798" s="11"/>
      <c r="B1798" s="14" t="s">
        <v>21</v>
      </c>
      <c r="C1798" s="11"/>
      <c r="D1798" s="13"/>
      <c r="E1798" s="11"/>
      <c r="F1798" t="e">
        <f t="array" ref="F1798">PROFEXHyperlinkAddress(B1798:B1798)</f>
        <v>#NAME?</v>
      </c>
    </row>
    <row r="1799" spans="1:6">
      <c r="A1799" s="11"/>
      <c r="B1799" s="12"/>
      <c r="C1799" s="11"/>
      <c r="D1799" s="13"/>
      <c r="E1799" s="11"/>
      <c r="F1799" t="e">
        <f t="array" ref="F1799">PROFEXHyperlinkAddress(B1799:B1799)</f>
        <v>#NAME?</v>
      </c>
    </row>
    <row r="1800" ht="25.5" spans="1:6">
      <c r="A1800" s="15"/>
      <c r="B1800" s="14" t="s">
        <v>660</v>
      </c>
      <c r="C1800" s="15"/>
      <c r="D1800" s="16"/>
      <c r="E1800" s="15"/>
      <c r="F1800" t="e">
        <f t="array" ref="F1800">PROFEXHyperlinkAddress(B1800:B1800)</f>
        <v>#NAME?</v>
      </c>
    </row>
    <row r="1801" ht="165" spans="1:6">
      <c r="A1801" s="17">
        <v>4930097</v>
      </c>
      <c r="B1801" s="18" t="s">
        <v>661</v>
      </c>
      <c r="C1801" s="17" t="s">
        <v>1</v>
      </c>
      <c r="D1801" s="19" t="s">
        <v>2</v>
      </c>
      <c r="E1801" s="17" t="s">
        <v>662</v>
      </c>
      <c r="F1801" t="e">
        <f t="array" ref="F1801">PROFEXHyperlinkAddress(B1801:B1801)</f>
        <v>#NAME?</v>
      </c>
    </row>
    <row r="1802" spans="1:6">
      <c r="A1802" s="11"/>
      <c r="B1802" s="12"/>
      <c r="C1802" s="11"/>
      <c r="D1802" s="13"/>
      <c r="E1802" s="11"/>
      <c r="F1802" t="e">
        <f t="array" ref="F1802">PROFEXHyperlinkAddress(B1802:B1802)</f>
        <v>#NAME?</v>
      </c>
    </row>
    <row r="1803" ht="57.75" spans="1:6">
      <c r="A1803" s="11"/>
      <c r="B1803" s="14" t="s">
        <v>21</v>
      </c>
      <c r="C1803" s="11"/>
      <c r="D1803" s="13"/>
      <c r="E1803" s="11"/>
      <c r="F1803" t="e">
        <f t="array" ref="F1803">PROFEXHyperlinkAddress(B1803:B1803)</f>
        <v>#NAME?</v>
      </c>
    </row>
    <row r="1804" spans="1:6">
      <c r="A1804" s="11"/>
      <c r="B1804" s="12"/>
      <c r="C1804" s="11"/>
      <c r="D1804" s="13"/>
      <c r="E1804" s="11"/>
      <c r="F1804" t="e">
        <f t="array" ref="F1804">PROFEXHyperlinkAddress(B1804:B1804)</f>
        <v>#NAME?</v>
      </c>
    </row>
    <row r="1805" ht="25.5" spans="1:6">
      <c r="A1805" s="15"/>
      <c r="B1805" s="14" t="s">
        <v>663</v>
      </c>
      <c r="C1805" s="15"/>
      <c r="D1805" s="16"/>
      <c r="E1805" s="15"/>
      <c r="F1805" t="e">
        <f t="array" ref="F1805">PROFEXHyperlinkAddress(B1805:B1805)</f>
        <v>#NAME?</v>
      </c>
    </row>
    <row r="1806" ht="150" spans="1:6">
      <c r="A1806" s="17">
        <v>4929097</v>
      </c>
      <c r="B1806" s="18" t="s">
        <v>664</v>
      </c>
      <c r="C1806" s="17" t="s">
        <v>1</v>
      </c>
      <c r="D1806" s="19" t="s">
        <v>2</v>
      </c>
      <c r="E1806" s="17" t="s">
        <v>278</v>
      </c>
      <c r="F1806" t="e">
        <f t="array" ref="F1806">PROFEXHyperlinkAddress(B1806:B1806)</f>
        <v>#NAME?</v>
      </c>
    </row>
    <row r="1807" spans="1:6">
      <c r="A1807" s="11"/>
      <c r="B1807" s="12"/>
      <c r="C1807" s="11"/>
      <c r="D1807" s="13"/>
      <c r="E1807" s="11"/>
      <c r="F1807" t="e">
        <f t="array" ref="F1807">PROFEXHyperlinkAddress(B1807:B1807)</f>
        <v>#NAME?</v>
      </c>
    </row>
    <row r="1808" ht="57.75" spans="1:6">
      <c r="A1808" s="11"/>
      <c r="B1808" s="14" t="s">
        <v>21</v>
      </c>
      <c r="C1808" s="11"/>
      <c r="D1808" s="13"/>
      <c r="E1808" s="11"/>
      <c r="F1808" t="e">
        <f t="array" ref="F1808">PROFEXHyperlinkAddress(B1808:B1808)</f>
        <v>#NAME?</v>
      </c>
    </row>
    <row r="1809" spans="1:6">
      <c r="A1809" s="11"/>
      <c r="B1809" s="12"/>
      <c r="C1809" s="11"/>
      <c r="D1809" s="13"/>
      <c r="E1809" s="11"/>
      <c r="F1809" t="e">
        <f t="array" ref="F1809">PROFEXHyperlinkAddress(B1809:B1809)</f>
        <v>#NAME?</v>
      </c>
    </row>
    <row r="1810" ht="25.5" spans="1:6">
      <c r="A1810" s="15"/>
      <c r="B1810" s="14" t="s">
        <v>665</v>
      </c>
      <c r="C1810" s="15"/>
      <c r="D1810" s="16"/>
      <c r="E1810" s="15"/>
      <c r="F1810" t="e">
        <f t="array" ref="F1810">PROFEXHyperlinkAddress(B1810:B1810)</f>
        <v>#NAME?</v>
      </c>
    </row>
    <row r="1811" ht="150" spans="1:6">
      <c r="A1811" s="17">
        <v>4924097</v>
      </c>
      <c r="B1811" s="18" t="s">
        <v>666</v>
      </c>
      <c r="C1811" s="17" t="s">
        <v>1</v>
      </c>
      <c r="D1811" s="19" t="s">
        <v>2</v>
      </c>
      <c r="E1811" s="17" t="s">
        <v>93</v>
      </c>
      <c r="F1811" t="e">
        <f t="array" ref="F1811">PROFEXHyperlinkAddress(B1811:B1811)</f>
        <v>#NAME?</v>
      </c>
    </row>
    <row r="1812" spans="1:6">
      <c r="A1812" s="11"/>
      <c r="B1812" s="12"/>
      <c r="C1812" s="11"/>
      <c r="D1812" s="13"/>
      <c r="E1812" s="11"/>
      <c r="F1812" t="e">
        <f t="array" ref="F1812">PROFEXHyperlinkAddress(B1812:B1812)</f>
        <v>#NAME?</v>
      </c>
    </row>
    <row r="1813" ht="57.75" spans="1:6">
      <c r="A1813" s="11"/>
      <c r="B1813" s="14" t="s">
        <v>21</v>
      </c>
      <c r="C1813" s="11"/>
      <c r="D1813" s="13"/>
      <c r="E1813" s="11"/>
      <c r="F1813" t="e">
        <f t="array" ref="F1813">PROFEXHyperlinkAddress(B1813:B1813)</f>
        <v>#NAME?</v>
      </c>
    </row>
    <row r="1814" spans="1:6">
      <c r="A1814" s="11"/>
      <c r="B1814" s="12"/>
      <c r="C1814" s="11"/>
      <c r="D1814" s="13"/>
      <c r="E1814" s="11"/>
      <c r="F1814" t="e">
        <f t="array" ref="F1814">PROFEXHyperlinkAddress(B1814:B1814)</f>
        <v>#NAME?</v>
      </c>
    </row>
    <row r="1815" ht="25.5" spans="1:6">
      <c r="A1815" s="15"/>
      <c r="B1815" s="14" t="s">
        <v>5</v>
      </c>
      <c r="C1815" s="15"/>
      <c r="D1815" s="16"/>
      <c r="E1815" s="15"/>
      <c r="F1815" t="e">
        <f t="array" ref="F1815">PROFEXHyperlinkAddress(B1815:B1815)</f>
        <v>#NAME?</v>
      </c>
    </row>
    <row r="1816" ht="120" spans="1:6">
      <c r="A1816" s="17">
        <v>4923097</v>
      </c>
      <c r="B1816" s="18" t="s">
        <v>667</v>
      </c>
      <c r="C1816" s="17" t="s">
        <v>1</v>
      </c>
      <c r="D1816" s="19" t="s">
        <v>2</v>
      </c>
      <c r="E1816" s="17" t="s">
        <v>668</v>
      </c>
      <c r="F1816" t="e">
        <f t="array" ref="F1816">PROFEXHyperlinkAddress(B1816:B1816)</f>
        <v>#NAME?</v>
      </c>
    </row>
    <row r="1817" spans="1:6">
      <c r="A1817" s="11"/>
      <c r="B1817" s="12"/>
      <c r="C1817" s="11"/>
      <c r="D1817" s="13"/>
      <c r="E1817" s="11"/>
      <c r="F1817" t="e">
        <f t="array" ref="F1817">PROFEXHyperlinkAddress(B1817:B1817)</f>
        <v>#NAME?</v>
      </c>
    </row>
    <row r="1818" ht="57.75" spans="1:6">
      <c r="A1818" s="11"/>
      <c r="B1818" s="14" t="s">
        <v>21</v>
      </c>
      <c r="C1818" s="11"/>
      <c r="D1818" s="13"/>
      <c r="E1818" s="11"/>
      <c r="F1818" t="e">
        <f t="array" ref="F1818">PROFEXHyperlinkAddress(B1818:B1818)</f>
        <v>#NAME?</v>
      </c>
    </row>
    <row r="1819" spans="1:6">
      <c r="A1819" s="11"/>
      <c r="B1819" s="12"/>
      <c r="C1819" s="11"/>
      <c r="D1819" s="13"/>
      <c r="E1819" s="11"/>
      <c r="F1819" t="e">
        <f t="array" ref="F1819">PROFEXHyperlinkAddress(B1819:B1819)</f>
        <v>#NAME?</v>
      </c>
    </row>
    <row r="1820" ht="25.5" spans="1:6">
      <c r="A1820" s="15"/>
      <c r="B1820" s="14" t="s">
        <v>669</v>
      </c>
      <c r="C1820" s="15"/>
      <c r="D1820" s="16"/>
      <c r="E1820" s="15"/>
      <c r="F1820" t="e">
        <f t="array" ref="F1820">PROFEXHyperlinkAddress(B1820:B1820)</f>
        <v>#NAME?</v>
      </c>
    </row>
    <row r="1821" ht="150" spans="1:6">
      <c r="A1821" s="17">
        <v>4922097</v>
      </c>
      <c r="B1821" s="18" t="s">
        <v>670</v>
      </c>
      <c r="C1821" s="17" t="s">
        <v>1</v>
      </c>
      <c r="D1821" s="19" t="s">
        <v>2</v>
      </c>
      <c r="E1821" s="17" t="s">
        <v>671</v>
      </c>
      <c r="F1821" t="e">
        <f t="array" ref="F1821">PROFEXHyperlinkAddress(B1821:B1821)</f>
        <v>#NAME?</v>
      </c>
    </row>
    <row r="1822" spans="1:6">
      <c r="A1822" s="11"/>
      <c r="B1822" s="12"/>
      <c r="C1822" s="11"/>
      <c r="D1822" s="13"/>
      <c r="E1822" s="11"/>
      <c r="F1822" t="e">
        <f t="array" ref="F1822">PROFEXHyperlinkAddress(B1822:B1822)</f>
        <v>#NAME?</v>
      </c>
    </row>
    <row r="1823" ht="57.75" spans="1:6">
      <c r="A1823" s="11"/>
      <c r="B1823" s="14" t="s">
        <v>21</v>
      </c>
      <c r="C1823" s="11"/>
      <c r="D1823" s="13"/>
      <c r="E1823" s="11"/>
      <c r="F1823" t="e">
        <f t="array" ref="F1823">PROFEXHyperlinkAddress(B1823:B1823)</f>
        <v>#NAME?</v>
      </c>
    </row>
    <row r="1824" spans="1:6">
      <c r="A1824" s="11"/>
      <c r="B1824" s="12"/>
      <c r="C1824" s="11"/>
      <c r="D1824" s="13"/>
      <c r="E1824" s="11"/>
      <c r="F1824" t="e">
        <f t="array" ref="F1824">PROFEXHyperlinkAddress(B1824:B1824)</f>
        <v>#NAME?</v>
      </c>
    </row>
    <row r="1825" ht="25.5" spans="1:6">
      <c r="A1825" s="15"/>
      <c r="B1825" s="14" t="s">
        <v>672</v>
      </c>
      <c r="C1825" s="15"/>
      <c r="D1825" s="16"/>
      <c r="E1825" s="15"/>
      <c r="F1825" t="e">
        <f t="array" ref="F1825">PROFEXHyperlinkAddress(B1825:B1825)</f>
        <v>#NAME?</v>
      </c>
    </row>
    <row r="1826" ht="120" spans="1:6">
      <c r="A1826" s="17">
        <v>4921097</v>
      </c>
      <c r="B1826" s="18" t="s">
        <v>673</v>
      </c>
      <c r="C1826" s="17" t="s">
        <v>1</v>
      </c>
      <c r="D1826" s="19" t="s">
        <v>2</v>
      </c>
      <c r="E1826" s="17" t="s">
        <v>674</v>
      </c>
      <c r="F1826" t="e">
        <f t="array" ref="F1826">PROFEXHyperlinkAddress(B1826:B1826)</f>
        <v>#NAME?</v>
      </c>
    </row>
    <row r="1827" spans="1:6">
      <c r="A1827" s="11"/>
      <c r="B1827" s="12"/>
      <c r="C1827" s="11"/>
      <c r="D1827" s="13"/>
      <c r="E1827" s="11"/>
      <c r="F1827" t="e">
        <f t="array" ref="F1827">PROFEXHyperlinkAddress(B1827:B1827)</f>
        <v>#NAME?</v>
      </c>
    </row>
    <row r="1828" ht="57.75" spans="1:6">
      <c r="A1828" s="11"/>
      <c r="B1828" s="14" t="s">
        <v>21</v>
      </c>
      <c r="C1828" s="11"/>
      <c r="D1828" s="13"/>
      <c r="E1828" s="11"/>
      <c r="F1828" t="e">
        <f t="array" ref="F1828">PROFEXHyperlinkAddress(B1828:B1828)</f>
        <v>#NAME?</v>
      </c>
    </row>
    <row r="1829" spans="1:6">
      <c r="A1829" s="11"/>
      <c r="B1829" s="12"/>
      <c r="C1829" s="11"/>
      <c r="D1829" s="13"/>
      <c r="E1829" s="11"/>
      <c r="F1829" t="e">
        <f t="array" ref="F1829">PROFEXHyperlinkAddress(B1829:B1829)</f>
        <v>#NAME?</v>
      </c>
    </row>
    <row r="1830" ht="25.5" spans="1:6">
      <c r="A1830" s="15"/>
      <c r="B1830" s="14" t="s">
        <v>675</v>
      </c>
      <c r="C1830" s="15"/>
      <c r="D1830" s="16"/>
      <c r="E1830" s="15"/>
      <c r="F1830" t="e">
        <f t="array" ref="F1830">PROFEXHyperlinkAddress(B1830:B1830)</f>
        <v>#NAME?</v>
      </c>
    </row>
    <row r="1831" ht="90" spans="1:6">
      <c r="A1831" s="17">
        <v>4919097</v>
      </c>
      <c r="B1831" s="18" t="s">
        <v>676</v>
      </c>
      <c r="C1831" s="17" t="s">
        <v>1</v>
      </c>
      <c r="D1831" s="19" t="s">
        <v>2</v>
      </c>
      <c r="E1831" s="17" t="s">
        <v>107</v>
      </c>
      <c r="F1831" t="e">
        <f t="array" ref="F1831">PROFEXHyperlinkAddress(B1831:B1831)</f>
        <v>#NAME?</v>
      </c>
    </row>
    <row r="1832" spans="1:6">
      <c r="A1832" s="11"/>
      <c r="B1832" s="12"/>
      <c r="C1832" s="11"/>
      <c r="D1832" s="13"/>
      <c r="E1832" s="11"/>
      <c r="F1832" t="e">
        <f t="array" ref="F1832">PROFEXHyperlinkAddress(B1832:B1832)</f>
        <v>#NAME?</v>
      </c>
    </row>
    <row r="1833" ht="57.75" spans="1:6">
      <c r="A1833" s="11"/>
      <c r="B1833" s="14" t="s">
        <v>16</v>
      </c>
      <c r="C1833" s="11"/>
      <c r="D1833" s="13"/>
      <c r="E1833" s="11"/>
      <c r="F1833" t="e">
        <f t="array" ref="F1833">PROFEXHyperlinkAddress(B1833:B1833)</f>
        <v>#NAME?</v>
      </c>
    </row>
    <row r="1834" spans="1:6">
      <c r="A1834" s="11"/>
      <c r="B1834" s="12"/>
      <c r="C1834" s="11"/>
      <c r="D1834" s="13"/>
      <c r="E1834" s="11"/>
      <c r="F1834" t="e">
        <f t="array" ref="F1834">PROFEXHyperlinkAddress(B1834:B1834)</f>
        <v>#NAME?</v>
      </c>
    </row>
    <row r="1835" ht="25.5" spans="1:6">
      <c r="A1835" s="15"/>
      <c r="B1835" s="14" t="s">
        <v>5</v>
      </c>
      <c r="C1835" s="15"/>
      <c r="D1835" s="16"/>
      <c r="E1835" s="15"/>
      <c r="F1835" t="e">
        <f t="array" ref="F1835">PROFEXHyperlinkAddress(B1835:B1835)</f>
        <v>#NAME?</v>
      </c>
    </row>
    <row r="1836" ht="409.5" spans="1:6">
      <c r="A1836" s="17">
        <v>4915097</v>
      </c>
      <c r="B1836" s="18" t="s">
        <v>677</v>
      </c>
      <c r="C1836" s="17" t="s">
        <v>1</v>
      </c>
      <c r="D1836" s="19" t="s">
        <v>2</v>
      </c>
      <c r="E1836" s="17" t="s">
        <v>678</v>
      </c>
      <c r="F1836" t="e">
        <f t="array" ref="F1836">PROFEXHyperlinkAddress(B1836:B1836)</f>
        <v>#NAME?</v>
      </c>
    </row>
    <row r="1837" spans="1:6">
      <c r="A1837" s="11"/>
      <c r="B1837" s="12"/>
      <c r="C1837" s="11"/>
      <c r="D1837" s="13"/>
      <c r="E1837" s="11"/>
      <c r="F1837" t="e">
        <f t="array" ref="F1837">PROFEXHyperlinkAddress(B1837:B1837)</f>
        <v>#NAME?</v>
      </c>
    </row>
    <row r="1838" ht="49.5" spans="1:6">
      <c r="A1838" s="11"/>
      <c r="B1838" s="14" t="s">
        <v>78</v>
      </c>
      <c r="C1838" s="11"/>
      <c r="D1838" s="13"/>
      <c r="E1838" s="11"/>
      <c r="F1838" t="e">
        <f t="array" ref="F1838">PROFEXHyperlinkAddress(B1838:B1838)</f>
        <v>#NAME?</v>
      </c>
    </row>
    <row r="1839" spans="1:6">
      <c r="A1839" s="11"/>
      <c r="B1839" s="12"/>
      <c r="C1839" s="11"/>
      <c r="D1839" s="13"/>
      <c r="E1839" s="11"/>
      <c r="F1839" t="e">
        <f t="array" ref="F1839">PROFEXHyperlinkAddress(B1839:B1839)</f>
        <v>#NAME?</v>
      </c>
    </row>
    <row r="1840" ht="25.5" spans="1:6">
      <c r="A1840" s="15"/>
      <c r="B1840" s="14" t="s">
        <v>679</v>
      </c>
      <c r="C1840" s="15"/>
      <c r="D1840" s="16"/>
      <c r="E1840" s="15"/>
      <c r="F1840" t="e">
        <f t="array" ref="F1840">PROFEXHyperlinkAddress(B1840:B1840)</f>
        <v>#NAME?</v>
      </c>
    </row>
    <row r="1841" ht="375" spans="1:6">
      <c r="A1841" s="17">
        <v>4914097</v>
      </c>
      <c r="B1841" s="18" t="s">
        <v>680</v>
      </c>
      <c r="C1841" s="17" t="s">
        <v>1</v>
      </c>
      <c r="D1841" s="19" t="s">
        <v>2</v>
      </c>
      <c r="E1841" s="17" t="s">
        <v>681</v>
      </c>
      <c r="F1841" t="e">
        <f t="array" ref="F1841">PROFEXHyperlinkAddress(B1841:B1841)</f>
        <v>#NAME?</v>
      </c>
    </row>
    <row r="1842" spans="1:6">
      <c r="A1842" s="11"/>
      <c r="B1842" s="12"/>
      <c r="C1842" s="11"/>
      <c r="D1842" s="13"/>
      <c r="E1842" s="11"/>
      <c r="F1842" t="e">
        <f t="array" ref="F1842">PROFEXHyperlinkAddress(B1842:B1842)</f>
        <v>#NAME?</v>
      </c>
    </row>
    <row r="1843" ht="49.5" spans="1:6">
      <c r="A1843" s="11"/>
      <c r="B1843" s="14" t="s">
        <v>78</v>
      </c>
      <c r="C1843" s="11"/>
      <c r="D1843" s="13"/>
      <c r="E1843" s="11"/>
      <c r="F1843" t="e">
        <f t="array" ref="F1843">PROFEXHyperlinkAddress(B1843:B1843)</f>
        <v>#NAME?</v>
      </c>
    </row>
    <row r="1844" spans="1:6">
      <c r="A1844" s="11"/>
      <c r="B1844" s="12"/>
      <c r="C1844" s="11"/>
      <c r="D1844" s="13"/>
      <c r="E1844" s="11"/>
      <c r="F1844" t="e">
        <f t="array" ref="F1844">PROFEXHyperlinkAddress(B1844:B1844)</f>
        <v>#NAME?</v>
      </c>
    </row>
    <row r="1845" ht="25.5" spans="1:6">
      <c r="A1845" s="15"/>
      <c r="B1845" s="14" t="s">
        <v>5</v>
      </c>
      <c r="C1845" s="15"/>
      <c r="D1845" s="16"/>
      <c r="E1845" s="15"/>
      <c r="F1845" t="e">
        <f t="array" ref="F1845">PROFEXHyperlinkAddress(B1845:B1845)</f>
        <v>#NAME?</v>
      </c>
    </row>
    <row r="1846" ht="180" spans="1:6">
      <c r="A1846" s="17">
        <v>4913097</v>
      </c>
      <c r="B1846" s="18" t="s">
        <v>682</v>
      </c>
      <c r="C1846" s="17" t="s">
        <v>1</v>
      </c>
      <c r="D1846" s="19" t="s">
        <v>76</v>
      </c>
      <c r="E1846" s="17" t="s">
        <v>296</v>
      </c>
      <c r="F1846" t="e">
        <f t="array" ref="F1846">PROFEXHyperlinkAddress(B1846:B1846)</f>
        <v>#NAME?</v>
      </c>
    </row>
    <row r="1847" spans="1:6">
      <c r="A1847" s="11"/>
      <c r="B1847" s="12"/>
      <c r="C1847" s="11"/>
      <c r="D1847" s="13"/>
      <c r="E1847" s="11"/>
      <c r="F1847" t="e">
        <f t="array" ref="F1847">PROFEXHyperlinkAddress(B1847:B1847)</f>
        <v>#NAME?</v>
      </c>
    </row>
    <row r="1848" ht="49.5" spans="1:6">
      <c r="A1848" s="11"/>
      <c r="B1848" s="14" t="s">
        <v>78</v>
      </c>
      <c r="C1848" s="11"/>
      <c r="D1848" s="13"/>
      <c r="E1848" s="11"/>
      <c r="F1848" t="e">
        <f t="array" ref="F1848">PROFEXHyperlinkAddress(B1848:B1848)</f>
        <v>#NAME?</v>
      </c>
    </row>
    <row r="1849" spans="1:6">
      <c r="A1849" s="11"/>
      <c r="B1849" s="12"/>
      <c r="C1849" s="11"/>
      <c r="D1849" s="13"/>
      <c r="E1849" s="11"/>
      <c r="F1849" t="e">
        <f t="array" ref="F1849">PROFEXHyperlinkAddress(B1849:B1849)</f>
        <v>#NAME?</v>
      </c>
    </row>
    <row r="1850" ht="25.5" spans="1:6">
      <c r="A1850" s="15"/>
      <c r="B1850" s="14" t="s">
        <v>5</v>
      </c>
      <c r="C1850" s="15"/>
      <c r="D1850" s="16"/>
      <c r="E1850" s="15"/>
      <c r="F1850" t="e">
        <f t="array" ref="F1850">PROFEXHyperlinkAddress(B1850:B1850)</f>
        <v>#NAME?</v>
      </c>
    </row>
    <row r="1851" ht="375" spans="1:6">
      <c r="A1851" s="17">
        <v>4912097</v>
      </c>
      <c r="B1851" s="18" t="s">
        <v>683</v>
      </c>
      <c r="C1851" s="17" t="s">
        <v>1</v>
      </c>
      <c r="D1851" s="19" t="s">
        <v>2</v>
      </c>
      <c r="E1851" s="17" t="s">
        <v>684</v>
      </c>
      <c r="F1851" t="e">
        <f t="array" ref="F1851">PROFEXHyperlinkAddress(B1851:B1851)</f>
        <v>#NAME?</v>
      </c>
    </row>
    <row r="1852" spans="1:6">
      <c r="A1852" s="11"/>
      <c r="B1852" s="12"/>
      <c r="C1852" s="11"/>
      <c r="D1852" s="13"/>
      <c r="E1852" s="11"/>
      <c r="F1852" t="e">
        <f t="array" ref="F1852">PROFEXHyperlinkAddress(B1852:B1852)</f>
        <v>#NAME?</v>
      </c>
    </row>
    <row r="1853" ht="49.5" spans="1:6">
      <c r="A1853" s="11"/>
      <c r="B1853" s="14" t="s">
        <v>78</v>
      </c>
      <c r="C1853" s="11"/>
      <c r="D1853" s="13"/>
      <c r="E1853" s="11"/>
      <c r="F1853" t="e">
        <f t="array" ref="F1853">PROFEXHyperlinkAddress(B1853:B1853)</f>
        <v>#NAME?</v>
      </c>
    </row>
    <row r="1854" spans="1:6">
      <c r="A1854" s="11"/>
      <c r="B1854" s="12"/>
      <c r="C1854" s="11"/>
      <c r="D1854" s="13"/>
      <c r="E1854" s="11"/>
      <c r="F1854" t="e">
        <f t="array" ref="F1854">PROFEXHyperlinkAddress(B1854:B1854)</f>
        <v>#NAME?</v>
      </c>
    </row>
    <row r="1855" ht="25.5" spans="1:6">
      <c r="A1855" s="15"/>
      <c r="B1855" s="14" t="s">
        <v>5</v>
      </c>
      <c r="C1855" s="15"/>
      <c r="D1855" s="16"/>
      <c r="E1855" s="15"/>
      <c r="F1855" t="e">
        <f t="array" ref="F1855">PROFEXHyperlinkAddress(B1855:B1855)</f>
        <v>#NAME?</v>
      </c>
    </row>
    <row r="1856" ht="210" spans="1:6">
      <c r="A1856" s="17">
        <v>4910097</v>
      </c>
      <c r="B1856" s="18" t="s">
        <v>685</v>
      </c>
      <c r="C1856" s="17" t="s">
        <v>1</v>
      </c>
      <c r="D1856" s="19" t="s">
        <v>2</v>
      </c>
      <c r="E1856" s="17" t="s">
        <v>578</v>
      </c>
      <c r="F1856" t="e">
        <f t="array" ref="F1856">PROFEXHyperlinkAddress(B1856:B1856)</f>
        <v>#NAME?</v>
      </c>
    </row>
    <row r="1857" spans="1:6">
      <c r="A1857" s="11"/>
      <c r="B1857" s="12"/>
      <c r="C1857" s="11"/>
      <c r="D1857" s="13"/>
      <c r="E1857" s="11"/>
      <c r="F1857" t="e">
        <f t="array" ref="F1857">PROFEXHyperlinkAddress(B1857:B1857)</f>
        <v>#NAME?</v>
      </c>
    </row>
    <row r="1858" ht="49.5" spans="1:6">
      <c r="A1858" s="11"/>
      <c r="B1858" s="14" t="s">
        <v>78</v>
      </c>
      <c r="C1858" s="11"/>
      <c r="D1858" s="13"/>
      <c r="E1858" s="11"/>
      <c r="F1858" t="e">
        <f t="array" ref="F1858">PROFEXHyperlinkAddress(B1858:B1858)</f>
        <v>#NAME?</v>
      </c>
    </row>
    <row r="1859" spans="1:6">
      <c r="A1859" s="11"/>
      <c r="B1859" s="12"/>
      <c r="C1859" s="11"/>
      <c r="D1859" s="13"/>
      <c r="E1859" s="11"/>
      <c r="F1859" t="e">
        <f t="array" ref="F1859">PROFEXHyperlinkAddress(B1859:B1859)</f>
        <v>#NAME?</v>
      </c>
    </row>
    <row r="1860" ht="25.5" spans="1:6">
      <c r="A1860" s="15"/>
      <c r="B1860" s="14" t="s">
        <v>5</v>
      </c>
      <c r="C1860" s="15"/>
      <c r="D1860" s="16"/>
      <c r="E1860" s="15"/>
      <c r="F1860" t="e">
        <f t="array" ref="F1860">PROFEXHyperlinkAddress(B1860:B1860)</f>
        <v>#NAME?</v>
      </c>
    </row>
    <row r="1861" ht="345" spans="1:6">
      <c r="A1861" s="17">
        <v>4909097</v>
      </c>
      <c r="B1861" s="18" t="s">
        <v>686</v>
      </c>
      <c r="C1861" s="17" t="s">
        <v>1</v>
      </c>
      <c r="D1861" s="19" t="s">
        <v>2</v>
      </c>
      <c r="E1861" s="17" t="s">
        <v>460</v>
      </c>
      <c r="F1861" t="e">
        <f t="array" ref="F1861">PROFEXHyperlinkAddress(B1861:B1861)</f>
        <v>#NAME?</v>
      </c>
    </row>
    <row r="1862" spans="1:6">
      <c r="A1862" s="11"/>
      <c r="B1862" s="12"/>
      <c r="C1862" s="11"/>
      <c r="D1862" s="13"/>
      <c r="E1862" s="11"/>
      <c r="F1862" t="e">
        <f t="array" ref="F1862">PROFEXHyperlinkAddress(B1862:B1862)</f>
        <v>#NAME?</v>
      </c>
    </row>
    <row r="1863" ht="49.5" spans="1:6">
      <c r="A1863" s="11"/>
      <c r="B1863" s="14" t="s">
        <v>78</v>
      </c>
      <c r="C1863" s="11"/>
      <c r="D1863" s="13"/>
      <c r="E1863" s="11"/>
      <c r="F1863" t="e">
        <f t="array" ref="F1863">PROFEXHyperlinkAddress(B1863:B1863)</f>
        <v>#NAME?</v>
      </c>
    </row>
    <row r="1864" spans="1:6">
      <c r="A1864" s="11"/>
      <c r="B1864" s="12"/>
      <c r="C1864" s="11"/>
      <c r="D1864" s="13"/>
      <c r="E1864" s="11"/>
      <c r="F1864" t="e">
        <f t="array" ref="F1864">PROFEXHyperlinkAddress(B1864:B1864)</f>
        <v>#NAME?</v>
      </c>
    </row>
    <row r="1865" ht="25.5" spans="1:6">
      <c r="A1865" s="15"/>
      <c r="B1865" s="14" t="s">
        <v>5</v>
      </c>
      <c r="C1865" s="15"/>
      <c r="D1865" s="16"/>
      <c r="E1865" s="15"/>
      <c r="F1865" t="e">
        <f t="array" ref="F1865">PROFEXHyperlinkAddress(B1865:B1865)</f>
        <v>#NAME?</v>
      </c>
    </row>
    <row r="1866" ht="150" spans="1:6">
      <c r="A1866" s="17">
        <v>4903097</v>
      </c>
      <c r="B1866" s="18" t="s">
        <v>687</v>
      </c>
      <c r="C1866" s="17" t="s">
        <v>1</v>
      </c>
      <c r="D1866" s="19" t="s">
        <v>7</v>
      </c>
      <c r="E1866" s="17" t="s">
        <v>574</v>
      </c>
      <c r="F1866" t="e">
        <f t="array" ref="F1866">PROFEXHyperlinkAddress(B1866:B1866)</f>
        <v>#NAME?</v>
      </c>
    </row>
    <row r="1867" spans="1:6">
      <c r="A1867" s="11"/>
      <c r="B1867" s="12"/>
      <c r="C1867" s="11"/>
      <c r="D1867" s="13"/>
      <c r="E1867" s="11"/>
      <c r="F1867" t="e">
        <f t="array" ref="F1867">PROFEXHyperlinkAddress(B1867:B1867)</f>
        <v>#NAME?</v>
      </c>
    </row>
    <row r="1868" ht="57.75" spans="1:6">
      <c r="A1868" s="11"/>
      <c r="B1868" s="14" t="s">
        <v>16</v>
      </c>
      <c r="C1868" s="11"/>
      <c r="D1868" s="13"/>
      <c r="E1868" s="11"/>
      <c r="F1868" t="e">
        <f t="array" ref="F1868">PROFEXHyperlinkAddress(B1868:B1868)</f>
        <v>#NAME?</v>
      </c>
    </row>
    <row r="1869" spans="1:6">
      <c r="A1869" s="11"/>
      <c r="B1869" s="12"/>
      <c r="C1869" s="11"/>
      <c r="D1869" s="13"/>
      <c r="E1869" s="11"/>
      <c r="F1869" t="e">
        <f t="array" ref="F1869">PROFEXHyperlinkAddress(B1869:B1869)</f>
        <v>#NAME?</v>
      </c>
    </row>
    <row r="1870" ht="25.5" spans="1:6">
      <c r="A1870" s="15"/>
      <c r="B1870" s="14" t="s">
        <v>5</v>
      </c>
      <c r="C1870" s="15"/>
      <c r="D1870" s="16"/>
      <c r="E1870" s="15"/>
      <c r="F1870" t="e">
        <f t="array" ref="F1870">PROFEXHyperlinkAddress(B1870:B1870)</f>
        <v>#NAME?</v>
      </c>
    </row>
    <row r="1871" ht="165" spans="1:6">
      <c r="A1871" s="17">
        <v>4901097</v>
      </c>
      <c r="B1871" s="18" t="s">
        <v>688</v>
      </c>
      <c r="C1871" s="17" t="s">
        <v>1</v>
      </c>
      <c r="D1871" s="19" t="s">
        <v>76</v>
      </c>
      <c r="E1871" s="17" t="s">
        <v>294</v>
      </c>
      <c r="F1871" t="e">
        <f t="array" ref="F1871">PROFEXHyperlinkAddress(B1871:B1871)</f>
        <v>#NAME?</v>
      </c>
    </row>
    <row r="1872" spans="1:6">
      <c r="A1872" s="11"/>
      <c r="B1872" s="12"/>
      <c r="C1872" s="11"/>
      <c r="D1872" s="13"/>
      <c r="E1872" s="11"/>
      <c r="F1872" t="e">
        <f t="array" ref="F1872">PROFEXHyperlinkAddress(B1872:B1872)</f>
        <v>#NAME?</v>
      </c>
    </row>
    <row r="1873" ht="49.5" spans="1:6">
      <c r="A1873" s="11"/>
      <c r="B1873" s="14" t="s">
        <v>78</v>
      </c>
      <c r="C1873" s="11"/>
      <c r="D1873" s="13"/>
      <c r="E1873" s="11"/>
      <c r="F1873" t="e">
        <f t="array" ref="F1873">PROFEXHyperlinkAddress(B1873:B1873)</f>
        <v>#NAME?</v>
      </c>
    </row>
    <row r="1874" spans="1:6">
      <c r="A1874" s="11"/>
      <c r="B1874" s="12"/>
      <c r="C1874" s="11"/>
      <c r="D1874" s="13"/>
      <c r="E1874" s="11"/>
      <c r="F1874" t="e">
        <f t="array" ref="F1874">PROFEXHyperlinkAddress(B1874:B1874)</f>
        <v>#NAME?</v>
      </c>
    </row>
    <row r="1875" ht="25.5" spans="1:6">
      <c r="A1875" s="15"/>
      <c r="B1875" s="14" t="s">
        <v>5</v>
      </c>
      <c r="C1875" s="15"/>
      <c r="D1875" s="16"/>
      <c r="E1875" s="15"/>
      <c r="F1875" t="e">
        <f t="array" ref="F1875">PROFEXHyperlinkAddress(B1875:B1875)</f>
        <v>#NAME?</v>
      </c>
    </row>
    <row r="1876" ht="195" spans="1:6">
      <c r="A1876" s="17">
        <v>4900097</v>
      </c>
      <c r="B1876" s="18" t="s">
        <v>689</v>
      </c>
      <c r="C1876" s="17" t="s">
        <v>1</v>
      </c>
      <c r="D1876" s="19" t="s">
        <v>2</v>
      </c>
      <c r="E1876" s="17" t="s">
        <v>690</v>
      </c>
      <c r="F1876" t="e">
        <f t="array" ref="F1876">PROFEXHyperlinkAddress(B1876:B1876)</f>
        <v>#NAME?</v>
      </c>
    </row>
    <row r="1877" spans="1:6">
      <c r="A1877" s="11"/>
      <c r="B1877" s="12"/>
      <c r="C1877" s="11"/>
      <c r="D1877" s="13"/>
      <c r="E1877" s="11"/>
      <c r="F1877" t="e">
        <f t="array" ref="F1877">PROFEXHyperlinkAddress(B1877:B1877)</f>
        <v>#NAME?</v>
      </c>
    </row>
    <row r="1878" ht="49.5" spans="1:6">
      <c r="A1878" s="11"/>
      <c r="B1878" s="14" t="s">
        <v>78</v>
      </c>
      <c r="C1878" s="11"/>
      <c r="D1878" s="13"/>
      <c r="E1878" s="11"/>
      <c r="F1878" t="e">
        <f t="array" ref="F1878">PROFEXHyperlinkAddress(B1878:B1878)</f>
        <v>#NAME?</v>
      </c>
    </row>
    <row r="1879" spans="1:6">
      <c r="A1879" s="11"/>
      <c r="B1879" s="12"/>
      <c r="C1879" s="11"/>
      <c r="D1879" s="13"/>
      <c r="E1879" s="11"/>
      <c r="F1879" t="e">
        <f t="array" ref="F1879">PROFEXHyperlinkAddress(B1879:B1879)</f>
        <v>#NAME?</v>
      </c>
    </row>
    <row r="1880" ht="25.5" spans="1:6">
      <c r="A1880" s="15"/>
      <c r="B1880" s="14" t="s">
        <v>5</v>
      </c>
      <c r="C1880" s="15"/>
      <c r="D1880" s="16"/>
      <c r="E1880" s="15"/>
      <c r="F1880" t="e">
        <f t="array" ref="F1880">PROFEXHyperlinkAddress(B1880:B1880)</f>
        <v>#NAME?</v>
      </c>
    </row>
    <row r="1881" ht="315" spans="1:6">
      <c r="A1881" s="17">
        <v>4898097</v>
      </c>
      <c r="B1881" s="18" t="s">
        <v>691</v>
      </c>
      <c r="C1881" s="17" t="s">
        <v>1</v>
      </c>
      <c r="D1881" s="19" t="s">
        <v>2</v>
      </c>
      <c r="E1881" s="17" t="s">
        <v>692</v>
      </c>
      <c r="F1881" t="e">
        <f t="array" ref="F1881">PROFEXHyperlinkAddress(B1881:B1881)</f>
        <v>#NAME?</v>
      </c>
    </row>
    <row r="1882" spans="1:6">
      <c r="A1882" s="11"/>
      <c r="B1882" s="12"/>
      <c r="C1882" s="11"/>
      <c r="D1882" s="13"/>
      <c r="E1882" s="11"/>
      <c r="F1882" t="e">
        <f t="array" ref="F1882">PROFEXHyperlinkAddress(B1882:B1882)</f>
        <v>#NAME?</v>
      </c>
    </row>
    <row r="1883" ht="49.5" spans="1:6">
      <c r="A1883" s="11"/>
      <c r="B1883" s="14" t="s">
        <v>78</v>
      </c>
      <c r="C1883" s="11"/>
      <c r="D1883" s="13"/>
      <c r="E1883" s="11"/>
      <c r="F1883" t="e">
        <f t="array" ref="F1883">PROFEXHyperlinkAddress(B1883:B1883)</f>
        <v>#NAME?</v>
      </c>
    </row>
    <row r="1884" spans="1:6">
      <c r="A1884" s="11"/>
      <c r="B1884" s="12"/>
      <c r="C1884" s="11"/>
      <c r="D1884" s="13"/>
      <c r="E1884" s="11"/>
      <c r="F1884" t="e">
        <f t="array" ref="F1884">PROFEXHyperlinkAddress(B1884:B1884)</f>
        <v>#NAME?</v>
      </c>
    </row>
    <row r="1885" ht="25.5" spans="1:6">
      <c r="A1885" s="15"/>
      <c r="B1885" s="14" t="s">
        <v>5</v>
      </c>
      <c r="C1885" s="15"/>
      <c r="D1885" s="16"/>
      <c r="E1885" s="15"/>
      <c r="F1885" t="e">
        <f t="array" ref="F1885">PROFEXHyperlinkAddress(B1885:B1885)</f>
        <v>#NAME?</v>
      </c>
    </row>
    <row r="1886" ht="120" spans="1:6">
      <c r="A1886" s="17">
        <v>4897097</v>
      </c>
      <c r="B1886" s="18" t="s">
        <v>693</v>
      </c>
      <c r="C1886" s="17" t="s">
        <v>1</v>
      </c>
      <c r="D1886" s="19" t="s">
        <v>2</v>
      </c>
      <c r="E1886" s="17" t="s">
        <v>694</v>
      </c>
      <c r="F1886" t="e">
        <f t="array" ref="F1886">PROFEXHyperlinkAddress(B1886:B1886)</f>
        <v>#NAME?</v>
      </c>
    </row>
    <row r="1887" spans="1:6">
      <c r="A1887" s="11"/>
      <c r="B1887" s="12"/>
      <c r="C1887" s="11"/>
      <c r="D1887" s="13"/>
      <c r="E1887" s="11"/>
      <c r="F1887" t="e">
        <f t="array" ref="F1887">PROFEXHyperlinkAddress(B1887:B1887)</f>
        <v>#NAME?</v>
      </c>
    </row>
    <row r="1888" ht="49.5" spans="1:6">
      <c r="A1888" s="11"/>
      <c r="B1888" s="14" t="s">
        <v>78</v>
      </c>
      <c r="C1888" s="11"/>
      <c r="D1888" s="13"/>
      <c r="E1888" s="11"/>
      <c r="F1888" t="e">
        <f t="array" ref="F1888">PROFEXHyperlinkAddress(B1888:B1888)</f>
        <v>#NAME?</v>
      </c>
    </row>
    <row r="1889" spans="1:6">
      <c r="A1889" s="11"/>
      <c r="B1889" s="12"/>
      <c r="C1889" s="11"/>
      <c r="D1889" s="13"/>
      <c r="E1889" s="11"/>
      <c r="F1889" t="e">
        <f t="array" ref="F1889">PROFEXHyperlinkAddress(B1889:B1889)</f>
        <v>#NAME?</v>
      </c>
    </row>
    <row r="1890" ht="25.5" spans="1:6">
      <c r="A1890" s="15"/>
      <c r="B1890" s="14" t="s">
        <v>5</v>
      </c>
      <c r="C1890" s="15"/>
      <c r="D1890" s="16"/>
      <c r="E1890" s="15"/>
      <c r="F1890" t="e">
        <f t="array" ref="F1890">PROFEXHyperlinkAddress(B1890:B1890)</f>
        <v>#NAME?</v>
      </c>
    </row>
    <row r="1891" ht="195" spans="1:6">
      <c r="A1891" s="17">
        <v>4895097</v>
      </c>
      <c r="B1891" s="18" t="s">
        <v>695</v>
      </c>
      <c r="C1891" s="17" t="s">
        <v>1</v>
      </c>
      <c r="D1891" s="19" t="s">
        <v>7</v>
      </c>
      <c r="E1891" s="17" t="s">
        <v>696</v>
      </c>
      <c r="F1891" t="e">
        <f t="array" ref="F1891">PROFEXHyperlinkAddress(B1891:B1891)</f>
        <v>#NAME?</v>
      </c>
    </row>
    <row r="1892" spans="1:6">
      <c r="A1892" s="11"/>
      <c r="B1892" s="12"/>
      <c r="C1892" s="11"/>
      <c r="D1892" s="13"/>
      <c r="E1892" s="11"/>
      <c r="F1892" t="e">
        <f t="array" ref="F1892">PROFEXHyperlinkAddress(B1892:B1892)</f>
        <v>#NAME?</v>
      </c>
    </row>
    <row r="1893" ht="57.75" spans="1:6">
      <c r="A1893" s="11"/>
      <c r="B1893" s="14" t="s">
        <v>4</v>
      </c>
      <c r="C1893" s="11"/>
      <c r="D1893" s="13"/>
      <c r="E1893" s="11"/>
      <c r="F1893" t="e">
        <f t="array" ref="F1893">PROFEXHyperlinkAddress(B1893:B1893)</f>
        <v>#NAME?</v>
      </c>
    </row>
    <row r="1894" spans="1:6">
      <c r="A1894" s="11"/>
      <c r="B1894" s="12"/>
      <c r="C1894" s="11"/>
      <c r="D1894" s="13"/>
      <c r="E1894" s="11"/>
      <c r="F1894" t="e">
        <f t="array" ref="F1894">PROFEXHyperlinkAddress(B1894:B1894)</f>
        <v>#NAME?</v>
      </c>
    </row>
    <row r="1895" ht="25.5" spans="1:6">
      <c r="A1895" s="15"/>
      <c r="B1895" s="14" t="s">
        <v>5</v>
      </c>
      <c r="C1895" s="15"/>
      <c r="D1895" s="16"/>
      <c r="E1895" s="15"/>
      <c r="F1895" t="e">
        <f t="array" ref="F1895">PROFEXHyperlinkAddress(B1895:B1895)</f>
        <v>#NAME?</v>
      </c>
    </row>
    <row r="1896" ht="135" spans="1:6">
      <c r="A1896" s="17">
        <v>4892097</v>
      </c>
      <c r="B1896" s="18" t="s">
        <v>697</v>
      </c>
      <c r="C1896" s="17" t="s">
        <v>1</v>
      </c>
      <c r="D1896" s="19" t="s">
        <v>7</v>
      </c>
      <c r="E1896" s="17" t="s">
        <v>582</v>
      </c>
      <c r="F1896" t="e">
        <f t="array" ref="F1896">PROFEXHyperlinkAddress(B1896:B1896)</f>
        <v>#NAME?</v>
      </c>
    </row>
    <row r="1897" spans="1:6">
      <c r="A1897" s="11"/>
      <c r="B1897" s="12"/>
      <c r="C1897" s="11"/>
      <c r="D1897" s="13"/>
      <c r="E1897" s="11"/>
      <c r="F1897" t="e">
        <f t="array" ref="F1897">PROFEXHyperlinkAddress(B1897:B1897)</f>
        <v>#NAME?</v>
      </c>
    </row>
    <row r="1898" ht="57.75" spans="1:6">
      <c r="A1898" s="11"/>
      <c r="B1898" s="14" t="s">
        <v>21</v>
      </c>
      <c r="C1898" s="11"/>
      <c r="D1898" s="13"/>
      <c r="E1898" s="11"/>
      <c r="F1898" t="e">
        <f t="array" ref="F1898">PROFEXHyperlinkAddress(B1898:B1898)</f>
        <v>#NAME?</v>
      </c>
    </row>
    <row r="1899" spans="1:6">
      <c r="A1899" s="11"/>
      <c r="B1899" s="12"/>
      <c r="C1899" s="11"/>
      <c r="D1899" s="13"/>
      <c r="E1899" s="11"/>
      <c r="F1899" t="e">
        <f t="array" ref="F1899">PROFEXHyperlinkAddress(B1899:B1899)</f>
        <v>#NAME?</v>
      </c>
    </row>
    <row r="1900" ht="25.5" spans="1:6">
      <c r="A1900" s="15"/>
      <c r="B1900" s="14" t="s">
        <v>5</v>
      </c>
      <c r="C1900" s="15"/>
      <c r="D1900" s="16"/>
      <c r="E1900" s="15"/>
      <c r="F1900" t="e">
        <f t="array" ref="F1900">PROFEXHyperlinkAddress(B1900:B1900)</f>
        <v>#NAME?</v>
      </c>
    </row>
    <row r="1901" ht="180" spans="1:6">
      <c r="A1901" s="17">
        <v>4890097</v>
      </c>
      <c r="B1901" s="18" t="s">
        <v>698</v>
      </c>
      <c r="C1901" s="17" t="s">
        <v>1</v>
      </c>
      <c r="D1901" s="19" t="s">
        <v>2</v>
      </c>
      <c r="E1901" s="17" t="s">
        <v>699</v>
      </c>
      <c r="F1901" t="e">
        <f t="array" ref="F1901">PROFEXHyperlinkAddress(B1901:B1901)</f>
        <v>#NAME?</v>
      </c>
    </row>
    <row r="1902" spans="1:6">
      <c r="A1902" s="11"/>
      <c r="B1902" s="12"/>
      <c r="C1902" s="11"/>
      <c r="D1902" s="13"/>
      <c r="E1902" s="11"/>
      <c r="F1902" t="e">
        <f t="array" ref="F1902">PROFEXHyperlinkAddress(B1902:B1902)</f>
        <v>#NAME?</v>
      </c>
    </row>
    <row r="1903" ht="49.5" spans="1:6">
      <c r="A1903" s="11"/>
      <c r="B1903" s="14" t="s">
        <v>78</v>
      </c>
      <c r="C1903" s="11"/>
      <c r="D1903" s="13"/>
      <c r="E1903" s="11"/>
      <c r="F1903" t="e">
        <f t="array" ref="F1903">PROFEXHyperlinkAddress(B1903:B1903)</f>
        <v>#NAME?</v>
      </c>
    </row>
    <row r="1904" spans="1:6">
      <c r="A1904" s="11"/>
      <c r="B1904" s="12"/>
      <c r="C1904" s="11"/>
      <c r="D1904" s="13"/>
      <c r="E1904" s="11"/>
      <c r="F1904" t="e">
        <f t="array" ref="F1904">PROFEXHyperlinkAddress(B1904:B1904)</f>
        <v>#NAME?</v>
      </c>
    </row>
    <row r="1905" ht="25.5" spans="1:6">
      <c r="A1905" s="15"/>
      <c r="B1905" s="14" t="s">
        <v>5</v>
      </c>
      <c r="C1905" s="15"/>
      <c r="D1905" s="16"/>
      <c r="E1905" s="15"/>
      <c r="F1905" t="e">
        <f t="array" ref="F1905">PROFEXHyperlinkAddress(B1905:B1905)</f>
        <v>#NAME?</v>
      </c>
    </row>
    <row r="1906" ht="180" spans="1:6">
      <c r="A1906" s="17">
        <v>4889097</v>
      </c>
      <c r="B1906" s="18" t="s">
        <v>700</v>
      </c>
      <c r="C1906" s="17" t="s">
        <v>1</v>
      </c>
      <c r="D1906" s="19" t="s">
        <v>2</v>
      </c>
      <c r="E1906" s="17" t="s">
        <v>701</v>
      </c>
      <c r="F1906" t="e">
        <f t="array" ref="F1906">PROFEXHyperlinkAddress(B1906:B1906)</f>
        <v>#NAME?</v>
      </c>
    </row>
    <row r="1907" spans="1:6">
      <c r="A1907" s="11"/>
      <c r="B1907" s="12"/>
      <c r="C1907" s="11"/>
      <c r="D1907" s="13"/>
      <c r="E1907" s="11"/>
      <c r="F1907" t="e">
        <f t="array" ref="F1907">PROFEXHyperlinkAddress(B1907:B1907)</f>
        <v>#NAME?</v>
      </c>
    </row>
    <row r="1908" ht="49.5" spans="1:6">
      <c r="A1908" s="11"/>
      <c r="B1908" s="14" t="s">
        <v>78</v>
      </c>
      <c r="C1908" s="11"/>
      <c r="D1908" s="13"/>
      <c r="E1908" s="11"/>
      <c r="F1908" t="e">
        <f t="array" ref="F1908">PROFEXHyperlinkAddress(B1908:B1908)</f>
        <v>#NAME?</v>
      </c>
    </row>
    <row r="1909" spans="1:6">
      <c r="A1909" s="11"/>
      <c r="B1909" s="12"/>
      <c r="C1909" s="11"/>
      <c r="D1909" s="13"/>
      <c r="E1909" s="11"/>
      <c r="F1909" t="e">
        <f t="array" ref="F1909">PROFEXHyperlinkAddress(B1909:B1909)</f>
        <v>#NAME?</v>
      </c>
    </row>
    <row r="1910" ht="25.5" spans="1:6">
      <c r="A1910" s="15"/>
      <c r="B1910" s="14" t="s">
        <v>5</v>
      </c>
      <c r="C1910" s="15"/>
      <c r="D1910" s="16"/>
      <c r="E1910" s="15"/>
      <c r="F1910" t="e">
        <f t="array" ref="F1910">PROFEXHyperlinkAddress(B1910:B1910)</f>
        <v>#NAME?</v>
      </c>
    </row>
    <row r="1911" ht="270" spans="1:6">
      <c r="A1911" s="17">
        <v>4888097</v>
      </c>
      <c r="B1911" s="18" t="s">
        <v>702</v>
      </c>
      <c r="C1911" s="17" t="s">
        <v>1</v>
      </c>
      <c r="D1911" s="19" t="s">
        <v>76</v>
      </c>
      <c r="E1911" s="17" t="s">
        <v>703</v>
      </c>
      <c r="F1911" t="e">
        <f t="array" ref="F1911">PROFEXHyperlinkAddress(B1911:B1911)</f>
        <v>#NAME?</v>
      </c>
    </row>
    <row r="1912" spans="1:6">
      <c r="A1912" s="11"/>
      <c r="B1912" s="12"/>
      <c r="C1912" s="11"/>
      <c r="D1912" s="13"/>
      <c r="E1912" s="11"/>
      <c r="F1912" t="e">
        <f t="array" ref="F1912">PROFEXHyperlinkAddress(B1912:B1912)</f>
        <v>#NAME?</v>
      </c>
    </row>
    <row r="1913" ht="49.5" spans="1:6">
      <c r="A1913" s="11"/>
      <c r="B1913" s="14" t="s">
        <v>78</v>
      </c>
      <c r="C1913" s="11"/>
      <c r="D1913" s="13"/>
      <c r="E1913" s="11"/>
      <c r="F1913" t="e">
        <f t="array" ref="F1913">PROFEXHyperlinkAddress(B1913:B1913)</f>
        <v>#NAME?</v>
      </c>
    </row>
    <row r="1914" spans="1:6">
      <c r="A1914" s="11"/>
      <c r="B1914" s="12"/>
      <c r="C1914" s="11"/>
      <c r="D1914" s="13"/>
      <c r="E1914" s="11"/>
      <c r="F1914" t="e">
        <f t="array" ref="F1914">PROFEXHyperlinkAddress(B1914:B1914)</f>
        <v>#NAME?</v>
      </c>
    </row>
    <row r="1915" ht="25.5" spans="1:6">
      <c r="A1915" s="15"/>
      <c r="B1915" s="14" t="s">
        <v>5</v>
      </c>
      <c r="C1915" s="15"/>
      <c r="D1915" s="16"/>
      <c r="E1915" s="15"/>
      <c r="F1915" t="e">
        <f t="array" ref="F1915">PROFEXHyperlinkAddress(B1915:B1915)</f>
        <v>#NAME?</v>
      </c>
    </row>
    <row r="1916" ht="90" spans="1:6">
      <c r="A1916" s="17">
        <v>4887097</v>
      </c>
      <c r="B1916" s="18" t="s">
        <v>704</v>
      </c>
      <c r="C1916" s="17" t="s">
        <v>1</v>
      </c>
      <c r="D1916" s="19" t="s">
        <v>2</v>
      </c>
      <c r="E1916" s="17" t="s">
        <v>396</v>
      </c>
      <c r="F1916" t="e">
        <f t="array" ref="F1916">PROFEXHyperlinkAddress(B1916:B1916)</f>
        <v>#NAME?</v>
      </c>
    </row>
    <row r="1917" spans="1:6">
      <c r="A1917" s="11"/>
      <c r="B1917" s="12"/>
      <c r="C1917" s="11"/>
      <c r="D1917" s="13"/>
      <c r="E1917" s="11"/>
      <c r="F1917" t="e">
        <f t="array" ref="F1917">PROFEXHyperlinkAddress(B1917:B1917)</f>
        <v>#NAME?</v>
      </c>
    </row>
    <row r="1918" ht="57.75" spans="1:6">
      <c r="A1918" s="11"/>
      <c r="B1918" s="14" t="s">
        <v>16</v>
      </c>
      <c r="C1918" s="11"/>
      <c r="D1918" s="13"/>
      <c r="E1918" s="11"/>
      <c r="F1918" t="e">
        <f t="array" ref="F1918">PROFEXHyperlinkAddress(B1918:B1918)</f>
        <v>#NAME?</v>
      </c>
    </row>
    <row r="1919" spans="1:6">
      <c r="A1919" s="11"/>
      <c r="B1919" s="12"/>
      <c r="C1919" s="11"/>
      <c r="D1919" s="13"/>
      <c r="E1919" s="11"/>
      <c r="F1919" t="e">
        <f t="array" ref="F1919">PROFEXHyperlinkAddress(B1919:B1919)</f>
        <v>#NAME?</v>
      </c>
    </row>
    <row r="1920" ht="25.5" spans="1:6">
      <c r="A1920" s="15"/>
      <c r="B1920" s="14" t="s">
        <v>705</v>
      </c>
      <c r="C1920" s="15"/>
      <c r="D1920" s="16"/>
      <c r="E1920" s="15"/>
      <c r="F1920" t="e">
        <f t="array" ref="F1920">PROFEXHyperlinkAddress(B1920:B1920)</f>
        <v>#NAME?</v>
      </c>
    </row>
    <row r="1921" ht="225" spans="1:6">
      <c r="A1921" s="17">
        <v>4886097</v>
      </c>
      <c r="B1921" s="18" t="s">
        <v>706</v>
      </c>
      <c r="C1921" s="17" t="s">
        <v>1</v>
      </c>
      <c r="D1921" s="19" t="s">
        <v>76</v>
      </c>
      <c r="E1921" s="17" t="s">
        <v>620</v>
      </c>
      <c r="F1921" t="e">
        <f t="array" ref="F1921">PROFEXHyperlinkAddress(B1921:B1921)</f>
        <v>#NAME?</v>
      </c>
    </row>
    <row r="1922" spans="1:6">
      <c r="A1922" s="11"/>
      <c r="B1922" s="12"/>
      <c r="C1922" s="11"/>
      <c r="D1922" s="13"/>
      <c r="E1922" s="11"/>
      <c r="F1922" t="e">
        <f t="array" ref="F1922">PROFEXHyperlinkAddress(B1922:B1922)</f>
        <v>#NAME?</v>
      </c>
    </row>
    <row r="1923" ht="49.5" spans="1:6">
      <c r="A1923" s="11"/>
      <c r="B1923" s="14" t="s">
        <v>78</v>
      </c>
      <c r="C1923" s="11"/>
      <c r="D1923" s="13"/>
      <c r="E1923" s="11"/>
      <c r="F1923" t="e">
        <f t="array" ref="F1923">PROFEXHyperlinkAddress(B1923:B1923)</f>
        <v>#NAME?</v>
      </c>
    </row>
    <row r="1924" spans="1:6">
      <c r="A1924" s="11"/>
      <c r="B1924" s="12"/>
      <c r="C1924" s="11"/>
      <c r="D1924" s="13"/>
      <c r="E1924" s="11"/>
      <c r="F1924" t="e">
        <f t="array" ref="F1924">PROFEXHyperlinkAddress(B1924:B1924)</f>
        <v>#NAME?</v>
      </c>
    </row>
    <row r="1925" ht="25.5" spans="1:6">
      <c r="A1925" s="15"/>
      <c r="B1925" s="14" t="s">
        <v>5</v>
      </c>
      <c r="C1925" s="15"/>
      <c r="D1925" s="16"/>
      <c r="E1925" s="15"/>
      <c r="F1925" t="e">
        <f t="array" ref="F1925">PROFEXHyperlinkAddress(B1925:B1925)</f>
        <v>#NAME?</v>
      </c>
    </row>
    <row r="1926" ht="255" spans="1:6">
      <c r="A1926" s="17">
        <v>4885097</v>
      </c>
      <c r="B1926" s="18" t="s">
        <v>707</v>
      </c>
      <c r="C1926" s="17" t="s">
        <v>1</v>
      </c>
      <c r="D1926" s="19" t="s">
        <v>76</v>
      </c>
      <c r="E1926" s="17" t="s">
        <v>622</v>
      </c>
      <c r="F1926" t="e">
        <f t="array" ref="F1926">PROFEXHyperlinkAddress(B1926:B1926)</f>
        <v>#NAME?</v>
      </c>
    </row>
    <row r="1927" spans="1:6">
      <c r="A1927" s="11"/>
      <c r="B1927" s="12"/>
      <c r="C1927" s="11"/>
      <c r="D1927" s="13"/>
      <c r="E1927" s="11"/>
      <c r="F1927" t="e">
        <f t="array" ref="F1927">PROFEXHyperlinkAddress(B1927:B1927)</f>
        <v>#NAME?</v>
      </c>
    </row>
    <row r="1928" ht="49.5" spans="1:6">
      <c r="A1928" s="11"/>
      <c r="B1928" s="14" t="s">
        <v>78</v>
      </c>
      <c r="C1928" s="11"/>
      <c r="D1928" s="13"/>
      <c r="E1928" s="11"/>
      <c r="F1928" t="e">
        <f t="array" ref="F1928">PROFEXHyperlinkAddress(B1928:B1928)</f>
        <v>#NAME?</v>
      </c>
    </row>
    <row r="1929" spans="1:6">
      <c r="A1929" s="11"/>
      <c r="B1929" s="12"/>
      <c r="C1929" s="11"/>
      <c r="D1929" s="13"/>
      <c r="E1929" s="11"/>
      <c r="F1929" t="e">
        <f t="array" ref="F1929">PROFEXHyperlinkAddress(B1929:B1929)</f>
        <v>#NAME?</v>
      </c>
    </row>
    <row r="1930" ht="25.5" spans="1:6">
      <c r="A1930" s="15"/>
      <c r="B1930" s="14" t="s">
        <v>5</v>
      </c>
      <c r="C1930" s="15"/>
      <c r="D1930" s="16"/>
      <c r="E1930" s="15"/>
      <c r="F1930" t="e">
        <f t="array" ref="F1930">PROFEXHyperlinkAddress(B1930:B1930)</f>
        <v>#NAME?</v>
      </c>
    </row>
    <row r="1931" ht="180" spans="1:6">
      <c r="A1931" s="17">
        <v>4884097</v>
      </c>
      <c r="B1931" s="18" t="s">
        <v>708</v>
      </c>
      <c r="C1931" s="17" t="s">
        <v>1</v>
      </c>
      <c r="D1931" s="19" t="s">
        <v>76</v>
      </c>
      <c r="E1931" s="17" t="s">
        <v>624</v>
      </c>
      <c r="F1931" t="e">
        <f t="array" ref="F1931">PROFEXHyperlinkAddress(B1931:B1931)</f>
        <v>#NAME?</v>
      </c>
    </row>
    <row r="1932" spans="1:6">
      <c r="A1932" s="11"/>
      <c r="B1932" s="12"/>
      <c r="C1932" s="11"/>
      <c r="D1932" s="13"/>
      <c r="E1932" s="11"/>
      <c r="F1932" t="e">
        <f t="array" ref="F1932">PROFEXHyperlinkAddress(B1932:B1932)</f>
        <v>#NAME?</v>
      </c>
    </row>
    <row r="1933" ht="49.5" spans="1:6">
      <c r="A1933" s="11"/>
      <c r="B1933" s="14" t="s">
        <v>78</v>
      </c>
      <c r="C1933" s="11"/>
      <c r="D1933" s="13"/>
      <c r="E1933" s="11"/>
      <c r="F1933" t="e">
        <f t="array" ref="F1933">PROFEXHyperlinkAddress(B1933:B1933)</f>
        <v>#NAME?</v>
      </c>
    </row>
    <row r="1934" spans="1:6">
      <c r="A1934" s="11"/>
      <c r="B1934" s="12"/>
      <c r="C1934" s="11"/>
      <c r="D1934" s="13"/>
      <c r="E1934" s="11"/>
      <c r="F1934" t="e">
        <f t="array" ref="F1934">PROFEXHyperlinkAddress(B1934:B1934)</f>
        <v>#NAME?</v>
      </c>
    </row>
    <row r="1935" ht="25.5" spans="1:6">
      <c r="A1935" s="15"/>
      <c r="B1935" s="14" t="s">
        <v>5</v>
      </c>
      <c r="C1935" s="15"/>
      <c r="D1935" s="16"/>
      <c r="E1935" s="15"/>
      <c r="F1935" t="e">
        <f t="array" ref="F1935">PROFEXHyperlinkAddress(B1935:B1935)</f>
        <v>#NAME?</v>
      </c>
    </row>
    <row r="1936" ht="195" spans="1:6">
      <c r="A1936" s="17">
        <v>4883097</v>
      </c>
      <c r="B1936" s="18" t="s">
        <v>709</v>
      </c>
      <c r="C1936" s="17" t="s">
        <v>1</v>
      </c>
      <c r="D1936" s="19" t="s">
        <v>2</v>
      </c>
      <c r="E1936" s="17" t="s">
        <v>710</v>
      </c>
      <c r="F1936" t="e">
        <f t="array" ref="F1936">PROFEXHyperlinkAddress(B1936:B1936)</f>
        <v>#NAME?</v>
      </c>
    </row>
    <row r="1937" spans="1:6">
      <c r="A1937" s="11"/>
      <c r="B1937" s="12"/>
      <c r="C1937" s="11"/>
      <c r="D1937" s="13"/>
      <c r="E1937" s="11"/>
      <c r="F1937" t="e">
        <f t="array" ref="F1937">PROFEXHyperlinkAddress(B1937:B1937)</f>
        <v>#NAME?</v>
      </c>
    </row>
    <row r="1938" ht="49.5" spans="1:6">
      <c r="A1938" s="11"/>
      <c r="B1938" s="14" t="s">
        <v>78</v>
      </c>
      <c r="C1938" s="11"/>
      <c r="D1938" s="13"/>
      <c r="E1938" s="11"/>
      <c r="F1938" t="e">
        <f t="array" ref="F1938">PROFEXHyperlinkAddress(B1938:B1938)</f>
        <v>#NAME?</v>
      </c>
    </row>
    <row r="1939" spans="1:6">
      <c r="A1939" s="11"/>
      <c r="B1939" s="12"/>
      <c r="C1939" s="11"/>
      <c r="D1939" s="13"/>
      <c r="E1939" s="11"/>
      <c r="F1939" t="e">
        <f t="array" ref="F1939">PROFEXHyperlinkAddress(B1939:B1939)</f>
        <v>#NAME?</v>
      </c>
    </row>
    <row r="1940" ht="25.5" spans="1:6">
      <c r="A1940" s="15"/>
      <c r="B1940" s="14" t="s">
        <v>5</v>
      </c>
      <c r="C1940" s="15"/>
      <c r="D1940" s="16"/>
      <c r="E1940" s="15"/>
      <c r="F1940" t="e">
        <f t="array" ref="F1940">PROFEXHyperlinkAddress(B1940:B1940)</f>
        <v>#NAME?</v>
      </c>
    </row>
    <row r="1941" ht="135" spans="1:6">
      <c r="A1941" s="17">
        <v>4882097</v>
      </c>
      <c r="B1941" s="18" t="s">
        <v>711</v>
      </c>
      <c r="C1941" s="17" t="s">
        <v>1</v>
      </c>
      <c r="D1941" s="19" t="s">
        <v>7</v>
      </c>
      <c r="E1941" s="17" t="s">
        <v>464</v>
      </c>
      <c r="F1941" t="e">
        <f t="array" ref="F1941">PROFEXHyperlinkAddress(B1941:B1941)</f>
        <v>#NAME?</v>
      </c>
    </row>
    <row r="1942" spans="1:6">
      <c r="A1942" s="11"/>
      <c r="B1942" s="12"/>
      <c r="C1942" s="11"/>
      <c r="D1942" s="13"/>
      <c r="E1942" s="11"/>
      <c r="F1942" t="e">
        <f t="array" ref="F1942">PROFEXHyperlinkAddress(B1942:B1942)</f>
        <v>#NAME?</v>
      </c>
    </row>
    <row r="1943" ht="57.75" spans="1:6">
      <c r="A1943" s="11"/>
      <c r="B1943" s="14" t="s">
        <v>16</v>
      </c>
      <c r="C1943" s="11"/>
      <c r="D1943" s="13"/>
      <c r="E1943" s="11"/>
      <c r="F1943" t="e">
        <f t="array" ref="F1943">PROFEXHyperlinkAddress(B1943:B1943)</f>
        <v>#NAME?</v>
      </c>
    </row>
    <row r="1944" spans="1:6">
      <c r="A1944" s="11"/>
      <c r="B1944" s="12"/>
      <c r="C1944" s="11"/>
      <c r="D1944" s="13"/>
      <c r="E1944" s="11"/>
      <c r="F1944" t="e">
        <f t="array" ref="F1944">PROFEXHyperlinkAddress(B1944:B1944)</f>
        <v>#NAME?</v>
      </c>
    </row>
    <row r="1945" ht="25.5" spans="1:6">
      <c r="A1945" s="15"/>
      <c r="B1945" s="14" t="s">
        <v>5</v>
      </c>
      <c r="C1945" s="15"/>
      <c r="D1945" s="16"/>
      <c r="E1945" s="15"/>
      <c r="F1945" t="e">
        <f t="array" ref="F1945">PROFEXHyperlinkAddress(B1945:B1945)</f>
        <v>#NAME?</v>
      </c>
    </row>
    <row r="1946" ht="150" spans="1:6">
      <c r="A1946" s="17">
        <v>4881097</v>
      </c>
      <c r="B1946" s="18" t="s">
        <v>712</v>
      </c>
      <c r="C1946" s="17" t="s">
        <v>1</v>
      </c>
      <c r="D1946" s="19" t="s">
        <v>76</v>
      </c>
      <c r="E1946" s="17" t="s">
        <v>618</v>
      </c>
      <c r="F1946" t="e">
        <f t="array" ref="F1946">PROFEXHyperlinkAddress(B1946:B1946)</f>
        <v>#NAME?</v>
      </c>
    </row>
    <row r="1947" spans="1:6">
      <c r="A1947" s="11"/>
      <c r="B1947" s="12"/>
      <c r="C1947" s="11"/>
      <c r="D1947" s="13"/>
      <c r="E1947" s="11"/>
      <c r="F1947" t="e">
        <f t="array" ref="F1947">PROFEXHyperlinkAddress(B1947:B1947)</f>
        <v>#NAME?</v>
      </c>
    </row>
    <row r="1948" ht="49.5" spans="1:6">
      <c r="A1948" s="11"/>
      <c r="B1948" s="14" t="s">
        <v>78</v>
      </c>
      <c r="C1948" s="11"/>
      <c r="D1948" s="13"/>
      <c r="E1948" s="11"/>
      <c r="F1948" t="e">
        <f t="array" ref="F1948">PROFEXHyperlinkAddress(B1948:B1948)</f>
        <v>#NAME?</v>
      </c>
    </row>
    <row r="1949" spans="1:6">
      <c r="A1949" s="11"/>
      <c r="B1949" s="12"/>
      <c r="C1949" s="11"/>
      <c r="D1949" s="13"/>
      <c r="E1949" s="11"/>
      <c r="F1949" t="e">
        <f t="array" ref="F1949">PROFEXHyperlinkAddress(B1949:B1949)</f>
        <v>#NAME?</v>
      </c>
    </row>
    <row r="1950" ht="25.5" spans="1:6">
      <c r="A1950" s="15"/>
      <c r="B1950" s="14" t="s">
        <v>5</v>
      </c>
      <c r="C1950" s="15"/>
      <c r="D1950" s="16"/>
      <c r="E1950" s="15"/>
      <c r="F1950" t="e">
        <f t="array" ref="F1950">PROFEXHyperlinkAddress(B1950:B1950)</f>
        <v>#NAME?</v>
      </c>
    </row>
    <row r="1951" ht="90" spans="1:6">
      <c r="A1951" s="17">
        <v>4879097</v>
      </c>
      <c r="B1951" s="18" t="s">
        <v>713</v>
      </c>
      <c r="C1951" s="17" t="s">
        <v>1</v>
      </c>
      <c r="D1951" s="19" t="s">
        <v>2</v>
      </c>
      <c r="E1951" s="17" t="s">
        <v>714</v>
      </c>
      <c r="F1951" t="e">
        <f t="array" ref="F1951">PROFEXHyperlinkAddress(B1951:B1951)</f>
        <v>#NAME?</v>
      </c>
    </row>
    <row r="1952" spans="1:6">
      <c r="A1952" s="11"/>
      <c r="B1952" s="12"/>
      <c r="C1952" s="11"/>
      <c r="D1952" s="13"/>
      <c r="E1952" s="11"/>
      <c r="F1952" t="e">
        <f t="array" ref="F1952">PROFEXHyperlinkAddress(B1952:B1952)</f>
        <v>#NAME?</v>
      </c>
    </row>
    <row r="1953" ht="57.75" spans="1:6">
      <c r="A1953" s="11"/>
      <c r="B1953" s="14" t="s">
        <v>16</v>
      </c>
      <c r="C1953" s="11"/>
      <c r="D1953" s="13"/>
      <c r="E1953" s="11"/>
      <c r="F1953" t="e">
        <f t="array" ref="F1953">PROFEXHyperlinkAddress(B1953:B1953)</f>
        <v>#NAME?</v>
      </c>
    </row>
    <row r="1954" spans="1:6">
      <c r="A1954" s="11"/>
      <c r="B1954" s="12"/>
      <c r="C1954" s="11"/>
      <c r="D1954" s="13"/>
      <c r="E1954" s="11"/>
      <c r="F1954" t="e">
        <f t="array" ref="F1954">PROFEXHyperlinkAddress(B1954:B1954)</f>
        <v>#NAME?</v>
      </c>
    </row>
    <row r="1955" ht="25.5" spans="1:6">
      <c r="A1955" s="15"/>
      <c r="B1955" s="14" t="s">
        <v>5</v>
      </c>
      <c r="C1955" s="15"/>
      <c r="D1955" s="16"/>
      <c r="E1955" s="15"/>
      <c r="F1955" t="e">
        <f t="array" ref="F1955">PROFEXHyperlinkAddress(B1955:B1955)</f>
        <v>#NAME?</v>
      </c>
    </row>
    <row r="1956" ht="210" spans="1:6">
      <c r="A1956" s="17">
        <v>4875097</v>
      </c>
      <c r="B1956" s="18" t="s">
        <v>715</v>
      </c>
      <c r="C1956" s="17" t="s">
        <v>1</v>
      </c>
      <c r="D1956" s="19" t="s">
        <v>76</v>
      </c>
      <c r="E1956" s="17" t="s">
        <v>543</v>
      </c>
      <c r="F1956" t="e">
        <f t="array" ref="F1956">PROFEXHyperlinkAddress(B1956:B1956)</f>
        <v>#NAME?</v>
      </c>
    </row>
    <row r="1957" spans="1:6">
      <c r="A1957" s="11"/>
      <c r="B1957" s="12"/>
      <c r="C1957" s="11"/>
      <c r="D1957" s="13"/>
      <c r="E1957" s="11"/>
      <c r="F1957" t="e">
        <f t="array" ref="F1957">PROFEXHyperlinkAddress(B1957:B1957)</f>
        <v>#NAME?</v>
      </c>
    </row>
    <row r="1958" ht="49.5" spans="1:6">
      <c r="A1958" s="11"/>
      <c r="B1958" s="14" t="s">
        <v>78</v>
      </c>
      <c r="C1958" s="11"/>
      <c r="D1958" s="13"/>
      <c r="E1958" s="11"/>
      <c r="F1958" t="e">
        <f t="array" ref="F1958">PROFEXHyperlinkAddress(B1958:B1958)</f>
        <v>#NAME?</v>
      </c>
    </row>
    <row r="1959" spans="1:6">
      <c r="A1959" s="11"/>
      <c r="B1959" s="12"/>
      <c r="C1959" s="11"/>
      <c r="D1959" s="13"/>
      <c r="E1959" s="11"/>
      <c r="F1959" t="e">
        <f t="array" ref="F1959">PROFEXHyperlinkAddress(B1959:B1959)</f>
        <v>#NAME?</v>
      </c>
    </row>
    <row r="1960" ht="25.5" spans="1:6">
      <c r="A1960" s="15"/>
      <c r="B1960" s="14" t="s">
        <v>5</v>
      </c>
      <c r="C1960" s="15"/>
      <c r="D1960" s="16"/>
      <c r="E1960" s="15"/>
      <c r="F1960" t="e">
        <f t="array" ref="F1960">PROFEXHyperlinkAddress(B1960:B1960)</f>
        <v>#NAME?</v>
      </c>
    </row>
    <row r="1961" ht="210" spans="1:6">
      <c r="A1961" s="17">
        <v>4874097</v>
      </c>
      <c r="B1961" s="18" t="s">
        <v>716</v>
      </c>
      <c r="C1961" s="17" t="s">
        <v>1</v>
      </c>
      <c r="D1961" s="19" t="s">
        <v>76</v>
      </c>
      <c r="E1961" s="17" t="s">
        <v>543</v>
      </c>
      <c r="F1961" t="e">
        <f t="array" ref="F1961">PROFEXHyperlinkAddress(B1961:B1961)</f>
        <v>#NAME?</v>
      </c>
    </row>
    <row r="1962" spans="1:6">
      <c r="A1962" s="11"/>
      <c r="B1962" s="12"/>
      <c r="C1962" s="11"/>
      <c r="D1962" s="13"/>
      <c r="E1962" s="11"/>
      <c r="F1962" t="e">
        <f t="array" ref="F1962">PROFEXHyperlinkAddress(B1962:B1962)</f>
        <v>#NAME?</v>
      </c>
    </row>
    <row r="1963" ht="49.5" spans="1:6">
      <c r="A1963" s="11"/>
      <c r="B1963" s="14" t="s">
        <v>78</v>
      </c>
      <c r="C1963" s="11"/>
      <c r="D1963" s="13"/>
      <c r="E1963" s="11"/>
      <c r="F1963" t="e">
        <f t="array" ref="F1963">PROFEXHyperlinkAddress(B1963:B1963)</f>
        <v>#NAME?</v>
      </c>
    </row>
    <row r="1964" spans="1:6">
      <c r="A1964" s="11"/>
      <c r="B1964" s="12"/>
      <c r="C1964" s="11"/>
      <c r="D1964" s="13"/>
      <c r="E1964" s="11"/>
      <c r="F1964" t="e">
        <f t="array" ref="F1964">PROFEXHyperlinkAddress(B1964:B1964)</f>
        <v>#NAME?</v>
      </c>
    </row>
    <row r="1965" ht="25.5" spans="1:6">
      <c r="A1965" s="15"/>
      <c r="B1965" s="14" t="s">
        <v>5</v>
      </c>
      <c r="C1965" s="15"/>
      <c r="D1965" s="16"/>
      <c r="E1965" s="15"/>
      <c r="F1965" t="e">
        <f t="array" ref="F1965">PROFEXHyperlinkAddress(B1965:B1965)</f>
        <v>#NAME?</v>
      </c>
    </row>
    <row r="1966" ht="180" spans="1:6">
      <c r="A1966" s="17">
        <v>4872097</v>
      </c>
      <c r="B1966" s="18" t="s">
        <v>717</v>
      </c>
      <c r="C1966" s="17" t="s">
        <v>1</v>
      </c>
      <c r="D1966" s="19" t="s">
        <v>2</v>
      </c>
      <c r="E1966" s="17" t="s">
        <v>718</v>
      </c>
      <c r="F1966" t="e">
        <f t="array" ref="F1966">PROFEXHyperlinkAddress(B1966:B1966)</f>
        <v>#NAME?</v>
      </c>
    </row>
    <row r="1967" spans="1:6">
      <c r="A1967" s="11"/>
      <c r="B1967" s="12"/>
      <c r="C1967" s="11"/>
      <c r="D1967" s="13"/>
      <c r="E1967" s="11"/>
      <c r="F1967" t="e">
        <f t="array" ref="F1967">PROFEXHyperlinkAddress(B1967:B1967)</f>
        <v>#NAME?</v>
      </c>
    </row>
    <row r="1968" ht="49.5" spans="1:6">
      <c r="A1968" s="11"/>
      <c r="B1968" s="14" t="s">
        <v>78</v>
      </c>
      <c r="C1968" s="11"/>
      <c r="D1968" s="13"/>
      <c r="E1968" s="11"/>
      <c r="F1968" t="e">
        <f t="array" ref="F1968">PROFEXHyperlinkAddress(B1968:B1968)</f>
        <v>#NAME?</v>
      </c>
    </row>
    <row r="1969" spans="1:6">
      <c r="A1969" s="11"/>
      <c r="B1969" s="12"/>
      <c r="C1969" s="11"/>
      <c r="D1969" s="13"/>
      <c r="E1969" s="11"/>
      <c r="F1969" t="e">
        <f t="array" ref="F1969">PROFEXHyperlinkAddress(B1969:B1969)</f>
        <v>#NAME?</v>
      </c>
    </row>
    <row r="1970" ht="25.5" spans="1:6">
      <c r="A1970" s="15"/>
      <c r="B1970" s="14" t="s">
        <v>5</v>
      </c>
      <c r="C1970" s="15"/>
      <c r="D1970" s="16"/>
      <c r="E1970" s="15"/>
      <c r="F1970" t="e">
        <f t="array" ref="F1970">PROFEXHyperlinkAddress(B1970:B1970)</f>
        <v>#NAME?</v>
      </c>
    </row>
    <row r="1971" ht="270" spans="1:6">
      <c r="A1971" s="17">
        <v>4870097</v>
      </c>
      <c r="B1971" s="18" t="s">
        <v>719</v>
      </c>
      <c r="C1971" s="17" t="s">
        <v>1</v>
      </c>
      <c r="D1971" s="19" t="s">
        <v>2</v>
      </c>
      <c r="E1971" s="17" t="s">
        <v>720</v>
      </c>
      <c r="F1971" t="e">
        <f t="array" ref="F1971">PROFEXHyperlinkAddress(B1971:B1971)</f>
        <v>#NAME?</v>
      </c>
    </row>
    <row r="1972" spans="1:6">
      <c r="A1972" s="11"/>
      <c r="B1972" s="12"/>
      <c r="C1972" s="11"/>
      <c r="D1972" s="13"/>
      <c r="E1972" s="11"/>
      <c r="F1972" t="e">
        <f t="array" ref="F1972">PROFEXHyperlinkAddress(B1972:B1972)</f>
        <v>#NAME?</v>
      </c>
    </row>
    <row r="1973" ht="49.5" spans="1:6">
      <c r="A1973" s="11"/>
      <c r="B1973" s="14" t="s">
        <v>78</v>
      </c>
      <c r="C1973" s="11"/>
      <c r="D1973" s="13"/>
      <c r="E1973" s="11"/>
      <c r="F1973" t="e">
        <f t="array" ref="F1973">PROFEXHyperlinkAddress(B1973:B1973)</f>
        <v>#NAME?</v>
      </c>
    </row>
    <row r="1974" spans="1:6">
      <c r="A1974" s="11"/>
      <c r="B1974" s="12"/>
      <c r="C1974" s="11"/>
      <c r="D1974" s="13"/>
      <c r="E1974" s="11"/>
      <c r="F1974" t="e">
        <f t="array" ref="F1974">PROFEXHyperlinkAddress(B1974:B1974)</f>
        <v>#NAME?</v>
      </c>
    </row>
    <row r="1975" ht="25.5" spans="1:6">
      <c r="A1975" s="15"/>
      <c r="B1975" s="14" t="s">
        <v>5</v>
      </c>
      <c r="C1975" s="15"/>
      <c r="D1975" s="16"/>
      <c r="E1975" s="15"/>
      <c r="F1975" t="e">
        <f t="array" ref="F1975">PROFEXHyperlinkAddress(B1975:B1975)</f>
        <v>#NAME?</v>
      </c>
    </row>
    <row r="1976" ht="240" spans="1:6">
      <c r="A1976" s="17">
        <v>4868097</v>
      </c>
      <c r="B1976" s="18" t="s">
        <v>721</v>
      </c>
      <c r="C1976" s="17" t="s">
        <v>1</v>
      </c>
      <c r="D1976" s="19" t="s">
        <v>2</v>
      </c>
      <c r="E1976" s="17" t="s">
        <v>722</v>
      </c>
      <c r="F1976" t="e">
        <f t="array" ref="F1976">PROFEXHyperlinkAddress(B1976:B1976)</f>
        <v>#NAME?</v>
      </c>
    </row>
    <row r="1977" spans="1:6">
      <c r="A1977" s="11"/>
      <c r="B1977" s="12"/>
      <c r="C1977" s="11"/>
      <c r="D1977" s="13"/>
      <c r="E1977" s="11"/>
      <c r="F1977" t="e">
        <f t="array" ref="F1977">PROFEXHyperlinkAddress(B1977:B1977)</f>
        <v>#NAME?</v>
      </c>
    </row>
    <row r="1978" ht="49.5" spans="1:6">
      <c r="A1978" s="11"/>
      <c r="B1978" s="14" t="s">
        <v>78</v>
      </c>
      <c r="C1978" s="11"/>
      <c r="D1978" s="13"/>
      <c r="E1978" s="11"/>
      <c r="F1978" t="e">
        <f t="array" ref="F1978">PROFEXHyperlinkAddress(B1978:B1978)</f>
        <v>#NAME?</v>
      </c>
    </row>
    <row r="1979" spans="1:6">
      <c r="A1979" s="11"/>
      <c r="B1979" s="12"/>
      <c r="C1979" s="11"/>
      <c r="D1979" s="13"/>
      <c r="E1979" s="11"/>
      <c r="F1979" t="e">
        <f t="array" ref="F1979">PROFEXHyperlinkAddress(B1979:B1979)</f>
        <v>#NAME?</v>
      </c>
    </row>
    <row r="1980" ht="25.5" spans="1:6">
      <c r="A1980" s="15"/>
      <c r="B1980" s="14" t="s">
        <v>5</v>
      </c>
      <c r="C1980" s="15"/>
      <c r="D1980" s="16"/>
      <c r="E1980" s="15"/>
      <c r="F1980" t="e">
        <f t="array" ref="F1980">PROFEXHyperlinkAddress(B1980:B1980)</f>
        <v>#NAME?</v>
      </c>
    </row>
    <row r="1981" ht="225" spans="1:6">
      <c r="A1981" s="17">
        <v>4866097</v>
      </c>
      <c r="B1981" s="18" t="s">
        <v>723</v>
      </c>
      <c r="C1981" s="17" t="s">
        <v>1</v>
      </c>
      <c r="D1981" s="19" t="s">
        <v>2</v>
      </c>
      <c r="E1981" s="17" t="s">
        <v>720</v>
      </c>
      <c r="F1981" t="e">
        <f t="array" ref="F1981">PROFEXHyperlinkAddress(B1981:B1981)</f>
        <v>#NAME?</v>
      </c>
    </row>
    <row r="1982" spans="1:6">
      <c r="A1982" s="11"/>
      <c r="B1982" s="12"/>
      <c r="C1982" s="11"/>
      <c r="D1982" s="13"/>
      <c r="E1982" s="11"/>
      <c r="F1982" t="e">
        <f t="array" ref="F1982">PROFEXHyperlinkAddress(B1982:B1982)</f>
        <v>#NAME?</v>
      </c>
    </row>
    <row r="1983" ht="49.5" spans="1:6">
      <c r="A1983" s="11"/>
      <c r="B1983" s="14" t="s">
        <v>78</v>
      </c>
      <c r="C1983" s="11"/>
      <c r="D1983" s="13"/>
      <c r="E1983" s="11"/>
      <c r="F1983" t="e">
        <f t="array" ref="F1983">PROFEXHyperlinkAddress(B1983:B1983)</f>
        <v>#NAME?</v>
      </c>
    </row>
    <row r="1984" spans="1:6">
      <c r="A1984" s="11"/>
      <c r="B1984" s="12"/>
      <c r="C1984" s="11"/>
      <c r="D1984" s="13"/>
      <c r="E1984" s="11"/>
      <c r="F1984" t="e">
        <f t="array" ref="F1984">PROFEXHyperlinkAddress(B1984:B1984)</f>
        <v>#NAME?</v>
      </c>
    </row>
    <row r="1985" ht="25.5" spans="1:6">
      <c r="A1985" s="15"/>
      <c r="B1985" s="14" t="s">
        <v>5</v>
      </c>
      <c r="C1985" s="15"/>
      <c r="D1985" s="16"/>
      <c r="E1985" s="15"/>
      <c r="F1985" t="e">
        <f t="array" ref="F1985">PROFEXHyperlinkAddress(B1985:B1985)</f>
        <v>#NAME?</v>
      </c>
    </row>
    <row r="1986" ht="195" spans="1:6">
      <c r="A1986" s="17">
        <v>4864097</v>
      </c>
      <c r="B1986" s="18" t="s">
        <v>724</v>
      </c>
      <c r="C1986" s="17" t="s">
        <v>1</v>
      </c>
      <c r="D1986" s="19" t="s">
        <v>2</v>
      </c>
      <c r="E1986" s="17" t="s">
        <v>725</v>
      </c>
      <c r="F1986" t="e">
        <f t="array" ref="F1986">PROFEXHyperlinkAddress(B1986:B1986)</f>
        <v>#NAME?</v>
      </c>
    </row>
    <row r="1987" spans="1:6">
      <c r="A1987" s="11"/>
      <c r="B1987" s="12"/>
      <c r="C1987" s="11"/>
      <c r="D1987" s="13"/>
      <c r="E1987" s="11"/>
      <c r="F1987" t="e">
        <f t="array" ref="F1987">PROFEXHyperlinkAddress(B1987:B1987)</f>
        <v>#NAME?</v>
      </c>
    </row>
    <row r="1988" ht="49.5" spans="1:6">
      <c r="A1988" s="11"/>
      <c r="B1988" s="14" t="s">
        <v>78</v>
      </c>
      <c r="C1988" s="11"/>
      <c r="D1988" s="13"/>
      <c r="E1988" s="11"/>
      <c r="F1988" t="e">
        <f t="array" ref="F1988">PROFEXHyperlinkAddress(B1988:B1988)</f>
        <v>#NAME?</v>
      </c>
    </row>
    <row r="1989" spans="1:6">
      <c r="A1989" s="11"/>
      <c r="B1989" s="12"/>
      <c r="C1989" s="11"/>
      <c r="D1989" s="13"/>
      <c r="E1989" s="11"/>
      <c r="F1989" t="e">
        <f t="array" ref="F1989">PROFEXHyperlinkAddress(B1989:B1989)</f>
        <v>#NAME?</v>
      </c>
    </row>
    <row r="1990" ht="25.5" spans="1:6">
      <c r="A1990" s="15"/>
      <c r="B1990" s="14" t="s">
        <v>5</v>
      </c>
      <c r="C1990" s="15"/>
      <c r="D1990" s="16"/>
      <c r="E1990" s="15"/>
      <c r="F1990" t="e">
        <f t="array" ref="F1990">PROFEXHyperlinkAddress(B1990:B1990)</f>
        <v>#NAME?</v>
      </c>
    </row>
    <row r="1991" ht="180" spans="1:6">
      <c r="A1991" s="17">
        <v>4862097</v>
      </c>
      <c r="B1991" s="18" t="s">
        <v>726</v>
      </c>
      <c r="C1991" s="17" t="s">
        <v>1</v>
      </c>
      <c r="D1991" s="19" t="s">
        <v>2</v>
      </c>
      <c r="E1991" s="17" t="s">
        <v>727</v>
      </c>
      <c r="F1991" t="e">
        <f t="array" ref="F1991">PROFEXHyperlinkAddress(B1991:B1991)</f>
        <v>#NAME?</v>
      </c>
    </row>
    <row r="1992" spans="1:6">
      <c r="A1992" s="11"/>
      <c r="B1992" s="12"/>
      <c r="C1992" s="11"/>
      <c r="D1992" s="13"/>
      <c r="E1992" s="11"/>
      <c r="F1992" t="e">
        <f t="array" ref="F1992">PROFEXHyperlinkAddress(B1992:B1992)</f>
        <v>#NAME?</v>
      </c>
    </row>
    <row r="1993" ht="49.5" spans="1:6">
      <c r="A1993" s="11"/>
      <c r="B1993" s="14" t="s">
        <v>78</v>
      </c>
      <c r="C1993" s="11"/>
      <c r="D1993" s="13"/>
      <c r="E1993" s="11"/>
      <c r="F1993" t="e">
        <f t="array" ref="F1993">PROFEXHyperlinkAddress(B1993:B1993)</f>
        <v>#NAME?</v>
      </c>
    </row>
    <row r="1994" spans="1:6">
      <c r="A1994" s="11"/>
      <c r="B1994" s="12"/>
      <c r="C1994" s="11"/>
      <c r="D1994" s="13"/>
      <c r="E1994" s="11"/>
      <c r="F1994" t="e">
        <f t="array" ref="F1994">PROFEXHyperlinkAddress(B1994:B1994)</f>
        <v>#NAME?</v>
      </c>
    </row>
    <row r="1995" ht="25.5" spans="1:6">
      <c r="A1995" s="15"/>
      <c r="B1995" s="14" t="s">
        <v>5</v>
      </c>
      <c r="C1995" s="15"/>
      <c r="D1995" s="16"/>
      <c r="E1995" s="15"/>
      <c r="F1995" t="e">
        <f t="array" ref="F1995">PROFEXHyperlinkAddress(B1995:B1995)</f>
        <v>#NAME?</v>
      </c>
    </row>
    <row r="1996" ht="180" spans="1:6">
      <c r="A1996" s="17">
        <v>4860097</v>
      </c>
      <c r="B1996" s="18" t="s">
        <v>728</v>
      </c>
      <c r="C1996" s="17" t="s">
        <v>1</v>
      </c>
      <c r="D1996" s="19" t="s">
        <v>2</v>
      </c>
      <c r="E1996" s="17" t="s">
        <v>729</v>
      </c>
      <c r="F1996" t="e">
        <f t="array" ref="F1996">PROFEXHyperlinkAddress(B1996:B1996)</f>
        <v>#NAME?</v>
      </c>
    </row>
    <row r="1997" spans="1:6">
      <c r="A1997" s="11"/>
      <c r="B1997" s="12"/>
      <c r="C1997" s="11"/>
      <c r="D1997" s="13"/>
      <c r="E1997" s="11"/>
      <c r="F1997" t="e">
        <f t="array" ref="F1997">PROFEXHyperlinkAddress(B1997:B1997)</f>
        <v>#NAME?</v>
      </c>
    </row>
    <row r="1998" ht="49.5" spans="1:6">
      <c r="A1998" s="11"/>
      <c r="B1998" s="14" t="s">
        <v>78</v>
      </c>
      <c r="C1998" s="11"/>
      <c r="D1998" s="13"/>
      <c r="E1998" s="11"/>
      <c r="F1998" t="e">
        <f t="array" ref="F1998">PROFEXHyperlinkAddress(B1998:B1998)</f>
        <v>#NAME?</v>
      </c>
    </row>
    <row r="1999" spans="1:6">
      <c r="A1999" s="11"/>
      <c r="B1999" s="12"/>
      <c r="C1999" s="11"/>
      <c r="D1999" s="13"/>
      <c r="E1999" s="11"/>
      <c r="F1999" t="e">
        <f t="array" ref="F1999">PROFEXHyperlinkAddress(B1999:B1999)</f>
        <v>#NAME?</v>
      </c>
    </row>
    <row r="2000" ht="25.5" spans="1:6">
      <c r="A2000" s="15"/>
      <c r="B2000" s="14" t="s">
        <v>5</v>
      </c>
      <c r="C2000" s="15"/>
      <c r="D2000" s="16"/>
      <c r="E2000" s="15"/>
      <c r="F2000" t="e">
        <f t="array" ref="F2000">PROFEXHyperlinkAddress(B2000:B2000)</f>
        <v>#NAME?</v>
      </c>
    </row>
    <row r="2001" ht="210" spans="1:6">
      <c r="A2001" s="17">
        <v>4858097</v>
      </c>
      <c r="B2001" s="18" t="s">
        <v>730</v>
      </c>
      <c r="C2001" s="17" t="s">
        <v>1</v>
      </c>
      <c r="D2001" s="19" t="s">
        <v>2</v>
      </c>
      <c r="E2001" s="17" t="s">
        <v>731</v>
      </c>
      <c r="F2001" t="e">
        <f t="array" ref="F2001">PROFEXHyperlinkAddress(B2001:B2001)</f>
        <v>#NAME?</v>
      </c>
    </row>
    <row r="2002" spans="1:6">
      <c r="A2002" s="11"/>
      <c r="B2002" s="12"/>
      <c r="C2002" s="11"/>
      <c r="D2002" s="13"/>
      <c r="E2002" s="11"/>
      <c r="F2002" t="e">
        <f t="array" ref="F2002">PROFEXHyperlinkAddress(B2002:B2002)</f>
        <v>#NAME?</v>
      </c>
    </row>
    <row r="2003" ht="49.5" spans="1:6">
      <c r="A2003" s="11"/>
      <c r="B2003" s="14" t="s">
        <v>78</v>
      </c>
      <c r="C2003" s="11"/>
      <c r="D2003" s="13"/>
      <c r="E2003" s="11"/>
      <c r="F2003" t="e">
        <f t="array" ref="F2003">PROFEXHyperlinkAddress(B2003:B2003)</f>
        <v>#NAME?</v>
      </c>
    </row>
    <row r="2004" spans="1:6">
      <c r="A2004" s="11"/>
      <c r="B2004" s="12"/>
      <c r="C2004" s="11"/>
      <c r="D2004" s="13"/>
      <c r="E2004" s="11"/>
      <c r="F2004" t="e">
        <f t="array" ref="F2004">PROFEXHyperlinkAddress(B2004:B2004)</f>
        <v>#NAME?</v>
      </c>
    </row>
    <row r="2005" ht="25.5" spans="1:6">
      <c r="A2005" s="15"/>
      <c r="B2005" s="14" t="s">
        <v>5</v>
      </c>
      <c r="C2005" s="15"/>
      <c r="D2005" s="16"/>
      <c r="E2005" s="15"/>
      <c r="F2005" t="e">
        <f t="array" ref="F2005">PROFEXHyperlinkAddress(B2005:B2005)</f>
        <v>#NAME?</v>
      </c>
    </row>
    <row r="2006" ht="195" spans="1:6">
      <c r="A2006" s="17">
        <v>4856097</v>
      </c>
      <c r="B2006" s="18" t="s">
        <v>732</v>
      </c>
      <c r="C2006" s="17" t="s">
        <v>1</v>
      </c>
      <c r="D2006" s="19" t="s">
        <v>2</v>
      </c>
      <c r="E2006" s="17" t="s">
        <v>733</v>
      </c>
      <c r="F2006" t="e">
        <f t="array" ref="F2006">PROFEXHyperlinkAddress(B2006:B2006)</f>
        <v>#NAME?</v>
      </c>
    </row>
    <row r="2007" spans="1:6">
      <c r="A2007" s="11"/>
      <c r="B2007" s="12"/>
      <c r="C2007" s="11"/>
      <c r="D2007" s="13"/>
      <c r="E2007" s="11"/>
      <c r="F2007" t="e">
        <f t="array" ref="F2007">PROFEXHyperlinkAddress(B2007:B2007)</f>
        <v>#NAME?</v>
      </c>
    </row>
    <row r="2008" ht="49.5" spans="1:6">
      <c r="A2008" s="11"/>
      <c r="B2008" s="14" t="s">
        <v>78</v>
      </c>
      <c r="C2008" s="11"/>
      <c r="D2008" s="13"/>
      <c r="E2008" s="11"/>
      <c r="F2008" t="e">
        <f t="array" ref="F2008">PROFEXHyperlinkAddress(B2008:B2008)</f>
        <v>#NAME?</v>
      </c>
    </row>
    <row r="2009" spans="1:6">
      <c r="A2009" s="11"/>
      <c r="B2009" s="12"/>
      <c r="C2009" s="11"/>
      <c r="D2009" s="13"/>
      <c r="E2009" s="11"/>
      <c r="F2009" t="e">
        <f t="array" ref="F2009">PROFEXHyperlinkAddress(B2009:B2009)</f>
        <v>#NAME?</v>
      </c>
    </row>
    <row r="2010" ht="25.5" spans="1:6">
      <c r="A2010" s="15"/>
      <c r="B2010" s="14" t="s">
        <v>5</v>
      </c>
      <c r="C2010" s="15"/>
      <c r="D2010" s="16"/>
      <c r="E2010" s="15"/>
      <c r="F2010" t="e">
        <f t="array" ref="F2010">PROFEXHyperlinkAddress(B2010:B2010)</f>
        <v>#NAME?</v>
      </c>
    </row>
    <row r="2011" ht="225" spans="1:6">
      <c r="A2011" s="17">
        <v>4854097</v>
      </c>
      <c r="B2011" s="18" t="s">
        <v>734</v>
      </c>
      <c r="C2011" s="17" t="s">
        <v>1</v>
      </c>
      <c r="D2011" s="19" t="s">
        <v>2</v>
      </c>
      <c r="E2011" s="17" t="s">
        <v>735</v>
      </c>
      <c r="F2011" t="e">
        <f t="array" ref="F2011">PROFEXHyperlinkAddress(B2011:B2011)</f>
        <v>#NAME?</v>
      </c>
    </row>
    <row r="2012" spans="1:6">
      <c r="A2012" s="11"/>
      <c r="B2012" s="12"/>
      <c r="C2012" s="11"/>
      <c r="D2012" s="13"/>
      <c r="E2012" s="11"/>
      <c r="F2012" t="e">
        <f t="array" ref="F2012">PROFEXHyperlinkAddress(B2012:B2012)</f>
        <v>#NAME?</v>
      </c>
    </row>
    <row r="2013" ht="49.5" spans="1:6">
      <c r="A2013" s="11"/>
      <c r="B2013" s="14" t="s">
        <v>78</v>
      </c>
      <c r="C2013" s="11"/>
      <c r="D2013" s="13"/>
      <c r="E2013" s="11"/>
      <c r="F2013" t="e">
        <f t="array" ref="F2013">PROFEXHyperlinkAddress(B2013:B2013)</f>
        <v>#NAME?</v>
      </c>
    </row>
    <row r="2014" spans="1:6">
      <c r="A2014" s="11"/>
      <c r="B2014" s="12"/>
      <c r="C2014" s="11"/>
      <c r="D2014" s="13"/>
      <c r="E2014" s="11"/>
      <c r="F2014" t="e">
        <f t="array" ref="F2014">PROFEXHyperlinkAddress(B2014:B2014)</f>
        <v>#NAME?</v>
      </c>
    </row>
    <row r="2015" ht="25.5" spans="1:6">
      <c r="A2015" s="15"/>
      <c r="B2015" s="14" t="s">
        <v>5</v>
      </c>
      <c r="C2015" s="15"/>
      <c r="D2015" s="16"/>
      <c r="E2015" s="15"/>
      <c r="F2015" t="e">
        <f t="array" ref="F2015">PROFEXHyperlinkAddress(B2015:B2015)</f>
        <v>#NAME?</v>
      </c>
    </row>
    <row r="2016" ht="210" spans="1:6">
      <c r="A2016" s="17">
        <v>4852097</v>
      </c>
      <c r="B2016" s="18" t="s">
        <v>736</v>
      </c>
      <c r="C2016" s="17" t="s">
        <v>1</v>
      </c>
      <c r="D2016" s="19" t="s">
        <v>2</v>
      </c>
      <c r="E2016" s="17" t="s">
        <v>720</v>
      </c>
      <c r="F2016" t="e">
        <f t="array" ref="F2016">PROFEXHyperlinkAddress(B2016:B2016)</f>
        <v>#NAME?</v>
      </c>
    </row>
    <row r="2017" spans="1:6">
      <c r="A2017" s="11"/>
      <c r="B2017" s="12"/>
      <c r="C2017" s="11"/>
      <c r="D2017" s="13"/>
      <c r="E2017" s="11"/>
      <c r="F2017" t="e">
        <f t="array" ref="F2017">PROFEXHyperlinkAddress(B2017:B2017)</f>
        <v>#NAME?</v>
      </c>
    </row>
    <row r="2018" ht="49.5" spans="1:6">
      <c r="A2018" s="11"/>
      <c r="B2018" s="14" t="s">
        <v>78</v>
      </c>
      <c r="C2018" s="11"/>
      <c r="D2018" s="13"/>
      <c r="E2018" s="11"/>
      <c r="F2018" t="e">
        <f t="array" ref="F2018">PROFEXHyperlinkAddress(B2018:B2018)</f>
        <v>#NAME?</v>
      </c>
    </row>
    <row r="2019" spans="1:6">
      <c r="A2019" s="11"/>
      <c r="B2019" s="12"/>
      <c r="C2019" s="11"/>
      <c r="D2019" s="13"/>
      <c r="E2019" s="11"/>
      <c r="F2019" t="e">
        <f t="array" ref="F2019">PROFEXHyperlinkAddress(B2019:B2019)</f>
        <v>#NAME?</v>
      </c>
    </row>
    <row r="2020" ht="25.5" spans="1:6">
      <c r="A2020" s="15"/>
      <c r="B2020" s="14" t="s">
        <v>5</v>
      </c>
      <c r="C2020" s="15"/>
      <c r="D2020" s="16"/>
      <c r="E2020" s="15"/>
      <c r="F2020" t="e">
        <f t="array" ref="F2020">PROFEXHyperlinkAddress(B2020:B2020)</f>
        <v>#NAME?</v>
      </c>
    </row>
    <row r="2021" ht="195" spans="1:6">
      <c r="A2021" s="17">
        <v>4850097</v>
      </c>
      <c r="B2021" s="18" t="s">
        <v>737</v>
      </c>
      <c r="C2021" s="17" t="s">
        <v>1</v>
      </c>
      <c r="D2021" s="19" t="s">
        <v>2</v>
      </c>
      <c r="E2021" s="17" t="s">
        <v>738</v>
      </c>
      <c r="F2021" t="e">
        <f t="array" ref="F2021">PROFEXHyperlinkAddress(B2021:B2021)</f>
        <v>#NAME?</v>
      </c>
    </row>
    <row r="2022" spans="1:6">
      <c r="A2022" s="11"/>
      <c r="B2022" s="12"/>
      <c r="C2022" s="11"/>
      <c r="D2022" s="13"/>
      <c r="E2022" s="11"/>
      <c r="F2022" t="e">
        <f t="array" ref="F2022">PROFEXHyperlinkAddress(B2022:B2022)</f>
        <v>#NAME?</v>
      </c>
    </row>
    <row r="2023" ht="49.5" spans="1:6">
      <c r="A2023" s="11"/>
      <c r="B2023" s="14" t="s">
        <v>78</v>
      </c>
      <c r="C2023" s="11"/>
      <c r="D2023" s="13"/>
      <c r="E2023" s="11"/>
      <c r="F2023" t="e">
        <f t="array" ref="F2023">PROFEXHyperlinkAddress(B2023:B2023)</f>
        <v>#NAME?</v>
      </c>
    </row>
    <row r="2024" spans="1:6">
      <c r="A2024" s="11"/>
      <c r="B2024" s="12"/>
      <c r="C2024" s="11"/>
      <c r="D2024" s="13"/>
      <c r="E2024" s="11"/>
      <c r="F2024" t="e">
        <f t="array" ref="F2024">PROFEXHyperlinkAddress(B2024:B2024)</f>
        <v>#NAME?</v>
      </c>
    </row>
    <row r="2025" ht="25.5" spans="1:6">
      <c r="A2025" s="15"/>
      <c r="B2025" s="14" t="s">
        <v>5</v>
      </c>
      <c r="C2025" s="15"/>
      <c r="D2025" s="16"/>
      <c r="E2025" s="15"/>
      <c r="F2025" t="e">
        <f t="array" ref="F2025">PROFEXHyperlinkAddress(B2025:B2025)</f>
        <v>#NAME?</v>
      </c>
    </row>
    <row r="2026" ht="240" spans="1:6">
      <c r="A2026" s="17">
        <v>4848097</v>
      </c>
      <c r="B2026" s="18" t="s">
        <v>739</v>
      </c>
      <c r="C2026" s="17" t="s">
        <v>1</v>
      </c>
      <c r="D2026" s="19" t="s">
        <v>2</v>
      </c>
      <c r="E2026" s="17" t="s">
        <v>740</v>
      </c>
      <c r="F2026" t="e">
        <f t="array" ref="F2026">PROFEXHyperlinkAddress(B2026:B2026)</f>
        <v>#NAME?</v>
      </c>
    </row>
    <row r="2027" spans="1:6">
      <c r="A2027" s="11"/>
      <c r="B2027" s="12"/>
      <c r="C2027" s="11"/>
      <c r="D2027" s="13"/>
      <c r="E2027" s="11"/>
      <c r="F2027" t="e">
        <f t="array" ref="F2027">PROFEXHyperlinkAddress(B2027:B2027)</f>
        <v>#NAME?</v>
      </c>
    </row>
    <row r="2028" ht="49.5" spans="1:6">
      <c r="A2028" s="11"/>
      <c r="B2028" s="14" t="s">
        <v>78</v>
      </c>
      <c r="C2028" s="11"/>
      <c r="D2028" s="13"/>
      <c r="E2028" s="11"/>
      <c r="F2028" t="e">
        <f t="array" ref="F2028">PROFEXHyperlinkAddress(B2028:B2028)</f>
        <v>#NAME?</v>
      </c>
    </row>
    <row r="2029" spans="1:6">
      <c r="A2029" s="11"/>
      <c r="B2029" s="12"/>
      <c r="C2029" s="11"/>
      <c r="D2029" s="13"/>
      <c r="E2029" s="11"/>
      <c r="F2029" t="e">
        <f t="array" ref="F2029">PROFEXHyperlinkAddress(B2029:B2029)</f>
        <v>#NAME?</v>
      </c>
    </row>
    <row r="2030" ht="25.5" spans="1:6">
      <c r="A2030" s="15"/>
      <c r="B2030" s="14" t="s">
        <v>5</v>
      </c>
      <c r="C2030" s="15"/>
      <c r="D2030" s="16"/>
      <c r="E2030" s="15"/>
      <c r="F2030" t="e">
        <f t="array" ref="F2030">PROFEXHyperlinkAddress(B2030:B2030)</f>
        <v>#NAME?</v>
      </c>
    </row>
    <row r="2031" ht="225" spans="1:6">
      <c r="A2031" s="17">
        <v>4846097</v>
      </c>
      <c r="B2031" s="18" t="s">
        <v>741</v>
      </c>
      <c r="C2031" s="17" t="s">
        <v>1</v>
      </c>
      <c r="D2031" s="19" t="s">
        <v>2</v>
      </c>
      <c r="E2031" s="17" t="s">
        <v>742</v>
      </c>
      <c r="F2031" t="e">
        <f t="array" ref="F2031">PROFEXHyperlinkAddress(B2031:B2031)</f>
        <v>#NAME?</v>
      </c>
    </row>
    <row r="2032" spans="1:6">
      <c r="A2032" s="11"/>
      <c r="B2032" s="12"/>
      <c r="C2032" s="11"/>
      <c r="D2032" s="13"/>
      <c r="E2032" s="11"/>
      <c r="F2032" t="e">
        <f t="array" ref="F2032">PROFEXHyperlinkAddress(B2032:B2032)</f>
        <v>#NAME?</v>
      </c>
    </row>
    <row r="2033" ht="49.5" spans="1:6">
      <c r="A2033" s="11"/>
      <c r="B2033" s="14" t="s">
        <v>78</v>
      </c>
      <c r="C2033" s="11"/>
      <c r="D2033" s="13"/>
      <c r="E2033" s="11"/>
      <c r="F2033" t="e">
        <f t="array" ref="F2033">PROFEXHyperlinkAddress(B2033:B2033)</f>
        <v>#NAME?</v>
      </c>
    </row>
    <row r="2034" spans="1:6">
      <c r="A2034" s="11"/>
      <c r="B2034" s="12"/>
      <c r="C2034" s="11"/>
      <c r="D2034" s="13"/>
      <c r="E2034" s="11"/>
      <c r="F2034" t="e">
        <f t="array" ref="F2034">PROFEXHyperlinkAddress(B2034:B2034)</f>
        <v>#NAME?</v>
      </c>
    </row>
    <row r="2035" ht="25.5" spans="1:6">
      <c r="A2035" s="15"/>
      <c r="B2035" s="14" t="s">
        <v>5</v>
      </c>
      <c r="C2035" s="15"/>
      <c r="D2035" s="16"/>
      <c r="E2035" s="15"/>
      <c r="F2035" t="e">
        <f t="array" ref="F2035">PROFEXHyperlinkAddress(B2035:B2035)</f>
        <v>#NAME?</v>
      </c>
    </row>
    <row r="2036" ht="150" spans="1:6">
      <c r="A2036" s="17">
        <v>4844097</v>
      </c>
      <c r="B2036" s="18" t="s">
        <v>743</v>
      </c>
      <c r="C2036" s="17" t="s">
        <v>1</v>
      </c>
      <c r="D2036" s="19" t="s">
        <v>2</v>
      </c>
      <c r="E2036" s="17" t="s">
        <v>744</v>
      </c>
      <c r="F2036" t="e">
        <f t="array" ref="F2036">PROFEXHyperlinkAddress(B2036:B2036)</f>
        <v>#NAME?</v>
      </c>
    </row>
    <row r="2037" spans="1:6">
      <c r="A2037" s="11"/>
      <c r="B2037" s="12"/>
      <c r="C2037" s="11"/>
      <c r="D2037" s="13"/>
      <c r="E2037" s="11"/>
      <c r="F2037" t="e">
        <f t="array" ref="F2037">PROFEXHyperlinkAddress(B2037:B2037)</f>
        <v>#NAME?</v>
      </c>
    </row>
    <row r="2038" ht="49.5" spans="1:6">
      <c r="A2038" s="11"/>
      <c r="B2038" s="14" t="s">
        <v>78</v>
      </c>
      <c r="C2038" s="11"/>
      <c r="D2038" s="13"/>
      <c r="E2038" s="11"/>
      <c r="F2038" t="e">
        <f t="array" ref="F2038">PROFEXHyperlinkAddress(B2038:B2038)</f>
        <v>#NAME?</v>
      </c>
    </row>
    <row r="2039" spans="1:6">
      <c r="A2039" s="11"/>
      <c r="B2039" s="12"/>
      <c r="C2039" s="11"/>
      <c r="D2039" s="13"/>
      <c r="E2039" s="11"/>
      <c r="F2039" t="e">
        <f t="array" ref="F2039">PROFEXHyperlinkAddress(B2039:B2039)</f>
        <v>#NAME?</v>
      </c>
    </row>
    <row r="2040" ht="25.5" spans="1:6">
      <c r="A2040" s="15"/>
      <c r="B2040" s="14" t="s">
        <v>5</v>
      </c>
      <c r="C2040" s="15"/>
      <c r="D2040" s="16"/>
      <c r="E2040" s="15"/>
      <c r="F2040" t="e">
        <f t="array" ref="F2040">PROFEXHyperlinkAddress(B2040:B2040)</f>
        <v>#NAME?</v>
      </c>
    </row>
    <row r="2041" ht="180" spans="1:6">
      <c r="A2041" s="17">
        <v>4842097</v>
      </c>
      <c r="B2041" s="18" t="s">
        <v>745</v>
      </c>
      <c r="C2041" s="17" t="s">
        <v>1</v>
      </c>
      <c r="D2041" s="19" t="s">
        <v>2</v>
      </c>
      <c r="E2041" s="17" t="s">
        <v>746</v>
      </c>
      <c r="F2041" t="e">
        <f t="array" ref="F2041">PROFEXHyperlinkAddress(B2041:B2041)</f>
        <v>#NAME?</v>
      </c>
    </row>
    <row r="2042" spans="1:6">
      <c r="A2042" s="11"/>
      <c r="B2042" s="12"/>
      <c r="C2042" s="11"/>
      <c r="D2042" s="13"/>
      <c r="E2042" s="11"/>
      <c r="F2042" t="e">
        <f t="array" ref="F2042">PROFEXHyperlinkAddress(B2042:B2042)</f>
        <v>#NAME?</v>
      </c>
    </row>
    <row r="2043" ht="49.5" spans="1:6">
      <c r="A2043" s="11"/>
      <c r="B2043" s="14" t="s">
        <v>78</v>
      </c>
      <c r="C2043" s="11"/>
      <c r="D2043" s="13"/>
      <c r="E2043" s="11"/>
      <c r="F2043" t="e">
        <f t="array" ref="F2043">PROFEXHyperlinkAddress(B2043:B2043)</f>
        <v>#NAME?</v>
      </c>
    </row>
    <row r="2044" spans="1:6">
      <c r="A2044" s="11"/>
      <c r="B2044" s="12"/>
      <c r="C2044" s="11"/>
      <c r="D2044" s="13"/>
      <c r="E2044" s="11"/>
      <c r="F2044" t="e">
        <f t="array" ref="F2044">PROFEXHyperlinkAddress(B2044:B2044)</f>
        <v>#NAME?</v>
      </c>
    </row>
    <row r="2045" ht="25.5" spans="1:6">
      <c r="A2045" s="15"/>
      <c r="B2045" s="14" t="s">
        <v>5</v>
      </c>
      <c r="C2045" s="15"/>
      <c r="D2045" s="16"/>
      <c r="E2045" s="15"/>
      <c r="F2045" t="e">
        <f t="array" ref="F2045">PROFEXHyperlinkAddress(B2045:B2045)</f>
        <v>#NAME?</v>
      </c>
    </row>
    <row r="2046" ht="255" spans="1:6">
      <c r="A2046" s="17">
        <v>4840097</v>
      </c>
      <c r="B2046" s="18" t="s">
        <v>747</v>
      </c>
      <c r="C2046" s="17" t="s">
        <v>1</v>
      </c>
      <c r="D2046" s="19" t="s">
        <v>2</v>
      </c>
      <c r="E2046" s="17" t="s">
        <v>748</v>
      </c>
      <c r="F2046" t="e">
        <f t="array" ref="F2046">PROFEXHyperlinkAddress(B2046:B2046)</f>
        <v>#NAME?</v>
      </c>
    </row>
    <row r="2047" spans="1:6">
      <c r="A2047" s="11"/>
      <c r="B2047" s="12"/>
      <c r="C2047" s="11"/>
      <c r="D2047" s="13"/>
      <c r="E2047" s="11"/>
      <c r="F2047" t="e">
        <f t="array" ref="F2047">PROFEXHyperlinkAddress(B2047:B2047)</f>
        <v>#NAME?</v>
      </c>
    </row>
    <row r="2048" ht="49.5" spans="1:6">
      <c r="A2048" s="11"/>
      <c r="B2048" s="14" t="s">
        <v>78</v>
      </c>
      <c r="C2048" s="11"/>
      <c r="D2048" s="13"/>
      <c r="E2048" s="11"/>
      <c r="F2048" t="e">
        <f t="array" ref="F2048">PROFEXHyperlinkAddress(B2048:B2048)</f>
        <v>#NAME?</v>
      </c>
    </row>
    <row r="2049" spans="1:6">
      <c r="A2049" s="11"/>
      <c r="B2049" s="12"/>
      <c r="C2049" s="11"/>
      <c r="D2049" s="13"/>
      <c r="E2049" s="11"/>
      <c r="F2049" t="e">
        <f t="array" ref="F2049">PROFEXHyperlinkAddress(B2049:B2049)</f>
        <v>#NAME?</v>
      </c>
    </row>
    <row r="2050" ht="25.5" spans="1:6">
      <c r="A2050" s="15"/>
      <c r="B2050" s="14" t="s">
        <v>5</v>
      </c>
      <c r="C2050" s="15"/>
      <c r="D2050" s="16"/>
      <c r="E2050" s="15"/>
      <c r="F2050" t="e">
        <f t="array" ref="F2050">PROFEXHyperlinkAddress(B2050:B2050)</f>
        <v>#NAME?</v>
      </c>
    </row>
    <row r="2051" ht="180" spans="1:6">
      <c r="A2051" s="17">
        <v>4838097</v>
      </c>
      <c r="B2051" s="18" t="s">
        <v>749</v>
      </c>
      <c r="C2051" s="17" t="s">
        <v>1</v>
      </c>
      <c r="D2051" s="19" t="s">
        <v>2</v>
      </c>
      <c r="E2051" s="17" t="s">
        <v>750</v>
      </c>
      <c r="F2051" t="e">
        <f t="array" ref="F2051">PROFEXHyperlinkAddress(B2051:B2051)</f>
        <v>#NAME?</v>
      </c>
    </row>
    <row r="2052" spans="1:6">
      <c r="A2052" s="11"/>
      <c r="B2052" s="12"/>
      <c r="C2052" s="11"/>
      <c r="D2052" s="13"/>
      <c r="E2052" s="11"/>
      <c r="F2052" t="e">
        <f t="array" ref="F2052">PROFEXHyperlinkAddress(B2052:B2052)</f>
        <v>#NAME?</v>
      </c>
    </row>
    <row r="2053" ht="49.5" spans="1:6">
      <c r="A2053" s="11"/>
      <c r="B2053" s="14" t="s">
        <v>78</v>
      </c>
      <c r="C2053" s="11"/>
      <c r="D2053" s="13"/>
      <c r="E2053" s="11"/>
      <c r="F2053" t="e">
        <f t="array" ref="F2053">PROFEXHyperlinkAddress(B2053:B2053)</f>
        <v>#NAME?</v>
      </c>
    </row>
    <row r="2054" spans="1:6">
      <c r="A2054" s="11"/>
      <c r="B2054" s="12"/>
      <c r="C2054" s="11"/>
      <c r="D2054" s="13"/>
      <c r="E2054" s="11"/>
      <c r="F2054" t="e">
        <f t="array" ref="F2054">PROFEXHyperlinkAddress(B2054:B2054)</f>
        <v>#NAME?</v>
      </c>
    </row>
    <row r="2055" ht="25.5" spans="1:6">
      <c r="A2055" s="15"/>
      <c r="B2055" s="14" t="s">
        <v>5</v>
      </c>
      <c r="C2055" s="15"/>
      <c r="D2055" s="16"/>
      <c r="E2055" s="15"/>
      <c r="F2055" t="e">
        <f t="array" ref="F2055">PROFEXHyperlinkAddress(B2055:B2055)</f>
        <v>#NAME?</v>
      </c>
    </row>
    <row r="2056" ht="195" spans="1:6">
      <c r="A2056" s="17">
        <v>4836097</v>
      </c>
      <c r="B2056" s="18" t="s">
        <v>751</v>
      </c>
      <c r="C2056" s="17" t="s">
        <v>1</v>
      </c>
      <c r="D2056" s="19" t="s">
        <v>2</v>
      </c>
      <c r="E2056" s="17" t="s">
        <v>752</v>
      </c>
      <c r="F2056" t="e">
        <f t="array" ref="F2056">PROFEXHyperlinkAddress(B2056:B2056)</f>
        <v>#NAME?</v>
      </c>
    </row>
    <row r="2057" spans="1:6">
      <c r="A2057" s="11"/>
      <c r="B2057" s="12"/>
      <c r="C2057" s="11"/>
      <c r="D2057" s="13"/>
      <c r="E2057" s="11"/>
      <c r="F2057" t="e">
        <f t="array" ref="F2057">PROFEXHyperlinkAddress(B2057:B2057)</f>
        <v>#NAME?</v>
      </c>
    </row>
    <row r="2058" ht="49.5" spans="1:6">
      <c r="A2058" s="11"/>
      <c r="B2058" s="14" t="s">
        <v>78</v>
      </c>
      <c r="C2058" s="11"/>
      <c r="D2058" s="13"/>
      <c r="E2058" s="11"/>
      <c r="F2058" t="e">
        <f t="array" ref="F2058">PROFEXHyperlinkAddress(B2058:B2058)</f>
        <v>#NAME?</v>
      </c>
    </row>
    <row r="2059" spans="1:6">
      <c r="A2059" s="11"/>
      <c r="B2059" s="12"/>
      <c r="C2059" s="11"/>
      <c r="D2059" s="13"/>
      <c r="E2059" s="11"/>
      <c r="F2059" t="e">
        <f t="array" ref="F2059">PROFEXHyperlinkAddress(B2059:B2059)</f>
        <v>#NAME?</v>
      </c>
    </row>
    <row r="2060" ht="25.5" spans="1:6">
      <c r="A2060" s="15"/>
      <c r="B2060" s="14" t="s">
        <v>5</v>
      </c>
      <c r="C2060" s="15"/>
      <c r="D2060" s="16"/>
      <c r="E2060" s="15"/>
      <c r="F2060" t="e">
        <f t="array" ref="F2060">PROFEXHyperlinkAddress(B2060:B2060)</f>
        <v>#NAME?</v>
      </c>
    </row>
    <row r="2061" ht="120" spans="1:6">
      <c r="A2061" s="17">
        <v>4835097</v>
      </c>
      <c r="B2061" s="18" t="s">
        <v>753</v>
      </c>
      <c r="C2061" s="17" t="s">
        <v>1</v>
      </c>
      <c r="D2061" s="19" t="s">
        <v>2</v>
      </c>
      <c r="E2061" s="17" t="s">
        <v>754</v>
      </c>
      <c r="F2061" t="e">
        <f t="array" ref="F2061">PROFEXHyperlinkAddress(B2061:B2061)</f>
        <v>#NAME?</v>
      </c>
    </row>
    <row r="2062" spans="1:6">
      <c r="A2062" s="11"/>
      <c r="B2062" s="12"/>
      <c r="C2062" s="11"/>
      <c r="D2062" s="13"/>
      <c r="E2062" s="11"/>
      <c r="F2062" t="e">
        <f t="array" ref="F2062">PROFEXHyperlinkAddress(B2062:B2062)</f>
        <v>#NAME?</v>
      </c>
    </row>
    <row r="2063" ht="57.75" spans="1:6">
      <c r="A2063" s="11"/>
      <c r="B2063" s="14" t="s">
        <v>21</v>
      </c>
      <c r="C2063" s="11"/>
      <c r="D2063" s="13"/>
      <c r="E2063" s="11"/>
      <c r="F2063" t="e">
        <f t="array" ref="F2063">PROFEXHyperlinkAddress(B2063:B2063)</f>
        <v>#NAME?</v>
      </c>
    </row>
    <row r="2064" spans="1:6">
      <c r="A2064" s="11"/>
      <c r="B2064" s="12"/>
      <c r="C2064" s="11"/>
      <c r="D2064" s="13"/>
      <c r="E2064" s="11"/>
      <c r="F2064" t="e">
        <f t="array" ref="F2064">PROFEXHyperlinkAddress(B2064:B2064)</f>
        <v>#NAME?</v>
      </c>
    </row>
    <row r="2065" ht="25.5" spans="1:6">
      <c r="A2065" s="15"/>
      <c r="B2065" s="14" t="s">
        <v>755</v>
      </c>
      <c r="C2065" s="15"/>
      <c r="D2065" s="16"/>
      <c r="E2065" s="15"/>
      <c r="F2065" t="e">
        <f t="array" ref="F2065">PROFEXHyperlinkAddress(B2065:B2065)</f>
        <v>#NAME?</v>
      </c>
    </row>
    <row r="2066" ht="165" spans="1:6">
      <c r="A2066" s="17">
        <v>4826097</v>
      </c>
      <c r="B2066" s="18" t="s">
        <v>756</v>
      </c>
      <c r="C2066" s="17" t="s">
        <v>1</v>
      </c>
      <c r="D2066" s="19" t="s">
        <v>2</v>
      </c>
      <c r="E2066" s="17" t="s">
        <v>757</v>
      </c>
      <c r="F2066" t="e">
        <f t="array" ref="F2066">PROFEXHyperlinkAddress(B2066:B2066)</f>
        <v>#NAME?</v>
      </c>
    </row>
    <row r="2067" spans="1:6">
      <c r="A2067" s="11"/>
      <c r="B2067" s="12"/>
      <c r="C2067" s="11"/>
      <c r="D2067" s="13"/>
      <c r="E2067" s="11"/>
      <c r="F2067" t="e">
        <f t="array" ref="F2067">PROFEXHyperlinkAddress(B2067:B2067)</f>
        <v>#NAME?</v>
      </c>
    </row>
    <row r="2068" ht="49.5" spans="1:6">
      <c r="A2068" s="11"/>
      <c r="B2068" s="14" t="s">
        <v>78</v>
      </c>
      <c r="C2068" s="11"/>
      <c r="D2068" s="13"/>
      <c r="E2068" s="11"/>
      <c r="F2068" t="e">
        <f t="array" ref="F2068">PROFEXHyperlinkAddress(B2068:B2068)</f>
        <v>#NAME?</v>
      </c>
    </row>
    <row r="2069" spans="1:6">
      <c r="A2069" s="11"/>
      <c r="B2069" s="12"/>
      <c r="C2069" s="11"/>
      <c r="D2069" s="13"/>
      <c r="E2069" s="11"/>
      <c r="F2069" t="e">
        <f t="array" ref="F2069">PROFEXHyperlinkAddress(B2069:B2069)</f>
        <v>#NAME?</v>
      </c>
    </row>
    <row r="2070" ht="25.5" spans="1:6">
      <c r="A2070" s="15"/>
      <c r="B2070" s="14" t="s">
        <v>5</v>
      </c>
      <c r="C2070" s="15"/>
      <c r="D2070" s="16"/>
      <c r="E2070" s="15"/>
      <c r="F2070" t="e">
        <f t="array" ref="F2070">PROFEXHyperlinkAddress(B2070:B2070)</f>
        <v>#NAME?</v>
      </c>
    </row>
    <row r="2071" ht="240" spans="1:6">
      <c r="A2071" s="17">
        <v>4822097</v>
      </c>
      <c r="B2071" s="18" t="s">
        <v>758</v>
      </c>
      <c r="C2071" s="17" t="s">
        <v>1</v>
      </c>
      <c r="D2071" s="19" t="s">
        <v>2</v>
      </c>
      <c r="E2071" s="17" t="s">
        <v>720</v>
      </c>
      <c r="F2071" t="e">
        <f t="array" ref="F2071">PROFEXHyperlinkAddress(B2071:B2071)</f>
        <v>#NAME?</v>
      </c>
    </row>
    <row r="2072" spans="1:6">
      <c r="A2072" s="11"/>
      <c r="B2072" s="12"/>
      <c r="C2072" s="11"/>
      <c r="D2072" s="13"/>
      <c r="E2072" s="11"/>
      <c r="F2072" t="e">
        <f t="array" ref="F2072">PROFEXHyperlinkAddress(B2072:B2072)</f>
        <v>#NAME?</v>
      </c>
    </row>
    <row r="2073" ht="49.5" spans="1:6">
      <c r="A2073" s="11"/>
      <c r="B2073" s="14" t="s">
        <v>78</v>
      </c>
      <c r="C2073" s="11"/>
      <c r="D2073" s="13"/>
      <c r="E2073" s="11"/>
      <c r="F2073" t="e">
        <f t="array" ref="F2073">PROFEXHyperlinkAddress(B2073:B2073)</f>
        <v>#NAME?</v>
      </c>
    </row>
    <row r="2074" spans="1:6">
      <c r="A2074" s="11"/>
      <c r="B2074" s="12"/>
      <c r="C2074" s="11"/>
      <c r="D2074" s="13"/>
      <c r="E2074" s="11"/>
      <c r="F2074" t="e">
        <f t="array" ref="F2074">PROFEXHyperlinkAddress(B2074:B2074)</f>
        <v>#NAME?</v>
      </c>
    </row>
    <row r="2075" ht="25.5" spans="1:6">
      <c r="A2075" s="15"/>
      <c r="B2075" s="14" t="s">
        <v>5</v>
      </c>
      <c r="C2075" s="15"/>
      <c r="D2075" s="16"/>
      <c r="E2075" s="15"/>
      <c r="F2075" t="e">
        <f t="array" ref="F2075">PROFEXHyperlinkAddress(B2075:B2075)</f>
        <v>#NAME?</v>
      </c>
    </row>
    <row r="2076" ht="225" spans="1:6">
      <c r="A2076" s="17">
        <v>4821097</v>
      </c>
      <c r="B2076" s="18" t="s">
        <v>759</v>
      </c>
      <c r="C2076" s="17" t="s">
        <v>1</v>
      </c>
      <c r="D2076" s="19" t="s">
        <v>2</v>
      </c>
      <c r="E2076" s="17" t="s">
        <v>757</v>
      </c>
      <c r="F2076" t="e">
        <f t="array" ref="F2076">PROFEXHyperlinkAddress(B2076:B2076)</f>
        <v>#NAME?</v>
      </c>
    </row>
    <row r="2077" spans="1:6">
      <c r="A2077" s="11"/>
      <c r="B2077" s="12"/>
      <c r="C2077" s="11"/>
      <c r="D2077" s="13"/>
      <c r="E2077" s="11"/>
      <c r="F2077" t="e">
        <f t="array" ref="F2077">PROFEXHyperlinkAddress(B2077:B2077)</f>
        <v>#NAME?</v>
      </c>
    </row>
    <row r="2078" ht="49.5" spans="1:6">
      <c r="A2078" s="11"/>
      <c r="B2078" s="14" t="s">
        <v>78</v>
      </c>
      <c r="C2078" s="11"/>
      <c r="D2078" s="13"/>
      <c r="E2078" s="11"/>
      <c r="F2078" t="e">
        <f t="array" ref="F2078">PROFEXHyperlinkAddress(B2078:B2078)</f>
        <v>#NAME?</v>
      </c>
    </row>
    <row r="2079" spans="1:6">
      <c r="A2079" s="11"/>
      <c r="B2079" s="12"/>
      <c r="C2079" s="11"/>
      <c r="D2079" s="13"/>
      <c r="E2079" s="11"/>
      <c r="F2079" t="e">
        <f t="array" ref="F2079">PROFEXHyperlinkAddress(B2079:B2079)</f>
        <v>#NAME?</v>
      </c>
    </row>
    <row r="2080" ht="25.5" spans="1:6">
      <c r="A2080" s="15"/>
      <c r="B2080" s="14" t="s">
        <v>5</v>
      </c>
      <c r="C2080" s="15"/>
      <c r="D2080" s="16"/>
      <c r="E2080" s="15"/>
      <c r="F2080" t="e">
        <f t="array" ref="F2080">PROFEXHyperlinkAddress(B2080:B2080)</f>
        <v>#NAME?</v>
      </c>
    </row>
    <row r="2081" ht="120" spans="1:6">
      <c r="A2081" s="17">
        <v>4816097</v>
      </c>
      <c r="B2081" s="18" t="s">
        <v>760</v>
      </c>
      <c r="C2081" s="17" t="s">
        <v>1</v>
      </c>
      <c r="D2081" s="19" t="s">
        <v>2</v>
      </c>
      <c r="E2081" s="17" t="s">
        <v>182</v>
      </c>
      <c r="F2081" t="e">
        <f t="array" ref="F2081">PROFEXHyperlinkAddress(B2081:B2081)</f>
        <v>#NAME?</v>
      </c>
    </row>
    <row r="2082" spans="1:6">
      <c r="A2082" s="11"/>
      <c r="B2082" s="12"/>
      <c r="C2082" s="11"/>
      <c r="D2082" s="13"/>
      <c r="E2082" s="11"/>
      <c r="F2082" t="e">
        <f t="array" ref="F2082">PROFEXHyperlinkAddress(B2082:B2082)</f>
        <v>#NAME?</v>
      </c>
    </row>
    <row r="2083" ht="57.75" spans="1:6">
      <c r="A2083" s="11"/>
      <c r="B2083" s="14" t="s">
        <v>21</v>
      </c>
      <c r="C2083" s="11"/>
      <c r="D2083" s="13"/>
      <c r="E2083" s="11"/>
      <c r="F2083" t="e">
        <f t="array" ref="F2083">PROFEXHyperlinkAddress(B2083:B2083)</f>
        <v>#NAME?</v>
      </c>
    </row>
    <row r="2084" spans="1:6">
      <c r="A2084" s="11"/>
      <c r="B2084" s="12"/>
      <c r="C2084" s="11"/>
      <c r="D2084" s="13"/>
      <c r="E2084" s="11"/>
      <c r="F2084" t="e">
        <f t="array" ref="F2084">PROFEXHyperlinkAddress(B2084:B2084)</f>
        <v>#NAME?</v>
      </c>
    </row>
    <row r="2085" ht="25.5" spans="1:6">
      <c r="A2085" s="15"/>
      <c r="B2085" s="14" t="s">
        <v>761</v>
      </c>
      <c r="C2085" s="15"/>
      <c r="D2085" s="16"/>
      <c r="E2085" s="15"/>
      <c r="F2085" t="e">
        <f t="array" ref="F2085">PROFEXHyperlinkAddress(B2085:B2085)</f>
        <v>#NAME?</v>
      </c>
    </row>
    <row r="2086" ht="150" spans="1:6">
      <c r="A2086" s="17">
        <v>4811097</v>
      </c>
      <c r="B2086" s="18" t="s">
        <v>762</v>
      </c>
      <c r="C2086" s="17" t="s">
        <v>1</v>
      </c>
      <c r="D2086" s="19" t="s">
        <v>2</v>
      </c>
      <c r="E2086" s="17" t="s">
        <v>725</v>
      </c>
      <c r="F2086" t="e">
        <f t="array" ref="F2086">PROFEXHyperlinkAddress(B2086:B2086)</f>
        <v>#NAME?</v>
      </c>
    </row>
    <row r="2087" spans="1:6">
      <c r="A2087" s="11"/>
      <c r="B2087" s="12"/>
      <c r="C2087" s="11"/>
      <c r="D2087" s="13"/>
      <c r="E2087" s="11"/>
      <c r="F2087" t="e">
        <f t="array" ref="F2087">PROFEXHyperlinkAddress(B2087:B2087)</f>
        <v>#NAME?</v>
      </c>
    </row>
    <row r="2088" ht="49.5" spans="1:6">
      <c r="A2088" s="11"/>
      <c r="B2088" s="14" t="s">
        <v>78</v>
      </c>
      <c r="C2088" s="11"/>
      <c r="D2088" s="13"/>
      <c r="E2088" s="11"/>
      <c r="F2088" t="e">
        <f t="array" ref="F2088">PROFEXHyperlinkAddress(B2088:B2088)</f>
        <v>#NAME?</v>
      </c>
    </row>
    <row r="2089" spans="1:6">
      <c r="A2089" s="11"/>
      <c r="B2089" s="12"/>
      <c r="C2089" s="11"/>
      <c r="D2089" s="13"/>
      <c r="E2089" s="11"/>
      <c r="F2089" t="e">
        <f t="array" ref="F2089">PROFEXHyperlinkAddress(B2089:B2089)</f>
        <v>#NAME?</v>
      </c>
    </row>
    <row r="2090" ht="25.5" spans="1:6">
      <c r="A2090" s="15"/>
      <c r="B2090" s="14" t="s">
        <v>5</v>
      </c>
      <c r="C2090" s="15"/>
      <c r="D2090" s="16"/>
      <c r="E2090" s="15"/>
      <c r="F2090" t="e">
        <f t="array" ref="F2090">PROFEXHyperlinkAddress(B2090:B2090)</f>
        <v>#NAME?</v>
      </c>
    </row>
    <row r="2091" ht="150" spans="1:6">
      <c r="A2091" s="17">
        <v>4807097</v>
      </c>
      <c r="B2091" s="18" t="s">
        <v>763</v>
      </c>
      <c r="C2091" s="17" t="s">
        <v>1</v>
      </c>
      <c r="D2091" s="19" t="s">
        <v>2</v>
      </c>
      <c r="E2091" s="17" t="s">
        <v>10</v>
      </c>
      <c r="F2091" t="e">
        <f t="array" ref="F2091">PROFEXHyperlinkAddress(B2091:B2091)</f>
        <v>#NAME?</v>
      </c>
    </row>
    <row r="2092" spans="1:6">
      <c r="A2092" s="11"/>
      <c r="B2092" s="12"/>
      <c r="C2092" s="11"/>
      <c r="D2092" s="13"/>
      <c r="E2092" s="11"/>
      <c r="F2092" t="e">
        <f t="array" ref="F2092">PROFEXHyperlinkAddress(B2092:B2092)</f>
        <v>#NAME?</v>
      </c>
    </row>
    <row r="2093" ht="57.75" spans="1:6">
      <c r="A2093" s="11"/>
      <c r="B2093" s="14" t="s">
        <v>21</v>
      </c>
      <c r="C2093" s="11"/>
      <c r="D2093" s="13"/>
      <c r="E2093" s="11"/>
      <c r="F2093" t="e">
        <f t="array" ref="F2093">PROFEXHyperlinkAddress(B2093:B2093)</f>
        <v>#NAME?</v>
      </c>
    </row>
    <row r="2094" spans="1:6">
      <c r="A2094" s="11"/>
      <c r="B2094" s="12"/>
      <c r="C2094" s="11"/>
      <c r="D2094" s="13"/>
      <c r="E2094" s="11"/>
      <c r="F2094" t="e">
        <f t="array" ref="F2094">PROFEXHyperlinkAddress(B2094:B2094)</f>
        <v>#NAME?</v>
      </c>
    </row>
    <row r="2095" ht="25.5" spans="1:6">
      <c r="A2095" s="15"/>
      <c r="B2095" s="14" t="s">
        <v>5</v>
      </c>
      <c r="C2095" s="15"/>
      <c r="D2095" s="16"/>
      <c r="E2095" s="15"/>
      <c r="F2095" t="e">
        <f t="array" ref="F2095">PROFEXHyperlinkAddress(B2095:B2095)</f>
        <v>#NAME?</v>
      </c>
    </row>
    <row r="2096" ht="180" spans="1:6">
      <c r="A2096" s="17">
        <v>4806097</v>
      </c>
      <c r="B2096" s="18" t="s">
        <v>764</v>
      </c>
      <c r="C2096" s="17" t="s">
        <v>1</v>
      </c>
      <c r="D2096" s="19" t="s">
        <v>2</v>
      </c>
      <c r="E2096" s="17" t="s">
        <v>464</v>
      </c>
      <c r="F2096" t="e">
        <f t="array" ref="F2096">PROFEXHyperlinkAddress(B2096:B2096)</f>
        <v>#NAME?</v>
      </c>
    </row>
    <row r="2097" spans="1:6">
      <c r="A2097" s="11"/>
      <c r="B2097" s="12"/>
      <c r="C2097" s="11"/>
      <c r="D2097" s="13"/>
      <c r="E2097" s="11"/>
      <c r="F2097" t="e">
        <f t="array" ref="F2097">PROFEXHyperlinkAddress(B2097:B2097)</f>
        <v>#NAME?</v>
      </c>
    </row>
    <row r="2098" ht="57.75" spans="1:6">
      <c r="A2098" s="11"/>
      <c r="B2098" s="14" t="s">
        <v>21</v>
      </c>
      <c r="C2098" s="11"/>
      <c r="D2098" s="13"/>
      <c r="E2098" s="11"/>
      <c r="F2098" t="e">
        <f t="array" ref="F2098">PROFEXHyperlinkAddress(B2098:B2098)</f>
        <v>#NAME?</v>
      </c>
    </row>
    <row r="2099" spans="1:6">
      <c r="A2099" s="11"/>
      <c r="B2099" s="12"/>
      <c r="C2099" s="11"/>
      <c r="D2099" s="13"/>
      <c r="E2099" s="11"/>
      <c r="F2099" t="e">
        <f t="array" ref="F2099">PROFEXHyperlinkAddress(B2099:B2099)</f>
        <v>#NAME?</v>
      </c>
    </row>
    <row r="2100" ht="25.5" spans="1:6">
      <c r="A2100" s="15"/>
      <c r="B2100" s="14" t="s">
        <v>5</v>
      </c>
      <c r="C2100" s="15"/>
      <c r="D2100" s="16"/>
      <c r="E2100" s="15"/>
      <c r="F2100" t="e">
        <f t="array" ref="F2100">PROFEXHyperlinkAddress(B2100:B2100)</f>
        <v>#NAME?</v>
      </c>
    </row>
    <row r="2101" ht="240" spans="1:6">
      <c r="A2101" s="17">
        <v>4803097</v>
      </c>
      <c r="B2101" s="18" t="s">
        <v>433</v>
      </c>
      <c r="C2101" s="17" t="s">
        <v>1</v>
      </c>
      <c r="D2101" s="19" t="s">
        <v>76</v>
      </c>
      <c r="E2101" s="17" t="s">
        <v>597</v>
      </c>
      <c r="F2101" t="e">
        <f t="array" ref="F2101">PROFEXHyperlinkAddress(B2101:B2101)</f>
        <v>#NAME?</v>
      </c>
    </row>
    <row r="2102" spans="1:6">
      <c r="A2102" s="11"/>
      <c r="B2102" s="12"/>
      <c r="C2102" s="11"/>
      <c r="D2102" s="13"/>
      <c r="E2102" s="11"/>
      <c r="F2102" t="e">
        <f t="array" ref="F2102">PROFEXHyperlinkAddress(B2102:B2102)</f>
        <v>#NAME?</v>
      </c>
    </row>
    <row r="2103" ht="49.5" spans="1:6">
      <c r="A2103" s="11"/>
      <c r="B2103" s="14" t="s">
        <v>78</v>
      </c>
      <c r="C2103" s="11"/>
      <c r="D2103" s="13"/>
      <c r="E2103" s="11"/>
      <c r="F2103" t="e">
        <f t="array" ref="F2103">PROFEXHyperlinkAddress(B2103:B2103)</f>
        <v>#NAME?</v>
      </c>
    </row>
    <row r="2104" spans="1:6">
      <c r="A2104" s="11"/>
      <c r="B2104" s="12"/>
      <c r="C2104" s="11"/>
      <c r="D2104" s="13"/>
      <c r="E2104" s="11"/>
      <c r="F2104" t="e">
        <f t="array" ref="F2104">PROFEXHyperlinkAddress(B2104:B2104)</f>
        <v>#NAME?</v>
      </c>
    </row>
    <row r="2105" ht="25.5" spans="1:6">
      <c r="A2105" s="15"/>
      <c r="B2105" s="14" t="s">
        <v>5</v>
      </c>
      <c r="C2105" s="15"/>
      <c r="D2105" s="16"/>
      <c r="E2105" s="15"/>
      <c r="F2105" t="e">
        <f t="array" ref="F2105">PROFEXHyperlinkAddress(B2105:B2105)</f>
        <v>#NAME?</v>
      </c>
    </row>
    <row r="2106" ht="150" spans="1:6">
      <c r="A2106" s="17">
        <v>4801097</v>
      </c>
      <c r="B2106" s="18" t="s">
        <v>765</v>
      </c>
      <c r="C2106" s="17" t="s">
        <v>1</v>
      </c>
      <c r="D2106" s="19" t="s">
        <v>76</v>
      </c>
      <c r="E2106" s="17" t="s">
        <v>296</v>
      </c>
      <c r="F2106" t="e">
        <f t="array" ref="F2106">PROFEXHyperlinkAddress(B2106:B2106)</f>
        <v>#NAME?</v>
      </c>
    </row>
    <row r="2107" spans="1:6">
      <c r="A2107" s="11"/>
      <c r="B2107" s="12"/>
      <c r="C2107" s="11"/>
      <c r="D2107" s="13"/>
      <c r="E2107" s="11"/>
      <c r="F2107" t="e">
        <f t="array" ref="F2107">PROFEXHyperlinkAddress(B2107:B2107)</f>
        <v>#NAME?</v>
      </c>
    </row>
    <row r="2108" ht="49.5" spans="1:6">
      <c r="A2108" s="11"/>
      <c r="B2108" s="14" t="s">
        <v>78</v>
      </c>
      <c r="C2108" s="11"/>
      <c r="D2108" s="13"/>
      <c r="E2108" s="11"/>
      <c r="F2108" t="e">
        <f t="array" ref="F2108">PROFEXHyperlinkAddress(B2108:B2108)</f>
        <v>#NAME?</v>
      </c>
    </row>
    <row r="2109" spans="1:6">
      <c r="A2109" s="11"/>
      <c r="B2109" s="12"/>
      <c r="C2109" s="11"/>
      <c r="D2109" s="13"/>
      <c r="E2109" s="11"/>
      <c r="F2109" t="e">
        <f t="array" ref="F2109">PROFEXHyperlinkAddress(B2109:B2109)</f>
        <v>#NAME?</v>
      </c>
    </row>
    <row r="2110" ht="25.5" spans="1:6">
      <c r="A2110" s="15"/>
      <c r="B2110" s="14" t="s">
        <v>5</v>
      </c>
      <c r="C2110" s="15"/>
      <c r="D2110" s="16"/>
      <c r="E2110" s="15"/>
      <c r="F2110" t="e">
        <f t="array" ref="F2110">PROFEXHyperlinkAddress(B2110:B2110)</f>
        <v>#NAME?</v>
      </c>
    </row>
    <row r="2111" ht="180" spans="1:6">
      <c r="A2111" s="17">
        <v>4799097</v>
      </c>
      <c r="B2111" s="18" t="s">
        <v>766</v>
      </c>
      <c r="C2111" s="17" t="s">
        <v>1</v>
      </c>
      <c r="D2111" s="19" t="s">
        <v>2</v>
      </c>
      <c r="E2111" s="17" t="s">
        <v>767</v>
      </c>
      <c r="F2111" t="e">
        <f t="array" ref="F2111">PROFEXHyperlinkAddress(B2111:B2111)</f>
        <v>#NAME?</v>
      </c>
    </row>
    <row r="2112" spans="1:6">
      <c r="A2112" s="11"/>
      <c r="B2112" s="12"/>
      <c r="C2112" s="11"/>
      <c r="D2112" s="13"/>
      <c r="E2112" s="11"/>
      <c r="F2112" t="e">
        <f t="array" ref="F2112">PROFEXHyperlinkAddress(B2112:B2112)</f>
        <v>#NAME?</v>
      </c>
    </row>
    <row r="2113" ht="49.5" spans="1:6">
      <c r="A2113" s="11"/>
      <c r="B2113" s="14" t="s">
        <v>78</v>
      </c>
      <c r="C2113" s="11"/>
      <c r="D2113" s="13"/>
      <c r="E2113" s="11"/>
      <c r="F2113" t="e">
        <f t="array" ref="F2113">PROFEXHyperlinkAddress(B2113:B2113)</f>
        <v>#NAME?</v>
      </c>
    </row>
    <row r="2114" spans="1:6">
      <c r="A2114" s="11"/>
      <c r="B2114" s="12"/>
      <c r="C2114" s="11"/>
      <c r="D2114" s="13"/>
      <c r="E2114" s="11"/>
      <c r="F2114" t="e">
        <f t="array" ref="F2114">PROFEXHyperlinkAddress(B2114:B2114)</f>
        <v>#NAME?</v>
      </c>
    </row>
    <row r="2115" ht="25.5" spans="1:6">
      <c r="A2115" s="15"/>
      <c r="B2115" s="14" t="s">
        <v>5</v>
      </c>
      <c r="C2115" s="15"/>
      <c r="D2115" s="16"/>
      <c r="E2115" s="15"/>
      <c r="F2115" t="e">
        <f t="array" ref="F2115">PROFEXHyperlinkAddress(B2115:B2115)</f>
        <v>#NAME?</v>
      </c>
    </row>
    <row r="2116" ht="195" spans="1:6">
      <c r="A2116" s="17">
        <v>4797097</v>
      </c>
      <c r="B2116" s="18" t="s">
        <v>768</v>
      </c>
      <c r="C2116" s="17" t="s">
        <v>1</v>
      </c>
      <c r="D2116" s="19" t="s">
        <v>76</v>
      </c>
      <c r="E2116" s="17" t="s">
        <v>599</v>
      </c>
      <c r="F2116" t="e">
        <f t="array" ref="F2116">PROFEXHyperlinkAddress(B2116:B2116)</f>
        <v>#NAME?</v>
      </c>
    </row>
    <row r="2117" spans="1:6">
      <c r="A2117" s="11"/>
      <c r="B2117" s="12"/>
      <c r="C2117" s="11"/>
      <c r="D2117" s="13"/>
      <c r="E2117" s="11"/>
      <c r="F2117" t="e">
        <f t="array" ref="F2117">PROFEXHyperlinkAddress(B2117:B2117)</f>
        <v>#NAME?</v>
      </c>
    </row>
    <row r="2118" ht="49.5" spans="1:6">
      <c r="A2118" s="11"/>
      <c r="B2118" s="14" t="s">
        <v>78</v>
      </c>
      <c r="C2118" s="11"/>
      <c r="D2118" s="13"/>
      <c r="E2118" s="11"/>
      <c r="F2118" t="e">
        <f t="array" ref="F2118">PROFEXHyperlinkAddress(B2118:B2118)</f>
        <v>#NAME?</v>
      </c>
    </row>
    <row r="2119" spans="1:6">
      <c r="A2119" s="11"/>
      <c r="B2119" s="12"/>
      <c r="C2119" s="11"/>
      <c r="D2119" s="13"/>
      <c r="E2119" s="11"/>
      <c r="F2119" t="e">
        <f t="array" ref="F2119">PROFEXHyperlinkAddress(B2119:B2119)</f>
        <v>#NAME?</v>
      </c>
    </row>
    <row r="2120" ht="25.5" spans="1:6">
      <c r="A2120" s="15"/>
      <c r="B2120" s="14" t="s">
        <v>5</v>
      </c>
      <c r="C2120" s="15"/>
      <c r="D2120" s="16"/>
      <c r="E2120" s="15"/>
      <c r="F2120" t="e">
        <f t="array" ref="F2120">PROFEXHyperlinkAddress(B2120:B2120)</f>
        <v>#NAME?</v>
      </c>
    </row>
    <row r="2121" ht="409.5" spans="1:6">
      <c r="A2121" s="17">
        <v>4795097</v>
      </c>
      <c r="B2121" s="18" t="s">
        <v>769</v>
      </c>
      <c r="C2121" s="17" t="s">
        <v>1</v>
      </c>
      <c r="D2121" s="19" t="s">
        <v>7</v>
      </c>
      <c r="E2121" s="17" t="s">
        <v>513</v>
      </c>
      <c r="F2121" t="e">
        <f t="array" ref="F2121">PROFEXHyperlinkAddress(B2121:B2121)</f>
        <v>#NAME?</v>
      </c>
    </row>
    <row r="2122" spans="1:6">
      <c r="A2122" s="11"/>
      <c r="B2122" s="12"/>
      <c r="C2122" s="11"/>
      <c r="D2122" s="13"/>
      <c r="E2122" s="11"/>
      <c r="F2122" t="e">
        <f t="array" ref="F2122">PROFEXHyperlinkAddress(B2122:B2122)</f>
        <v>#NAME?</v>
      </c>
    </row>
    <row r="2123" ht="57.75" spans="1:6">
      <c r="A2123" s="11"/>
      <c r="B2123" s="14" t="s">
        <v>16</v>
      </c>
      <c r="C2123" s="11"/>
      <c r="D2123" s="13"/>
      <c r="E2123" s="11"/>
      <c r="F2123" t="e">
        <f t="array" ref="F2123">PROFEXHyperlinkAddress(B2123:B2123)</f>
        <v>#NAME?</v>
      </c>
    </row>
    <row r="2124" spans="1:6">
      <c r="A2124" s="11"/>
      <c r="B2124" s="12"/>
      <c r="C2124" s="11"/>
      <c r="D2124" s="13"/>
      <c r="E2124" s="11"/>
      <c r="F2124" t="e">
        <f t="array" ref="F2124">PROFEXHyperlinkAddress(B2124:B2124)</f>
        <v>#NAME?</v>
      </c>
    </row>
    <row r="2125" ht="25.5" spans="1:6">
      <c r="A2125" s="15"/>
      <c r="B2125" s="14" t="s">
        <v>5</v>
      </c>
      <c r="C2125" s="15"/>
      <c r="D2125" s="16"/>
      <c r="E2125" s="15"/>
      <c r="F2125" t="e">
        <f t="array" ref="F2125">PROFEXHyperlinkAddress(B2125:B2125)</f>
        <v>#NAME?</v>
      </c>
    </row>
    <row r="2126" ht="135" spans="1:6">
      <c r="A2126" s="17">
        <v>4794097</v>
      </c>
      <c r="B2126" s="18" t="s">
        <v>770</v>
      </c>
      <c r="C2126" s="17" t="s">
        <v>1</v>
      </c>
      <c r="D2126" s="19" t="s">
        <v>2</v>
      </c>
      <c r="E2126" s="17" t="s">
        <v>771</v>
      </c>
      <c r="F2126" t="e">
        <f t="array" ref="F2126">PROFEXHyperlinkAddress(B2126:B2126)</f>
        <v>#NAME?</v>
      </c>
    </row>
    <row r="2127" spans="1:6">
      <c r="A2127" s="11"/>
      <c r="B2127" s="12"/>
      <c r="C2127" s="11"/>
      <c r="D2127" s="13"/>
      <c r="E2127" s="11"/>
      <c r="F2127" t="e">
        <f t="array" ref="F2127">PROFEXHyperlinkAddress(B2127:B2127)</f>
        <v>#NAME?</v>
      </c>
    </row>
    <row r="2128" ht="49.5" spans="1:6">
      <c r="A2128" s="11"/>
      <c r="B2128" s="14" t="s">
        <v>78</v>
      </c>
      <c r="C2128" s="11"/>
      <c r="D2128" s="13"/>
      <c r="E2128" s="11"/>
      <c r="F2128" t="e">
        <f t="array" ref="F2128">PROFEXHyperlinkAddress(B2128:B2128)</f>
        <v>#NAME?</v>
      </c>
    </row>
    <row r="2129" spans="1:6">
      <c r="A2129" s="11"/>
      <c r="B2129" s="12"/>
      <c r="C2129" s="11"/>
      <c r="D2129" s="13"/>
      <c r="E2129" s="11"/>
      <c r="F2129" t="e">
        <f t="array" ref="F2129">PROFEXHyperlinkAddress(B2129:B2129)</f>
        <v>#NAME?</v>
      </c>
    </row>
    <row r="2130" ht="25.5" spans="1:6">
      <c r="A2130" s="15"/>
      <c r="B2130" s="14" t="s">
        <v>5</v>
      </c>
      <c r="C2130" s="15"/>
      <c r="D2130" s="16"/>
      <c r="E2130" s="15"/>
      <c r="F2130" t="e">
        <f t="array" ref="F2130">PROFEXHyperlinkAddress(B2130:B2130)</f>
        <v>#NAME?</v>
      </c>
    </row>
    <row r="2131" ht="225" spans="1:6">
      <c r="A2131" s="17">
        <v>4792097</v>
      </c>
      <c r="B2131" s="18" t="s">
        <v>772</v>
      </c>
      <c r="C2131" s="17" t="s">
        <v>1</v>
      </c>
      <c r="D2131" s="19" t="s">
        <v>7</v>
      </c>
      <c r="E2131" s="17" t="s">
        <v>615</v>
      </c>
      <c r="F2131" t="e">
        <f t="array" ref="F2131">PROFEXHyperlinkAddress(B2131:B2131)</f>
        <v>#NAME?</v>
      </c>
    </row>
    <row r="2132" spans="1:6">
      <c r="A2132" s="11"/>
      <c r="B2132" s="12"/>
      <c r="C2132" s="11"/>
      <c r="D2132" s="13"/>
      <c r="E2132" s="11"/>
      <c r="F2132" t="e">
        <f t="array" ref="F2132">PROFEXHyperlinkAddress(B2132:B2132)</f>
        <v>#NAME?</v>
      </c>
    </row>
    <row r="2133" ht="57.75" spans="1:6">
      <c r="A2133" s="11"/>
      <c r="B2133" s="14" t="s">
        <v>21</v>
      </c>
      <c r="C2133" s="11"/>
      <c r="D2133" s="13"/>
      <c r="E2133" s="11"/>
      <c r="F2133" t="e">
        <f t="array" ref="F2133">PROFEXHyperlinkAddress(B2133:B2133)</f>
        <v>#NAME?</v>
      </c>
    </row>
    <row r="2134" spans="1:6">
      <c r="A2134" s="11"/>
      <c r="B2134" s="12"/>
      <c r="C2134" s="11"/>
      <c r="D2134" s="13"/>
      <c r="E2134" s="11"/>
      <c r="F2134" t="e">
        <f t="array" ref="F2134">PROFEXHyperlinkAddress(B2134:B2134)</f>
        <v>#NAME?</v>
      </c>
    </row>
    <row r="2135" ht="25.5" spans="1:6">
      <c r="A2135" s="15"/>
      <c r="B2135" s="14" t="s">
        <v>5</v>
      </c>
      <c r="C2135" s="15"/>
      <c r="D2135" s="16"/>
      <c r="E2135" s="15"/>
      <c r="F2135" t="e">
        <f t="array" ref="F2135">PROFEXHyperlinkAddress(B2135:B2135)</f>
        <v>#NAME?</v>
      </c>
    </row>
    <row r="2136" ht="150" spans="1:6">
      <c r="A2136" s="17">
        <v>4789097</v>
      </c>
      <c r="B2136" s="18" t="s">
        <v>773</v>
      </c>
      <c r="C2136" s="17" t="s">
        <v>1</v>
      </c>
      <c r="D2136" s="19" t="s">
        <v>2</v>
      </c>
      <c r="E2136" s="17" t="s">
        <v>774</v>
      </c>
      <c r="F2136" t="e">
        <f t="array" ref="F2136">PROFEXHyperlinkAddress(B2136:B2136)</f>
        <v>#NAME?</v>
      </c>
    </row>
    <row r="2137" spans="1:6">
      <c r="A2137" s="11"/>
      <c r="B2137" s="12"/>
      <c r="C2137" s="11"/>
      <c r="D2137" s="13"/>
      <c r="E2137" s="11"/>
      <c r="F2137" t="e">
        <f t="array" ref="F2137">PROFEXHyperlinkAddress(B2137:B2137)</f>
        <v>#NAME?</v>
      </c>
    </row>
    <row r="2138" ht="49.5" spans="1:6">
      <c r="A2138" s="11"/>
      <c r="B2138" s="14" t="s">
        <v>78</v>
      </c>
      <c r="C2138" s="11"/>
      <c r="D2138" s="13"/>
      <c r="E2138" s="11"/>
      <c r="F2138" t="e">
        <f t="array" ref="F2138">PROFEXHyperlinkAddress(B2138:B2138)</f>
        <v>#NAME?</v>
      </c>
    </row>
    <row r="2139" spans="1:6">
      <c r="A2139" s="11"/>
      <c r="B2139" s="12"/>
      <c r="C2139" s="11"/>
      <c r="D2139" s="13"/>
      <c r="E2139" s="11"/>
      <c r="F2139" t="e">
        <f t="array" ref="F2139">PROFEXHyperlinkAddress(B2139:B2139)</f>
        <v>#NAME?</v>
      </c>
    </row>
    <row r="2140" ht="25.5" spans="1:6">
      <c r="A2140" s="15"/>
      <c r="B2140" s="14" t="s">
        <v>5</v>
      </c>
      <c r="C2140" s="15"/>
      <c r="D2140" s="16"/>
      <c r="E2140" s="15"/>
      <c r="F2140" t="e">
        <f t="array" ref="F2140">PROFEXHyperlinkAddress(B2140:B2140)</f>
        <v>#NAME?</v>
      </c>
    </row>
    <row r="2141" ht="120" spans="1:6">
      <c r="A2141" s="17">
        <v>4787097</v>
      </c>
      <c r="B2141" s="18" t="s">
        <v>775</v>
      </c>
      <c r="C2141" s="17" t="s">
        <v>1</v>
      </c>
      <c r="D2141" s="19" t="s">
        <v>2</v>
      </c>
      <c r="E2141" s="17" t="s">
        <v>776</v>
      </c>
      <c r="F2141" t="e">
        <f t="array" ref="F2141">PROFEXHyperlinkAddress(B2141:B2141)</f>
        <v>#NAME?</v>
      </c>
    </row>
    <row r="2142" spans="1:6">
      <c r="A2142" s="11"/>
      <c r="B2142" s="12"/>
      <c r="C2142" s="11"/>
      <c r="D2142" s="13"/>
      <c r="E2142" s="11"/>
      <c r="F2142" t="e">
        <f t="array" ref="F2142">PROFEXHyperlinkAddress(B2142:B2142)</f>
        <v>#NAME?</v>
      </c>
    </row>
    <row r="2143" ht="49.5" spans="1:6">
      <c r="A2143" s="11"/>
      <c r="B2143" s="14" t="s">
        <v>78</v>
      </c>
      <c r="C2143" s="11"/>
      <c r="D2143" s="13"/>
      <c r="E2143" s="11"/>
      <c r="F2143" t="e">
        <f t="array" ref="F2143">PROFEXHyperlinkAddress(B2143:B2143)</f>
        <v>#NAME?</v>
      </c>
    </row>
    <row r="2144" spans="1:6">
      <c r="A2144" s="11"/>
      <c r="B2144" s="12"/>
      <c r="C2144" s="11"/>
      <c r="D2144" s="13"/>
      <c r="E2144" s="11"/>
      <c r="F2144" t="e">
        <f t="array" ref="F2144">PROFEXHyperlinkAddress(B2144:B2144)</f>
        <v>#NAME?</v>
      </c>
    </row>
    <row r="2145" ht="25.5" spans="1:6">
      <c r="A2145" s="15"/>
      <c r="B2145" s="14" t="s">
        <v>5</v>
      </c>
      <c r="C2145" s="15"/>
      <c r="D2145" s="16"/>
      <c r="E2145" s="15"/>
      <c r="F2145" t="e">
        <f t="array" ref="F2145">PROFEXHyperlinkAddress(B2145:B2145)</f>
        <v>#NAME?</v>
      </c>
    </row>
    <row r="2146" ht="195" spans="1:6">
      <c r="A2146" s="17">
        <v>4785097</v>
      </c>
      <c r="B2146" s="18" t="s">
        <v>695</v>
      </c>
      <c r="C2146" s="17" t="s">
        <v>1</v>
      </c>
      <c r="D2146" s="19" t="s">
        <v>7</v>
      </c>
      <c r="E2146" s="17" t="s">
        <v>696</v>
      </c>
      <c r="F2146" t="e">
        <f t="array" ref="F2146">PROFEXHyperlinkAddress(B2146:B2146)</f>
        <v>#NAME?</v>
      </c>
    </row>
    <row r="2147" spans="1:6">
      <c r="A2147" s="11"/>
      <c r="B2147" s="12"/>
      <c r="C2147" s="11"/>
      <c r="D2147" s="13"/>
      <c r="E2147" s="11"/>
      <c r="F2147" t="e">
        <f t="array" ref="F2147">PROFEXHyperlinkAddress(B2147:B2147)</f>
        <v>#NAME?</v>
      </c>
    </row>
    <row r="2148" ht="57.75" spans="1:6">
      <c r="A2148" s="11"/>
      <c r="B2148" s="14" t="s">
        <v>4</v>
      </c>
      <c r="C2148" s="11"/>
      <c r="D2148" s="13"/>
      <c r="E2148" s="11"/>
      <c r="F2148" t="e">
        <f t="array" ref="F2148">PROFEXHyperlinkAddress(B2148:B2148)</f>
        <v>#NAME?</v>
      </c>
    </row>
    <row r="2149" spans="1:6">
      <c r="A2149" s="11"/>
      <c r="B2149" s="12"/>
      <c r="C2149" s="11"/>
      <c r="D2149" s="13"/>
      <c r="E2149" s="11"/>
      <c r="F2149" t="e">
        <f t="array" ref="F2149">PROFEXHyperlinkAddress(B2149:B2149)</f>
        <v>#NAME?</v>
      </c>
    </row>
    <row r="2150" ht="25.5" spans="1:6">
      <c r="A2150" s="15"/>
      <c r="B2150" s="14" t="s">
        <v>5</v>
      </c>
      <c r="C2150" s="15"/>
      <c r="D2150" s="16"/>
      <c r="E2150" s="15"/>
      <c r="F2150" t="e">
        <f t="array" ref="F2150">PROFEXHyperlinkAddress(B2150:B2150)</f>
        <v>#NAME?</v>
      </c>
    </row>
    <row r="2151" ht="225" spans="1:6">
      <c r="A2151" s="17">
        <v>4784097</v>
      </c>
      <c r="B2151" s="18" t="s">
        <v>777</v>
      </c>
      <c r="C2151" s="17" t="s">
        <v>1</v>
      </c>
      <c r="D2151" s="19" t="s">
        <v>2</v>
      </c>
      <c r="E2151" s="17" t="s">
        <v>20</v>
      </c>
      <c r="F2151" t="e">
        <f t="array" ref="F2151">PROFEXHyperlinkAddress(B2151:B2151)</f>
        <v>#NAME?</v>
      </c>
    </row>
    <row r="2152" spans="1:6">
      <c r="A2152" s="11"/>
      <c r="B2152" s="12"/>
      <c r="C2152" s="11"/>
      <c r="D2152" s="13"/>
      <c r="E2152" s="11"/>
      <c r="F2152" t="e">
        <f t="array" ref="F2152">PROFEXHyperlinkAddress(B2152:B2152)</f>
        <v>#NAME?</v>
      </c>
    </row>
    <row r="2153" ht="57.75" spans="1:6">
      <c r="A2153" s="11"/>
      <c r="B2153" s="14" t="s">
        <v>54</v>
      </c>
      <c r="C2153" s="11"/>
      <c r="D2153" s="13"/>
      <c r="E2153" s="11"/>
      <c r="F2153" t="e">
        <f t="array" ref="F2153">PROFEXHyperlinkAddress(B2153:B2153)</f>
        <v>#NAME?</v>
      </c>
    </row>
    <row r="2154" spans="1:6">
      <c r="A2154" s="11"/>
      <c r="B2154" s="12"/>
      <c r="C2154" s="11"/>
      <c r="D2154" s="13"/>
      <c r="E2154" s="11"/>
      <c r="F2154" t="e">
        <f t="array" ref="F2154">PROFEXHyperlinkAddress(B2154:B2154)</f>
        <v>#NAME?</v>
      </c>
    </row>
    <row r="2155" ht="25.5" spans="1:6">
      <c r="A2155" s="15"/>
      <c r="B2155" s="14" t="s">
        <v>778</v>
      </c>
      <c r="C2155" s="15"/>
      <c r="D2155" s="16"/>
      <c r="E2155" s="15"/>
      <c r="F2155" t="e">
        <f t="array" ref="F2155">PROFEXHyperlinkAddress(B2155:B2155)</f>
        <v>#NAME?</v>
      </c>
    </row>
    <row r="2156" ht="210" spans="1:6">
      <c r="A2156" s="17">
        <v>4783097</v>
      </c>
      <c r="B2156" s="18" t="s">
        <v>779</v>
      </c>
      <c r="C2156" s="17" t="s">
        <v>1</v>
      </c>
      <c r="D2156" s="19" t="s">
        <v>7</v>
      </c>
      <c r="E2156" s="17" t="s">
        <v>570</v>
      </c>
      <c r="F2156" t="e">
        <f t="array" ref="F2156">PROFEXHyperlinkAddress(B2156:B2156)</f>
        <v>#NAME?</v>
      </c>
    </row>
    <row r="2157" spans="1:6">
      <c r="A2157" s="11"/>
      <c r="B2157" s="12"/>
      <c r="C2157" s="11"/>
      <c r="D2157" s="13"/>
      <c r="E2157" s="11"/>
      <c r="F2157" t="e">
        <f t="array" ref="F2157">PROFEXHyperlinkAddress(B2157:B2157)</f>
        <v>#NAME?</v>
      </c>
    </row>
    <row r="2158" ht="57.75" spans="1:6">
      <c r="A2158" s="11"/>
      <c r="B2158" s="14" t="s">
        <v>16</v>
      </c>
      <c r="C2158" s="11"/>
      <c r="D2158" s="13"/>
      <c r="E2158" s="11"/>
      <c r="F2158" t="e">
        <f t="array" ref="F2158">PROFEXHyperlinkAddress(B2158:B2158)</f>
        <v>#NAME?</v>
      </c>
    </row>
    <row r="2159" spans="1:6">
      <c r="A2159" s="11"/>
      <c r="B2159" s="12"/>
      <c r="C2159" s="11"/>
      <c r="D2159" s="13"/>
      <c r="E2159" s="11"/>
      <c r="F2159" t="e">
        <f t="array" ref="F2159">PROFEXHyperlinkAddress(B2159:B2159)</f>
        <v>#NAME?</v>
      </c>
    </row>
    <row r="2160" ht="25.5" spans="1:6">
      <c r="A2160" s="15"/>
      <c r="B2160" s="14" t="s">
        <v>5</v>
      </c>
      <c r="C2160" s="15"/>
      <c r="D2160" s="16"/>
      <c r="E2160" s="15"/>
      <c r="F2160" t="e">
        <f t="array" ref="F2160">PROFEXHyperlinkAddress(B2160:B2160)</f>
        <v>#NAME?</v>
      </c>
    </row>
    <row r="2161" ht="180" spans="1:6">
      <c r="A2161" s="17">
        <v>4782097</v>
      </c>
      <c r="B2161" s="18" t="s">
        <v>780</v>
      </c>
      <c r="C2161" s="17" t="s">
        <v>1</v>
      </c>
      <c r="D2161" s="19" t="s">
        <v>2</v>
      </c>
      <c r="E2161" s="17" t="s">
        <v>95</v>
      </c>
      <c r="F2161" t="e">
        <f t="array" ref="F2161">PROFEXHyperlinkAddress(B2161:B2161)</f>
        <v>#NAME?</v>
      </c>
    </row>
    <row r="2162" spans="1:6">
      <c r="A2162" s="11"/>
      <c r="B2162" s="12"/>
      <c r="C2162" s="11"/>
      <c r="D2162" s="13"/>
      <c r="E2162" s="11"/>
      <c r="F2162" t="e">
        <f t="array" ref="F2162">PROFEXHyperlinkAddress(B2162:B2162)</f>
        <v>#NAME?</v>
      </c>
    </row>
    <row r="2163" ht="49.5" spans="1:6">
      <c r="A2163" s="11"/>
      <c r="B2163" s="14" t="s">
        <v>78</v>
      </c>
      <c r="C2163" s="11"/>
      <c r="D2163" s="13"/>
      <c r="E2163" s="11"/>
      <c r="F2163" t="e">
        <f t="array" ref="F2163">PROFEXHyperlinkAddress(B2163:B2163)</f>
        <v>#NAME?</v>
      </c>
    </row>
    <row r="2164" spans="1:6">
      <c r="A2164" s="11"/>
      <c r="B2164" s="12"/>
      <c r="C2164" s="11"/>
      <c r="D2164" s="13"/>
      <c r="E2164" s="11"/>
      <c r="F2164" t="e">
        <f t="array" ref="F2164">PROFEXHyperlinkAddress(B2164:B2164)</f>
        <v>#NAME?</v>
      </c>
    </row>
    <row r="2165" ht="25.5" spans="1:6">
      <c r="A2165" s="15"/>
      <c r="B2165" s="14" t="s">
        <v>5</v>
      </c>
      <c r="C2165" s="15"/>
      <c r="D2165" s="16"/>
      <c r="E2165" s="15"/>
      <c r="F2165" t="e">
        <f t="array" ref="F2165">PROFEXHyperlinkAddress(B2165:B2165)</f>
        <v>#NAME?</v>
      </c>
    </row>
    <row r="2166" ht="165" spans="1:6">
      <c r="A2166" s="17">
        <v>4781097</v>
      </c>
      <c r="B2166" s="18" t="s">
        <v>781</v>
      </c>
      <c r="C2166" s="17" t="s">
        <v>1</v>
      </c>
      <c r="D2166" s="19" t="s">
        <v>2</v>
      </c>
      <c r="E2166" s="17" t="s">
        <v>782</v>
      </c>
      <c r="F2166" t="e">
        <f t="array" ref="F2166">PROFEXHyperlinkAddress(B2166:B2166)</f>
        <v>#NAME?</v>
      </c>
    </row>
    <row r="2167" spans="1:6">
      <c r="A2167" s="11"/>
      <c r="B2167" s="12"/>
      <c r="C2167" s="11"/>
      <c r="D2167" s="13"/>
      <c r="E2167" s="11"/>
      <c r="F2167" t="e">
        <f t="array" ref="F2167">PROFEXHyperlinkAddress(B2167:B2167)</f>
        <v>#NAME?</v>
      </c>
    </row>
    <row r="2168" ht="49.5" spans="1:6">
      <c r="A2168" s="11"/>
      <c r="B2168" s="14" t="s">
        <v>78</v>
      </c>
      <c r="C2168" s="11"/>
      <c r="D2168" s="13"/>
      <c r="E2168" s="11"/>
      <c r="F2168" t="e">
        <f t="array" ref="F2168">PROFEXHyperlinkAddress(B2168:B2168)</f>
        <v>#NAME?</v>
      </c>
    </row>
    <row r="2169" spans="1:6">
      <c r="A2169" s="11"/>
      <c r="B2169" s="12"/>
      <c r="C2169" s="11"/>
      <c r="D2169" s="13"/>
      <c r="E2169" s="11"/>
      <c r="F2169" t="e">
        <f t="array" ref="F2169">PROFEXHyperlinkAddress(B2169:B2169)</f>
        <v>#NAME?</v>
      </c>
    </row>
    <row r="2170" ht="25.5" spans="1:6">
      <c r="A2170" s="15"/>
      <c r="B2170" s="14" t="s">
        <v>5</v>
      </c>
      <c r="C2170" s="15"/>
      <c r="D2170" s="16"/>
      <c r="E2170" s="15"/>
      <c r="F2170" t="e">
        <f t="array" ref="F2170">PROFEXHyperlinkAddress(B2170:B2170)</f>
        <v>#NAME?</v>
      </c>
    </row>
    <row r="2171" ht="165" spans="1:6">
      <c r="A2171" s="17">
        <v>4780097</v>
      </c>
      <c r="B2171" s="18" t="s">
        <v>783</v>
      </c>
      <c r="C2171" s="17" t="s">
        <v>1</v>
      </c>
      <c r="D2171" s="19" t="s">
        <v>2</v>
      </c>
      <c r="E2171" s="17" t="s">
        <v>782</v>
      </c>
      <c r="F2171" t="e">
        <f t="array" ref="F2171">PROFEXHyperlinkAddress(B2171:B2171)</f>
        <v>#NAME?</v>
      </c>
    </row>
    <row r="2172" spans="1:6">
      <c r="A2172" s="11"/>
      <c r="B2172" s="12"/>
      <c r="C2172" s="11"/>
      <c r="D2172" s="13"/>
      <c r="E2172" s="11"/>
      <c r="F2172" t="e">
        <f t="array" ref="F2172">PROFEXHyperlinkAddress(B2172:B2172)</f>
        <v>#NAME?</v>
      </c>
    </row>
    <row r="2173" ht="49.5" spans="1:6">
      <c r="A2173" s="11"/>
      <c r="B2173" s="14" t="s">
        <v>78</v>
      </c>
      <c r="C2173" s="11"/>
      <c r="D2173" s="13"/>
      <c r="E2173" s="11"/>
      <c r="F2173" t="e">
        <f t="array" ref="F2173">PROFEXHyperlinkAddress(B2173:B2173)</f>
        <v>#NAME?</v>
      </c>
    </row>
    <row r="2174" spans="1:6">
      <c r="A2174" s="11"/>
      <c r="B2174" s="12"/>
      <c r="C2174" s="11"/>
      <c r="D2174" s="13"/>
      <c r="E2174" s="11"/>
      <c r="F2174" t="e">
        <f t="array" ref="F2174">PROFEXHyperlinkAddress(B2174:B2174)</f>
        <v>#NAME?</v>
      </c>
    </row>
    <row r="2175" ht="25.5" spans="1:6">
      <c r="A2175" s="15"/>
      <c r="B2175" s="14" t="s">
        <v>5</v>
      </c>
      <c r="C2175" s="15"/>
      <c r="D2175" s="16"/>
      <c r="E2175" s="15"/>
      <c r="F2175" t="e">
        <f t="array" ref="F2175">PROFEXHyperlinkAddress(B2175:B2175)</f>
        <v>#NAME?</v>
      </c>
    </row>
    <row r="2176" ht="135" spans="1:6">
      <c r="A2176" s="17">
        <v>4779097</v>
      </c>
      <c r="B2176" s="18" t="s">
        <v>784</v>
      </c>
      <c r="C2176" s="17" t="s">
        <v>1</v>
      </c>
      <c r="D2176" s="19" t="s">
        <v>2</v>
      </c>
      <c r="E2176" s="17" t="s">
        <v>137</v>
      </c>
      <c r="F2176" t="e">
        <f t="array" ref="F2176">PROFEXHyperlinkAddress(B2176:B2176)</f>
        <v>#NAME?</v>
      </c>
    </row>
    <row r="2177" spans="1:6">
      <c r="A2177" s="11"/>
      <c r="B2177" s="12"/>
      <c r="C2177" s="11"/>
      <c r="D2177" s="13"/>
      <c r="E2177" s="11"/>
      <c r="F2177" t="e">
        <f t="array" ref="F2177">PROFEXHyperlinkAddress(B2177:B2177)</f>
        <v>#NAME?</v>
      </c>
    </row>
    <row r="2178" ht="49.5" spans="1:6">
      <c r="A2178" s="11"/>
      <c r="B2178" s="14" t="s">
        <v>78</v>
      </c>
      <c r="C2178" s="11"/>
      <c r="D2178" s="13"/>
      <c r="E2178" s="11"/>
      <c r="F2178" t="e">
        <f t="array" ref="F2178">PROFEXHyperlinkAddress(B2178:B2178)</f>
        <v>#NAME?</v>
      </c>
    </row>
    <row r="2179" spans="1:6">
      <c r="A2179" s="11"/>
      <c r="B2179" s="12"/>
      <c r="C2179" s="11"/>
      <c r="D2179" s="13"/>
      <c r="E2179" s="11"/>
      <c r="F2179" t="e">
        <f t="array" ref="F2179">PROFEXHyperlinkAddress(B2179:B2179)</f>
        <v>#NAME?</v>
      </c>
    </row>
    <row r="2180" ht="25.5" spans="1:6">
      <c r="A2180" s="15"/>
      <c r="B2180" s="14" t="s">
        <v>5</v>
      </c>
      <c r="C2180" s="15"/>
      <c r="D2180" s="16"/>
      <c r="E2180" s="15"/>
      <c r="F2180" t="e">
        <f t="array" ref="F2180">PROFEXHyperlinkAddress(B2180:B2180)</f>
        <v>#NAME?</v>
      </c>
    </row>
    <row r="2181" ht="150" spans="1:6">
      <c r="A2181" s="17">
        <v>4778097</v>
      </c>
      <c r="B2181" s="18" t="s">
        <v>785</v>
      </c>
      <c r="C2181" s="17" t="s">
        <v>1</v>
      </c>
      <c r="D2181" s="19" t="s">
        <v>2</v>
      </c>
      <c r="E2181" s="17" t="s">
        <v>786</v>
      </c>
      <c r="F2181" t="e">
        <f t="array" ref="F2181">PROFEXHyperlinkAddress(B2181:B2181)</f>
        <v>#NAME?</v>
      </c>
    </row>
    <row r="2182" spans="1:6">
      <c r="A2182" s="11"/>
      <c r="B2182" s="12"/>
      <c r="C2182" s="11"/>
      <c r="D2182" s="13"/>
      <c r="E2182" s="11"/>
      <c r="F2182" t="e">
        <f t="array" ref="F2182">PROFEXHyperlinkAddress(B2182:B2182)</f>
        <v>#NAME?</v>
      </c>
    </row>
    <row r="2183" ht="49.5" spans="1:6">
      <c r="A2183" s="11"/>
      <c r="B2183" s="14" t="s">
        <v>78</v>
      </c>
      <c r="C2183" s="11"/>
      <c r="D2183" s="13"/>
      <c r="E2183" s="11"/>
      <c r="F2183" t="e">
        <f t="array" ref="F2183">PROFEXHyperlinkAddress(B2183:B2183)</f>
        <v>#NAME?</v>
      </c>
    </row>
    <row r="2184" spans="1:6">
      <c r="A2184" s="11"/>
      <c r="B2184" s="12"/>
      <c r="C2184" s="11"/>
      <c r="D2184" s="13"/>
      <c r="E2184" s="11"/>
      <c r="F2184" t="e">
        <f t="array" ref="F2184">PROFEXHyperlinkAddress(B2184:B2184)</f>
        <v>#NAME?</v>
      </c>
    </row>
    <row r="2185" ht="25.5" spans="1:6">
      <c r="A2185" s="15"/>
      <c r="B2185" s="14" t="s">
        <v>5</v>
      </c>
      <c r="C2185" s="15"/>
      <c r="D2185" s="16"/>
      <c r="E2185" s="15"/>
      <c r="F2185" t="e">
        <f t="array" ref="F2185">PROFEXHyperlinkAddress(B2185:B2185)</f>
        <v>#NAME?</v>
      </c>
    </row>
    <row r="2186" ht="210" spans="1:6">
      <c r="A2186" s="17">
        <v>4777097</v>
      </c>
      <c r="B2186" s="18" t="s">
        <v>787</v>
      </c>
      <c r="C2186" s="17" t="s">
        <v>1</v>
      </c>
      <c r="D2186" s="19" t="s">
        <v>2</v>
      </c>
      <c r="E2186" s="17" t="s">
        <v>212</v>
      </c>
      <c r="F2186" t="e">
        <f t="array" ref="F2186">PROFEXHyperlinkAddress(B2186:B2186)</f>
        <v>#NAME?</v>
      </c>
    </row>
    <row r="2187" spans="1:6">
      <c r="A2187" s="11"/>
      <c r="B2187" s="12"/>
      <c r="C2187" s="11"/>
      <c r="D2187" s="13"/>
      <c r="E2187" s="11"/>
      <c r="F2187" t="e">
        <f t="array" ref="F2187">PROFEXHyperlinkAddress(B2187:B2187)</f>
        <v>#NAME?</v>
      </c>
    </row>
    <row r="2188" ht="49.5" spans="1:6">
      <c r="A2188" s="11"/>
      <c r="B2188" s="14" t="s">
        <v>78</v>
      </c>
      <c r="C2188" s="11"/>
      <c r="D2188" s="13"/>
      <c r="E2188" s="11"/>
      <c r="F2188" t="e">
        <f t="array" ref="F2188">PROFEXHyperlinkAddress(B2188:B2188)</f>
        <v>#NAME?</v>
      </c>
    </row>
    <row r="2189" spans="1:6">
      <c r="A2189" s="11"/>
      <c r="B2189" s="12"/>
      <c r="C2189" s="11"/>
      <c r="D2189" s="13"/>
      <c r="E2189" s="11"/>
      <c r="F2189" t="e">
        <f t="array" ref="F2189">PROFEXHyperlinkAddress(B2189:B2189)</f>
        <v>#NAME?</v>
      </c>
    </row>
    <row r="2190" ht="25.5" spans="1:6">
      <c r="A2190" s="15"/>
      <c r="B2190" s="14" t="s">
        <v>5</v>
      </c>
      <c r="C2190" s="15"/>
      <c r="D2190" s="16"/>
      <c r="E2190" s="15"/>
      <c r="F2190" t="e">
        <f t="array" ref="F2190">PROFEXHyperlinkAddress(B2190:B2190)</f>
        <v>#NAME?</v>
      </c>
    </row>
    <row r="2191" ht="120" spans="1:6">
      <c r="A2191" s="17">
        <v>4776097</v>
      </c>
      <c r="B2191" s="18" t="s">
        <v>788</v>
      </c>
      <c r="C2191" s="17" t="s">
        <v>1</v>
      </c>
      <c r="D2191" s="19" t="s">
        <v>2</v>
      </c>
      <c r="E2191" s="17" t="s">
        <v>789</v>
      </c>
      <c r="F2191" t="e">
        <f t="array" ref="F2191">PROFEXHyperlinkAddress(B2191:B2191)</f>
        <v>#NAME?</v>
      </c>
    </row>
    <row r="2192" spans="1:6">
      <c r="A2192" s="11"/>
      <c r="B2192" s="12"/>
      <c r="C2192" s="11"/>
      <c r="D2192" s="13"/>
      <c r="E2192" s="11"/>
      <c r="F2192" t="e">
        <f t="array" ref="F2192">PROFEXHyperlinkAddress(B2192:B2192)</f>
        <v>#NAME?</v>
      </c>
    </row>
    <row r="2193" ht="49.5" spans="1:6">
      <c r="A2193" s="11"/>
      <c r="B2193" s="14" t="s">
        <v>188</v>
      </c>
      <c r="C2193" s="11"/>
      <c r="D2193" s="13"/>
      <c r="E2193" s="11"/>
      <c r="F2193" t="e">
        <f t="array" ref="F2193">PROFEXHyperlinkAddress(B2193:B2193)</f>
        <v>#NAME?</v>
      </c>
    </row>
    <row r="2194" spans="1:6">
      <c r="A2194" s="11"/>
      <c r="B2194" s="12"/>
      <c r="C2194" s="11"/>
      <c r="D2194" s="13"/>
      <c r="E2194" s="11"/>
      <c r="F2194" t="e">
        <f t="array" ref="F2194">PROFEXHyperlinkAddress(B2194:B2194)</f>
        <v>#NAME?</v>
      </c>
    </row>
    <row r="2195" ht="25.5" spans="1:6">
      <c r="A2195" s="15"/>
      <c r="B2195" s="14" t="s">
        <v>5</v>
      </c>
      <c r="C2195" s="15"/>
      <c r="D2195" s="16"/>
      <c r="E2195" s="15"/>
      <c r="F2195" t="e">
        <f t="array" ref="F2195">PROFEXHyperlinkAddress(B2195:B2195)</f>
        <v>#NAME?</v>
      </c>
    </row>
    <row r="2196" ht="165" spans="1:6">
      <c r="A2196" s="17">
        <v>4775097</v>
      </c>
      <c r="B2196" s="18" t="s">
        <v>790</v>
      </c>
      <c r="C2196" s="17" t="s">
        <v>1</v>
      </c>
      <c r="D2196" s="19" t="s">
        <v>2</v>
      </c>
      <c r="E2196" s="17" t="s">
        <v>791</v>
      </c>
      <c r="F2196" t="e">
        <f t="array" ref="F2196">PROFEXHyperlinkAddress(B2196:B2196)</f>
        <v>#NAME?</v>
      </c>
    </row>
    <row r="2197" spans="1:6">
      <c r="A2197" s="11"/>
      <c r="B2197" s="12"/>
      <c r="C2197" s="11"/>
      <c r="D2197" s="13"/>
      <c r="E2197" s="11"/>
      <c r="F2197" t="e">
        <f t="array" ref="F2197">PROFEXHyperlinkAddress(B2197:B2197)</f>
        <v>#NAME?</v>
      </c>
    </row>
    <row r="2198" ht="49.5" spans="1:6">
      <c r="A2198" s="11"/>
      <c r="B2198" s="14" t="s">
        <v>78</v>
      </c>
      <c r="C2198" s="11"/>
      <c r="D2198" s="13"/>
      <c r="E2198" s="11"/>
      <c r="F2198" t="e">
        <f t="array" ref="F2198">PROFEXHyperlinkAddress(B2198:B2198)</f>
        <v>#NAME?</v>
      </c>
    </row>
    <row r="2199" spans="1:6">
      <c r="A2199" s="11"/>
      <c r="B2199" s="12"/>
      <c r="C2199" s="11"/>
      <c r="D2199" s="13"/>
      <c r="E2199" s="11"/>
      <c r="F2199" t="e">
        <f t="array" ref="F2199">PROFEXHyperlinkAddress(B2199:B2199)</f>
        <v>#NAME?</v>
      </c>
    </row>
    <row r="2200" ht="25.5" spans="1:6">
      <c r="A2200" s="15"/>
      <c r="B2200" s="14" t="s">
        <v>5</v>
      </c>
      <c r="C2200" s="15"/>
      <c r="D2200" s="16"/>
      <c r="E2200" s="15"/>
      <c r="F2200" t="e">
        <f t="array" ref="F2200">PROFEXHyperlinkAddress(B2200:B2200)</f>
        <v>#NAME?</v>
      </c>
    </row>
    <row r="2201" ht="90" spans="1:6">
      <c r="A2201" s="17">
        <v>4774097</v>
      </c>
      <c r="B2201" s="18" t="s">
        <v>792</v>
      </c>
      <c r="C2201" s="17" t="s">
        <v>1</v>
      </c>
      <c r="D2201" s="19" t="s">
        <v>2</v>
      </c>
      <c r="E2201" s="17" t="s">
        <v>793</v>
      </c>
      <c r="F2201" t="e">
        <f t="array" ref="F2201">PROFEXHyperlinkAddress(B2201:B2201)</f>
        <v>#NAME?</v>
      </c>
    </row>
    <row r="2202" spans="1:6">
      <c r="A2202" s="11"/>
      <c r="B2202" s="12"/>
      <c r="C2202" s="11"/>
      <c r="D2202" s="13"/>
      <c r="E2202" s="11"/>
      <c r="F2202" t="e">
        <f t="array" ref="F2202">PROFEXHyperlinkAddress(B2202:B2202)</f>
        <v>#NAME?</v>
      </c>
    </row>
    <row r="2203" ht="49.5" spans="1:6">
      <c r="A2203" s="11"/>
      <c r="B2203" s="14" t="s">
        <v>188</v>
      </c>
      <c r="C2203" s="11"/>
      <c r="D2203" s="13"/>
      <c r="E2203" s="11"/>
      <c r="F2203" t="e">
        <f t="array" ref="F2203">PROFEXHyperlinkAddress(B2203:B2203)</f>
        <v>#NAME?</v>
      </c>
    </row>
    <row r="2204" spans="1:6">
      <c r="A2204" s="11"/>
      <c r="B2204" s="12"/>
      <c r="C2204" s="11"/>
      <c r="D2204" s="13"/>
      <c r="E2204" s="11"/>
      <c r="F2204" t="e">
        <f t="array" ref="F2204">PROFEXHyperlinkAddress(B2204:B2204)</f>
        <v>#NAME?</v>
      </c>
    </row>
    <row r="2205" ht="25.5" spans="1:6">
      <c r="A2205" s="15"/>
      <c r="B2205" s="14" t="s">
        <v>5</v>
      </c>
      <c r="C2205" s="15"/>
      <c r="D2205" s="16"/>
      <c r="E2205" s="15"/>
      <c r="F2205" t="e">
        <f t="array" ref="F2205">PROFEXHyperlinkAddress(B2205:B2205)</f>
        <v>#NAME?</v>
      </c>
    </row>
    <row r="2206" ht="165" spans="1:6">
      <c r="A2206" s="17">
        <v>4773097</v>
      </c>
      <c r="B2206" s="18" t="s">
        <v>794</v>
      </c>
      <c r="C2206" s="17" t="s">
        <v>1</v>
      </c>
      <c r="D2206" s="19" t="s">
        <v>2</v>
      </c>
      <c r="E2206" s="17" t="s">
        <v>795</v>
      </c>
      <c r="F2206" t="e">
        <f t="array" ref="F2206">PROFEXHyperlinkAddress(B2206:B2206)</f>
        <v>#NAME?</v>
      </c>
    </row>
    <row r="2207" spans="1:6">
      <c r="A2207" s="11"/>
      <c r="B2207" s="12"/>
      <c r="C2207" s="11"/>
      <c r="D2207" s="13"/>
      <c r="E2207" s="11"/>
      <c r="F2207" t="e">
        <f t="array" ref="F2207">PROFEXHyperlinkAddress(B2207:B2207)</f>
        <v>#NAME?</v>
      </c>
    </row>
    <row r="2208" ht="57.75" spans="1:6">
      <c r="A2208" s="11"/>
      <c r="B2208" s="14" t="s">
        <v>16</v>
      </c>
      <c r="C2208" s="11"/>
      <c r="D2208" s="13"/>
      <c r="E2208" s="11"/>
      <c r="F2208" t="e">
        <f t="array" ref="F2208">PROFEXHyperlinkAddress(B2208:B2208)</f>
        <v>#NAME?</v>
      </c>
    </row>
    <row r="2209" spans="1:6">
      <c r="A2209" s="11"/>
      <c r="B2209" s="12"/>
      <c r="C2209" s="11"/>
      <c r="D2209" s="13"/>
      <c r="E2209" s="11"/>
      <c r="F2209" t="e">
        <f t="array" ref="F2209">PROFEXHyperlinkAddress(B2209:B2209)</f>
        <v>#NAME?</v>
      </c>
    </row>
    <row r="2210" ht="25.5" spans="1:6">
      <c r="A2210" s="15"/>
      <c r="B2210" s="14" t="s">
        <v>796</v>
      </c>
      <c r="C2210" s="15"/>
      <c r="D2210" s="16"/>
      <c r="E2210" s="15"/>
      <c r="F2210" t="e">
        <f t="array" ref="F2210">PROFEXHyperlinkAddress(B2210:B2210)</f>
        <v>#NAME?</v>
      </c>
    </row>
    <row r="2211" ht="90" spans="1:6">
      <c r="A2211" s="17">
        <v>4769097</v>
      </c>
      <c r="B2211" s="18" t="s">
        <v>797</v>
      </c>
      <c r="C2211" s="17" t="s">
        <v>1</v>
      </c>
      <c r="D2211" s="19" t="s">
        <v>2</v>
      </c>
      <c r="E2211" s="17" t="s">
        <v>798</v>
      </c>
      <c r="F2211" t="e">
        <f t="array" ref="F2211">PROFEXHyperlinkAddress(B2211:B2211)</f>
        <v>#NAME?</v>
      </c>
    </row>
    <row r="2212" spans="1:6">
      <c r="A2212" s="11"/>
      <c r="B2212" s="12"/>
      <c r="C2212" s="11"/>
      <c r="D2212" s="13"/>
      <c r="E2212" s="11"/>
      <c r="F2212" t="e">
        <f t="array" ref="F2212">PROFEXHyperlinkAddress(B2212:B2212)</f>
        <v>#NAME?</v>
      </c>
    </row>
    <row r="2213" ht="57.75" spans="1:6">
      <c r="A2213" s="11"/>
      <c r="B2213" s="14" t="s">
        <v>16</v>
      </c>
      <c r="C2213" s="11"/>
      <c r="D2213" s="13"/>
      <c r="E2213" s="11"/>
      <c r="F2213" t="e">
        <f t="array" ref="F2213">PROFEXHyperlinkAddress(B2213:B2213)</f>
        <v>#NAME?</v>
      </c>
    </row>
    <row r="2214" spans="1:6">
      <c r="A2214" s="11"/>
      <c r="B2214" s="12"/>
      <c r="C2214" s="11"/>
      <c r="D2214" s="13"/>
      <c r="E2214" s="11"/>
      <c r="F2214" t="e">
        <f t="array" ref="F2214">PROFEXHyperlinkAddress(B2214:B2214)</f>
        <v>#NAME?</v>
      </c>
    </row>
    <row r="2215" ht="25.5" spans="1:6">
      <c r="A2215" s="15"/>
      <c r="B2215" s="14" t="s">
        <v>799</v>
      </c>
      <c r="C2215" s="15"/>
      <c r="D2215" s="16"/>
      <c r="E2215" s="15"/>
      <c r="F2215" t="e">
        <f t="array" ref="F2215">PROFEXHyperlinkAddress(B2215:B2215)</f>
        <v>#NAME?</v>
      </c>
    </row>
    <row r="2216" ht="120" spans="1:6">
      <c r="A2216" s="17">
        <v>4768097</v>
      </c>
      <c r="B2216" s="18" t="s">
        <v>800</v>
      </c>
      <c r="C2216" s="17" t="s">
        <v>1</v>
      </c>
      <c r="D2216" s="19" t="s">
        <v>2</v>
      </c>
      <c r="E2216" s="17" t="s">
        <v>801</v>
      </c>
      <c r="F2216" t="e">
        <f t="array" ref="F2216">PROFEXHyperlinkAddress(B2216:B2216)</f>
        <v>#NAME?</v>
      </c>
    </row>
    <row r="2217" spans="1:6">
      <c r="A2217" s="11"/>
      <c r="B2217" s="12"/>
      <c r="C2217" s="11"/>
      <c r="D2217" s="13"/>
      <c r="E2217" s="11"/>
      <c r="F2217" t="e">
        <f t="array" ref="F2217">PROFEXHyperlinkAddress(B2217:B2217)</f>
        <v>#NAME?</v>
      </c>
    </row>
    <row r="2218" ht="57.75" spans="1:6">
      <c r="A2218" s="11"/>
      <c r="B2218" s="14" t="s">
        <v>16</v>
      </c>
      <c r="C2218" s="11"/>
      <c r="D2218" s="13"/>
      <c r="E2218" s="11"/>
      <c r="F2218" t="e">
        <f t="array" ref="F2218">PROFEXHyperlinkAddress(B2218:B2218)</f>
        <v>#NAME?</v>
      </c>
    </row>
    <row r="2219" spans="1:6">
      <c r="A2219" s="11"/>
      <c r="B2219" s="12"/>
      <c r="C2219" s="11"/>
      <c r="D2219" s="13"/>
      <c r="E2219" s="11"/>
      <c r="F2219" t="e">
        <f t="array" ref="F2219">PROFEXHyperlinkAddress(B2219:B2219)</f>
        <v>#NAME?</v>
      </c>
    </row>
    <row r="2220" ht="25.5" spans="1:6">
      <c r="A2220" s="15"/>
      <c r="B2220" s="14" t="s">
        <v>5</v>
      </c>
      <c r="C2220" s="15"/>
      <c r="D2220" s="16"/>
      <c r="E2220" s="15"/>
      <c r="F2220" t="e">
        <f t="array" ref="F2220">PROFEXHyperlinkAddress(B2220:B2220)</f>
        <v>#NAME?</v>
      </c>
    </row>
    <row r="2221" ht="120" spans="1:6">
      <c r="A2221" s="17">
        <v>4766097</v>
      </c>
      <c r="B2221" s="18" t="s">
        <v>802</v>
      </c>
      <c r="C2221" s="17" t="s">
        <v>1</v>
      </c>
      <c r="D2221" s="19" t="s">
        <v>2</v>
      </c>
      <c r="E2221" s="17" t="s">
        <v>731</v>
      </c>
      <c r="F2221" t="e">
        <f t="array" ref="F2221">PROFEXHyperlinkAddress(B2221:B2221)</f>
        <v>#NAME?</v>
      </c>
    </row>
    <row r="2222" spans="1:6">
      <c r="A2222" s="11"/>
      <c r="B2222" s="12"/>
      <c r="C2222" s="11"/>
      <c r="D2222" s="13"/>
      <c r="E2222" s="11"/>
      <c r="F2222" t="e">
        <f t="array" ref="F2222">PROFEXHyperlinkAddress(B2222:B2222)</f>
        <v>#NAME?</v>
      </c>
    </row>
    <row r="2223" ht="57.75" spans="1:6">
      <c r="A2223" s="11"/>
      <c r="B2223" s="14" t="s">
        <v>16</v>
      </c>
      <c r="C2223" s="11"/>
      <c r="D2223" s="13"/>
      <c r="E2223" s="11"/>
      <c r="F2223" t="e">
        <f t="array" ref="F2223">PROFEXHyperlinkAddress(B2223:B2223)</f>
        <v>#NAME?</v>
      </c>
    </row>
    <row r="2224" spans="1:6">
      <c r="A2224" s="11"/>
      <c r="B2224" s="12"/>
      <c r="C2224" s="11"/>
      <c r="D2224" s="13"/>
      <c r="E2224" s="11"/>
      <c r="F2224" t="e">
        <f t="array" ref="F2224">PROFEXHyperlinkAddress(B2224:B2224)</f>
        <v>#NAME?</v>
      </c>
    </row>
    <row r="2225" ht="25.5" spans="1:6">
      <c r="A2225" s="15"/>
      <c r="B2225" s="14" t="s">
        <v>5</v>
      </c>
      <c r="C2225" s="15"/>
      <c r="D2225" s="16"/>
      <c r="E2225" s="15"/>
      <c r="F2225" t="e">
        <f t="array" ref="F2225">PROFEXHyperlinkAddress(B2225:B2225)</f>
        <v>#NAME?</v>
      </c>
    </row>
    <row r="2226" ht="315" spans="1:6">
      <c r="A2226" s="17">
        <v>4760097</v>
      </c>
      <c r="B2226" s="18" t="s">
        <v>803</v>
      </c>
      <c r="C2226" s="17" t="s">
        <v>1</v>
      </c>
      <c r="D2226" s="19" t="s">
        <v>2</v>
      </c>
      <c r="E2226" s="17" t="s">
        <v>97</v>
      </c>
      <c r="F2226" t="e">
        <f t="array" ref="F2226">PROFEXHyperlinkAddress(B2226:B2226)</f>
        <v>#NAME?</v>
      </c>
    </row>
    <row r="2227" spans="1:6">
      <c r="A2227" s="11"/>
      <c r="B2227" s="12"/>
      <c r="C2227" s="11"/>
      <c r="D2227" s="13"/>
      <c r="E2227" s="11"/>
      <c r="F2227" t="e">
        <f t="array" ref="F2227">PROFEXHyperlinkAddress(B2227:B2227)</f>
        <v>#NAME?</v>
      </c>
    </row>
    <row r="2228" ht="49.5" spans="1:6">
      <c r="A2228" s="11"/>
      <c r="B2228" s="14" t="s">
        <v>78</v>
      </c>
      <c r="C2228" s="11"/>
      <c r="D2228" s="13"/>
      <c r="E2228" s="11"/>
      <c r="F2228" t="e">
        <f t="array" ref="F2228">PROFEXHyperlinkAddress(B2228:B2228)</f>
        <v>#NAME?</v>
      </c>
    </row>
    <row r="2229" spans="1:6">
      <c r="A2229" s="11"/>
      <c r="B2229" s="12"/>
      <c r="C2229" s="11"/>
      <c r="D2229" s="13"/>
      <c r="E2229" s="11"/>
      <c r="F2229" t="e">
        <f t="array" ref="F2229">PROFEXHyperlinkAddress(B2229:B2229)</f>
        <v>#NAME?</v>
      </c>
    </row>
    <row r="2230" ht="25.5" spans="1:6">
      <c r="A2230" s="15"/>
      <c r="B2230" s="14" t="s">
        <v>5</v>
      </c>
      <c r="C2230" s="15"/>
      <c r="D2230" s="16"/>
      <c r="E2230" s="15"/>
      <c r="F2230" t="e">
        <f t="array" ref="F2230">PROFEXHyperlinkAddress(B2230:B2230)</f>
        <v>#NAME?</v>
      </c>
    </row>
    <row r="2231" ht="360" spans="1:6">
      <c r="A2231" s="17">
        <v>4759097</v>
      </c>
      <c r="B2231" s="18" t="s">
        <v>804</v>
      </c>
      <c r="C2231" s="17" t="s">
        <v>1</v>
      </c>
      <c r="D2231" s="19" t="s">
        <v>2</v>
      </c>
      <c r="E2231" s="17" t="s">
        <v>97</v>
      </c>
      <c r="F2231" t="e">
        <f t="array" ref="F2231">PROFEXHyperlinkAddress(B2231:B2231)</f>
        <v>#NAME?</v>
      </c>
    </row>
    <row r="2232" spans="1:6">
      <c r="A2232" s="11"/>
      <c r="B2232" s="12"/>
      <c r="C2232" s="11"/>
      <c r="D2232" s="13"/>
      <c r="E2232" s="11"/>
      <c r="F2232" t="e">
        <f t="array" ref="F2232">PROFEXHyperlinkAddress(B2232:B2232)</f>
        <v>#NAME?</v>
      </c>
    </row>
    <row r="2233" ht="49.5" spans="1:6">
      <c r="A2233" s="11"/>
      <c r="B2233" s="14" t="s">
        <v>78</v>
      </c>
      <c r="C2233" s="11"/>
      <c r="D2233" s="13"/>
      <c r="E2233" s="11"/>
      <c r="F2233" t="e">
        <f t="array" ref="F2233">PROFEXHyperlinkAddress(B2233:B2233)</f>
        <v>#NAME?</v>
      </c>
    </row>
    <row r="2234" spans="1:6">
      <c r="A2234" s="11"/>
      <c r="B2234" s="12"/>
      <c r="C2234" s="11"/>
      <c r="D2234" s="13"/>
      <c r="E2234" s="11"/>
      <c r="F2234" t="e">
        <f t="array" ref="F2234">PROFEXHyperlinkAddress(B2234:B2234)</f>
        <v>#NAME?</v>
      </c>
    </row>
    <row r="2235" ht="25.5" spans="1:6">
      <c r="A2235" s="15"/>
      <c r="B2235" s="14" t="s">
        <v>5</v>
      </c>
      <c r="C2235" s="15"/>
      <c r="D2235" s="16"/>
      <c r="E2235" s="15"/>
      <c r="F2235" t="e">
        <f t="array" ref="F2235">PROFEXHyperlinkAddress(B2235:B2235)</f>
        <v>#NAME?</v>
      </c>
    </row>
    <row r="2236" ht="285" spans="1:6">
      <c r="A2236" s="17">
        <v>4758097</v>
      </c>
      <c r="B2236" s="18" t="s">
        <v>805</v>
      </c>
      <c r="C2236" s="17" t="s">
        <v>1</v>
      </c>
      <c r="D2236" s="19" t="s">
        <v>2</v>
      </c>
      <c r="E2236" s="17" t="s">
        <v>806</v>
      </c>
      <c r="F2236" t="e">
        <f t="array" ref="F2236">PROFEXHyperlinkAddress(B2236:B2236)</f>
        <v>#NAME?</v>
      </c>
    </row>
    <row r="2237" spans="1:6">
      <c r="A2237" s="11"/>
      <c r="B2237" s="12"/>
      <c r="C2237" s="11"/>
      <c r="D2237" s="13"/>
      <c r="E2237" s="11"/>
      <c r="F2237" t="e">
        <f t="array" ref="F2237">PROFEXHyperlinkAddress(B2237:B2237)</f>
        <v>#NAME?</v>
      </c>
    </row>
    <row r="2238" ht="49.5" spans="1:6">
      <c r="A2238" s="11"/>
      <c r="B2238" s="14" t="s">
        <v>78</v>
      </c>
      <c r="C2238" s="11"/>
      <c r="D2238" s="13"/>
      <c r="E2238" s="11"/>
      <c r="F2238" t="e">
        <f t="array" ref="F2238">PROFEXHyperlinkAddress(B2238:B2238)</f>
        <v>#NAME?</v>
      </c>
    </row>
    <row r="2239" spans="1:6">
      <c r="A2239" s="11"/>
      <c r="B2239" s="12"/>
      <c r="C2239" s="11"/>
      <c r="D2239" s="13"/>
      <c r="E2239" s="11"/>
      <c r="F2239" t="e">
        <f t="array" ref="F2239">PROFEXHyperlinkAddress(B2239:B2239)</f>
        <v>#NAME?</v>
      </c>
    </row>
    <row r="2240" ht="25.5" spans="1:6">
      <c r="A2240" s="15"/>
      <c r="B2240" s="14" t="s">
        <v>5</v>
      </c>
      <c r="C2240" s="15"/>
      <c r="D2240" s="16"/>
      <c r="E2240" s="15"/>
      <c r="F2240" t="e">
        <f t="array" ref="F2240">PROFEXHyperlinkAddress(B2240:B2240)</f>
        <v>#NAME?</v>
      </c>
    </row>
    <row r="2241" ht="330" spans="1:6">
      <c r="A2241" s="17">
        <v>4757097</v>
      </c>
      <c r="B2241" s="18" t="s">
        <v>807</v>
      </c>
      <c r="C2241" s="17" t="s">
        <v>1</v>
      </c>
      <c r="D2241" s="19" t="s">
        <v>2</v>
      </c>
      <c r="E2241" s="17" t="s">
        <v>806</v>
      </c>
      <c r="F2241" t="e">
        <f t="array" ref="F2241">PROFEXHyperlinkAddress(B2241:B2241)</f>
        <v>#NAME?</v>
      </c>
    </row>
    <row r="2242" spans="1:6">
      <c r="A2242" s="11"/>
      <c r="B2242" s="12"/>
      <c r="C2242" s="11"/>
      <c r="D2242" s="13"/>
      <c r="E2242" s="11"/>
      <c r="F2242" t="e">
        <f t="array" ref="F2242">PROFEXHyperlinkAddress(B2242:B2242)</f>
        <v>#NAME?</v>
      </c>
    </row>
    <row r="2243" ht="49.5" spans="1:6">
      <c r="A2243" s="11"/>
      <c r="B2243" s="14" t="s">
        <v>78</v>
      </c>
      <c r="C2243" s="11"/>
      <c r="D2243" s="13"/>
      <c r="E2243" s="11"/>
      <c r="F2243" t="e">
        <f t="array" ref="F2243">PROFEXHyperlinkAddress(B2243:B2243)</f>
        <v>#NAME?</v>
      </c>
    </row>
    <row r="2244" spans="1:6">
      <c r="A2244" s="11"/>
      <c r="B2244" s="12"/>
      <c r="C2244" s="11"/>
      <c r="D2244" s="13"/>
      <c r="E2244" s="11"/>
      <c r="F2244" t="e">
        <f t="array" ref="F2244">PROFEXHyperlinkAddress(B2244:B2244)</f>
        <v>#NAME?</v>
      </c>
    </row>
    <row r="2245" ht="25.5" spans="1:6">
      <c r="A2245" s="15"/>
      <c r="B2245" s="14" t="s">
        <v>5</v>
      </c>
      <c r="C2245" s="15"/>
      <c r="D2245" s="16"/>
      <c r="E2245" s="15"/>
      <c r="F2245" t="e">
        <f t="array" ref="F2245">PROFEXHyperlinkAddress(B2245:B2245)</f>
        <v>#NAME?</v>
      </c>
    </row>
    <row r="2246" ht="150" spans="1:6">
      <c r="A2246" s="17">
        <v>4756097</v>
      </c>
      <c r="B2246" s="18" t="s">
        <v>808</v>
      </c>
      <c r="C2246" s="17" t="s">
        <v>1</v>
      </c>
      <c r="D2246" s="19" t="s">
        <v>2</v>
      </c>
      <c r="E2246" s="17" t="s">
        <v>809</v>
      </c>
      <c r="F2246" t="e">
        <f t="array" ref="F2246">PROFEXHyperlinkAddress(B2246:B2246)</f>
        <v>#NAME?</v>
      </c>
    </row>
    <row r="2247" spans="1:6">
      <c r="A2247" s="11"/>
      <c r="B2247" s="12"/>
      <c r="C2247" s="11"/>
      <c r="D2247" s="13"/>
      <c r="E2247" s="11"/>
      <c r="F2247" t="e">
        <f t="array" ref="F2247">PROFEXHyperlinkAddress(B2247:B2247)</f>
        <v>#NAME?</v>
      </c>
    </row>
    <row r="2248" ht="49.5" spans="1:6">
      <c r="A2248" s="11"/>
      <c r="B2248" s="14" t="s">
        <v>78</v>
      </c>
      <c r="C2248" s="11"/>
      <c r="D2248" s="13"/>
      <c r="E2248" s="11"/>
      <c r="F2248" t="e">
        <f t="array" ref="F2248">PROFEXHyperlinkAddress(B2248:B2248)</f>
        <v>#NAME?</v>
      </c>
    </row>
    <row r="2249" spans="1:6">
      <c r="A2249" s="11"/>
      <c r="B2249" s="12"/>
      <c r="C2249" s="11"/>
      <c r="D2249" s="13"/>
      <c r="E2249" s="11"/>
      <c r="F2249" t="e">
        <f t="array" ref="F2249">PROFEXHyperlinkAddress(B2249:B2249)</f>
        <v>#NAME?</v>
      </c>
    </row>
    <row r="2250" ht="25.5" spans="1:6">
      <c r="A2250" s="15"/>
      <c r="B2250" s="14" t="s">
        <v>5</v>
      </c>
      <c r="C2250" s="15"/>
      <c r="D2250" s="16"/>
      <c r="E2250" s="15"/>
      <c r="F2250" t="e">
        <f t="array" ref="F2250">PROFEXHyperlinkAddress(B2250:B2250)</f>
        <v>#NAME?</v>
      </c>
    </row>
    <row r="2251" ht="150" spans="1:6">
      <c r="A2251" s="17">
        <v>4755097</v>
      </c>
      <c r="B2251" s="18" t="s">
        <v>810</v>
      </c>
      <c r="C2251" s="17" t="s">
        <v>1</v>
      </c>
      <c r="D2251" s="19" t="s">
        <v>2</v>
      </c>
      <c r="E2251" s="17" t="s">
        <v>811</v>
      </c>
      <c r="F2251" t="e">
        <f t="array" ref="F2251">PROFEXHyperlinkAddress(B2251:B2251)</f>
        <v>#NAME?</v>
      </c>
    </row>
    <row r="2252" spans="1:6">
      <c r="A2252" s="11"/>
      <c r="B2252" s="12"/>
      <c r="C2252" s="11"/>
      <c r="D2252" s="13"/>
      <c r="E2252" s="11"/>
      <c r="F2252" t="e">
        <f t="array" ref="F2252">PROFEXHyperlinkAddress(B2252:B2252)</f>
        <v>#NAME?</v>
      </c>
    </row>
    <row r="2253" ht="57.75" spans="1:6">
      <c r="A2253" s="11"/>
      <c r="B2253" s="14" t="s">
        <v>16</v>
      </c>
      <c r="C2253" s="11"/>
      <c r="D2253" s="13"/>
      <c r="E2253" s="11"/>
      <c r="F2253" t="e">
        <f t="array" ref="F2253">PROFEXHyperlinkAddress(B2253:B2253)</f>
        <v>#NAME?</v>
      </c>
    </row>
    <row r="2254" spans="1:6">
      <c r="A2254" s="11"/>
      <c r="B2254" s="12"/>
      <c r="C2254" s="11"/>
      <c r="D2254" s="13"/>
      <c r="E2254" s="11"/>
      <c r="F2254" t="e">
        <f t="array" ref="F2254">PROFEXHyperlinkAddress(B2254:B2254)</f>
        <v>#NAME?</v>
      </c>
    </row>
    <row r="2255" ht="25.5" spans="1:6">
      <c r="A2255" s="15"/>
      <c r="B2255" s="14" t="s">
        <v>5</v>
      </c>
      <c r="C2255" s="15"/>
      <c r="D2255" s="16"/>
      <c r="E2255" s="15"/>
      <c r="F2255" t="e">
        <f t="array" ref="F2255">PROFEXHyperlinkAddress(B2255:B2255)</f>
        <v>#NAME?</v>
      </c>
    </row>
    <row r="2256" ht="225" spans="1:6">
      <c r="A2256" s="17">
        <v>4749097</v>
      </c>
      <c r="B2256" s="18" t="s">
        <v>812</v>
      </c>
      <c r="C2256" s="17" t="s">
        <v>1</v>
      </c>
      <c r="D2256" s="19" t="s">
        <v>7</v>
      </c>
      <c r="E2256" s="17" t="s">
        <v>20</v>
      </c>
      <c r="F2256" t="e">
        <f t="array" ref="F2256">PROFEXHyperlinkAddress(B2256:B2256)</f>
        <v>#NAME?</v>
      </c>
    </row>
    <row r="2257" spans="1:6">
      <c r="A2257" s="11"/>
      <c r="B2257" s="12"/>
      <c r="C2257" s="11"/>
      <c r="D2257" s="13"/>
      <c r="E2257" s="11"/>
      <c r="F2257" t="e">
        <f t="array" ref="F2257">PROFEXHyperlinkAddress(B2257:B2257)</f>
        <v>#NAME?</v>
      </c>
    </row>
    <row r="2258" ht="57.75" spans="1:6">
      <c r="A2258" s="11"/>
      <c r="B2258" s="14" t="s">
        <v>54</v>
      </c>
      <c r="C2258" s="11"/>
      <c r="D2258" s="13"/>
      <c r="E2258" s="11"/>
      <c r="F2258" t="e">
        <f t="array" ref="F2258">PROFEXHyperlinkAddress(B2258:B2258)</f>
        <v>#NAME?</v>
      </c>
    </row>
    <row r="2259" spans="1:6">
      <c r="A2259" s="11"/>
      <c r="B2259" s="12"/>
      <c r="C2259" s="11"/>
      <c r="D2259" s="13"/>
      <c r="E2259" s="11"/>
      <c r="F2259" t="e">
        <f t="array" ref="F2259">PROFEXHyperlinkAddress(B2259:B2259)</f>
        <v>#NAME?</v>
      </c>
    </row>
    <row r="2260" ht="25.5" spans="1:6">
      <c r="A2260" s="15"/>
      <c r="B2260" s="14" t="s">
        <v>5</v>
      </c>
      <c r="C2260" s="15"/>
      <c r="D2260" s="16"/>
      <c r="E2260" s="15"/>
      <c r="F2260" t="e">
        <f t="array" ref="F2260">PROFEXHyperlinkAddress(B2260:B2260)</f>
        <v>#NAME?</v>
      </c>
    </row>
    <row r="2261" ht="120" spans="1:6">
      <c r="A2261" s="17">
        <v>4745097</v>
      </c>
      <c r="B2261" s="18" t="s">
        <v>813</v>
      </c>
      <c r="C2261" s="17" t="s">
        <v>1</v>
      </c>
      <c r="D2261" s="19" t="s">
        <v>2</v>
      </c>
      <c r="E2261" s="17" t="s">
        <v>107</v>
      </c>
      <c r="F2261" t="e">
        <f t="array" ref="F2261">PROFEXHyperlinkAddress(B2261:B2261)</f>
        <v>#NAME?</v>
      </c>
    </row>
    <row r="2262" spans="1:6">
      <c r="A2262" s="11"/>
      <c r="B2262" s="12"/>
      <c r="C2262" s="11"/>
      <c r="D2262" s="13"/>
      <c r="E2262" s="11"/>
      <c r="F2262" t="e">
        <f t="array" ref="F2262">PROFEXHyperlinkAddress(B2262:B2262)</f>
        <v>#NAME?</v>
      </c>
    </row>
    <row r="2263" ht="57.75" spans="1:6">
      <c r="A2263" s="11"/>
      <c r="B2263" s="14" t="s">
        <v>16</v>
      </c>
      <c r="C2263" s="11"/>
      <c r="D2263" s="13"/>
      <c r="E2263" s="11"/>
      <c r="F2263" t="e">
        <f t="array" ref="F2263">PROFEXHyperlinkAddress(B2263:B2263)</f>
        <v>#NAME?</v>
      </c>
    </row>
    <row r="2264" spans="1:6">
      <c r="A2264" s="11"/>
      <c r="B2264" s="12"/>
      <c r="C2264" s="11"/>
      <c r="D2264" s="13"/>
      <c r="E2264" s="11"/>
      <c r="F2264" t="e">
        <f t="array" ref="F2264">PROFEXHyperlinkAddress(B2264:B2264)</f>
        <v>#NAME?</v>
      </c>
    </row>
    <row r="2265" ht="25.5" spans="1:6">
      <c r="A2265" s="15"/>
      <c r="B2265" s="14" t="s">
        <v>5</v>
      </c>
      <c r="C2265" s="15"/>
      <c r="D2265" s="16"/>
      <c r="E2265" s="15"/>
      <c r="F2265" t="e">
        <f t="array" ref="F2265">PROFEXHyperlinkAddress(B2265:B2265)</f>
        <v>#NAME?</v>
      </c>
    </row>
    <row r="2266" ht="180" spans="1:6">
      <c r="A2266" s="17">
        <v>4744097</v>
      </c>
      <c r="B2266" s="18" t="s">
        <v>814</v>
      </c>
      <c r="C2266" s="17" t="s">
        <v>1</v>
      </c>
      <c r="D2266" s="19" t="s">
        <v>7</v>
      </c>
      <c r="E2266" s="17" t="s">
        <v>464</v>
      </c>
      <c r="F2266" t="e">
        <f t="array" ref="F2266">PROFEXHyperlinkAddress(B2266:B2266)</f>
        <v>#NAME?</v>
      </c>
    </row>
    <row r="2267" spans="1:6">
      <c r="A2267" s="11"/>
      <c r="B2267" s="12"/>
      <c r="C2267" s="11"/>
      <c r="D2267" s="13"/>
      <c r="E2267" s="11"/>
      <c r="F2267" t="e">
        <f t="array" ref="F2267">PROFEXHyperlinkAddress(B2267:B2267)</f>
        <v>#NAME?</v>
      </c>
    </row>
    <row r="2268" ht="57.75" spans="1:6">
      <c r="A2268" s="11"/>
      <c r="B2268" s="14" t="s">
        <v>21</v>
      </c>
      <c r="C2268" s="11"/>
      <c r="D2268" s="13"/>
      <c r="E2268" s="11"/>
      <c r="F2268" t="e">
        <f t="array" ref="F2268">PROFEXHyperlinkAddress(B2268:B2268)</f>
        <v>#NAME?</v>
      </c>
    </row>
    <row r="2269" spans="1:6">
      <c r="A2269" s="11"/>
      <c r="B2269" s="12"/>
      <c r="C2269" s="11"/>
      <c r="D2269" s="13"/>
      <c r="E2269" s="11"/>
      <c r="F2269" t="e">
        <f t="array" ref="F2269">PROFEXHyperlinkAddress(B2269:B2269)</f>
        <v>#NAME?</v>
      </c>
    </row>
    <row r="2270" ht="25.5" spans="1:6">
      <c r="A2270" s="15"/>
      <c r="B2270" s="14" t="s">
        <v>5</v>
      </c>
      <c r="C2270" s="15"/>
      <c r="D2270" s="16"/>
      <c r="E2270" s="15"/>
      <c r="F2270" t="e">
        <f t="array" ref="F2270">PROFEXHyperlinkAddress(B2270:B2270)</f>
        <v>#NAME?</v>
      </c>
    </row>
    <row r="2271" ht="165" spans="1:6">
      <c r="A2271" s="17">
        <v>4742097</v>
      </c>
      <c r="B2271" s="18" t="s">
        <v>815</v>
      </c>
      <c r="C2271" s="17" t="s">
        <v>1</v>
      </c>
      <c r="D2271" s="19" t="s">
        <v>2</v>
      </c>
      <c r="E2271" s="17" t="s">
        <v>391</v>
      </c>
      <c r="F2271" t="e">
        <f t="array" ref="F2271">PROFEXHyperlinkAddress(B2271:B2271)</f>
        <v>#NAME?</v>
      </c>
    </row>
    <row r="2272" spans="1:6">
      <c r="A2272" s="11"/>
      <c r="B2272" s="12"/>
      <c r="C2272" s="11"/>
      <c r="D2272" s="13"/>
      <c r="E2272" s="11"/>
      <c r="F2272" t="e">
        <f t="array" ref="F2272">PROFEXHyperlinkAddress(B2272:B2272)</f>
        <v>#NAME?</v>
      </c>
    </row>
    <row r="2273" ht="57.75" spans="1:6">
      <c r="A2273" s="11"/>
      <c r="B2273" s="14" t="s">
        <v>4</v>
      </c>
      <c r="C2273" s="11"/>
      <c r="D2273" s="13"/>
      <c r="E2273" s="11"/>
      <c r="F2273" t="e">
        <f t="array" ref="F2273">PROFEXHyperlinkAddress(B2273:B2273)</f>
        <v>#NAME?</v>
      </c>
    </row>
    <row r="2274" spans="1:6">
      <c r="A2274" s="11"/>
      <c r="B2274" s="12"/>
      <c r="C2274" s="11"/>
      <c r="D2274" s="13"/>
      <c r="E2274" s="11"/>
      <c r="F2274" t="e">
        <f t="array" ref="F2274">PROFEXHyperlinkAddress(B2274:B2274)</f>
        <v>#NAME?</v>
      </c>
    </row>
    <row r="2275" ht="25.5" spans="1:6">
      <c r="A2275" s="15"/>
      <c r="B2275" s="14" t="s">
        <v>816</v>
      </c>
      <c r="C2275" s="15"/>
      <c r="D2275" s="16"/>
      <c r="E2275" s="15"/>
      <c r="F2275" t="e">
        <f t="array" ref="F2275">PROFEXHyperlinkAddress(B2275:B2275)</f>
        <v>#NAME?</v>
      </c>
    </row>
    <row r="2276" ht="60" spans="1:6">
      <c r="A2276" s="17">
        <v>4741097</v>
      </c>
      <c r="B2276" s="18" t="s">
        <v>817</v>
      </c>
      <c r="C2276" s="17" t="s">
        <v>361</v>
      </c>
      <c r="D2276" s="19" t="s">
        <v>2</v>
      </c>
      <c r="E2276" s="17" t="s">
        <v>818</v>
      </c>
      <c r="F2276" t="e">
        <f t="array" ref="F2276">PROFEXHyperlinkAddress(B2276:B2276)</f>
        <v>#NAME?</v>
      </c>
    </row>
    <row r="2277" spans="1:6">
      <c r="A2277" s="11"/>
      <c r="B2277" s="12"/>
      <c r="C2277" s="11"/>
      <c r="D2277" s="13"/>
      <c r="E2277" s="11"/>
      <c r="F2277" t="e">
        <f t="array" ref="F2277">PROFEXHyperlinkAddress(B2277:B2277)</f>
        <v>#NAME?</v>
      </c>
    </row>
    <row r="2278" ht="57.75" spans="1:6">
      <c r="A2278" s="11"/>
      <c r="B2278" s="14" t="s">
        <v>16</v>
      </c>
      <c r="C2278" s="11"/>
      <c r="D2278" s="13"/>
      <c r="E2278" s="11"/>
      <c r="F2278" t="e">
        <f t="array" ref="F2278">PROFEXHyperlinkAddress(B2278:B2278)</f>
        <v>#NAME?</v>
      </c>
    </row>
    <row r="2279" spans="1:6">
      <c r="A2279" s="11"/>
      <c r="B2279" s="12"/>
      <c r="C2279" s="11"/>
      <c r="D2279" s="13"/>
      <c r="E2279" s="11"/>
      <c r="F2279" t="e">
        <f t="array" ref="F2279">PROFEXHyperlinkAddress(B2279:B2279)</f>
        <v>#NAME?</v>
      </c>
    </row>
    <row r="2280" ht="25.5" spans="1:6">
      <c r="A2280" s="15"/>
      <c r="B2280" s="14" t="s">
        <v>819</v>
      </c>
      <c r="C2280" s="15"/>
      <c r="D2280" s="16"/>
      <c r="E2280" s="15"/>
      <c r="F2280" t="e">
        <f t="array" ref="F2280">PROFEXHyperlinkAddress(B2280:B2280)</f>
        <v>#NAME?</v>
      </c>
    </row>
    <row r="2281" ht="150" spans="1:6">
      <c r="A2281" s="17">
        <v>4739097</v>
      </c>
      <c r="B2281" s="18" t="s">
        <v>820</v>
      </c>
      <c r="C2281" s="17" t="s">
        <v>1</v>
      </c>
      <c r="D2281" s="19" t="s">
        <v>7</v>
      </c>
      <c r="E2281" s="17" t="s">
        <v>10</v>
      </c>
      <c r="F2281" t="e">
        <f t="array" ref="F2281">PROFEXHyperlinkAddress(B2281:B2281)</f>
        <v>#NAME?</v>
      </c>
    </row>
    <row r="2282" spans="1:6">
      <c r="A2282" s="11"/>
      <c r="B2282" s="12"/>
      <c r="C2282" s="11"/>
      <c r="D2282" s="13"/>
      <c r="E2282" s="11"/>
      <c r="F2282" t="e">
        <f t="array" ref="F2282">PROFEXHyperlinkAddress(B2282:B2282)</f>
        <v>#NAME?</v>
      </c>
    </row>
    <row r="2283" ht="57.75" spans="1:6">
      <c r="A2283" s="11"/>
      <c r="B2283" s="14" t="s">
        <v>21</v>
      </c>
      <c r="C2283" s="11"/>
      <c r="D2283" s="13"/>
      <c r="E2283" s="11"/>
      <c r="F2283" t="e">
        <f t="array" ref="F2283">PROFEXHyperlinkAddress(B2283:B2283)</f>
        <v>#NAME?</v>
      </c>
    </row>
    <row r="2284" spans="1:6">
      <c r="A2284" s="11"/>
      <c r="B2284" s="12"/>
      <c r="C2284" s="11"/>
      <c r="D2284" s="13"/>
      <c r="E2284" s="11"/>
      <c r="F2284" t="e">
        <f t="array" ref="F2284">PROFEXHyperlinkAddress(B2284:B2284)</f>
        <v>#NAME?</v>
      </c>
    </row>
    <row r="2285" ht="25.5" spans="1:6">
      <c r="A2285" s="15"/>
      <c r="B2285" s="14" t="s">
        <v>5</v>
      </c>
      <c r="C2285" s="15"/>
      <c r="D2285" s="16"/>
      <c r="E2285" s="15"/>
      <c r="F2285" t="e">
        <f t="array" ref="F2285">PROFEXHyperlinkAddress(B2285:B2285)</f>
        <v>#NAME?</v>
      </c>
    </row>
    <row r="2286" ht="120" spans="1:6">
      <c r="A2286" s="17">
        <v>4738097</v>
      </c>
      <c r="B2286" s="18" t="s">
        <v>821</v>
      </c>
      <c r="C2286" s="17" t="s">
        <v>1</v>
      </c>
      <c r="D2286" s="19" t="s">
        <v>7</v>
      </c>
      <c r="E2286" s="17" t="s">
        <v>822</v>
      </c>
      <c r="F2286" t="e">
        <f t="array" ref="F2286">PROFEXHyperlinkAddress(B2286:B2286)</f>
        <v>#NAME?</v>
      </c>
    </row>
    <row r="2287" spans="1:6">
      <c r="A2287" s="11"/>
      <c r="B2287" s="12"/>
      <c r="C2287" s="11"/>
      <c r="D2287" s="13"/>
      <c r="E2287" s="11"/>
      <c r="F2287" t="e">
        <f t="array" ref="F2287">PROFEXHyperlinkAddress(B2287:B2287)</f>
        <v>#NAME?</v>
      </c>
    </row>
    <row r="2288" ht="57.75" spans="1:6">
      <c r="A2288" s="11"/>
      <c r="B2288" s="14" t="s">
        <v>4</v>
      </c>
      <c r="C2288" s="11"/>
      <c r="D2288" s="13"/>
      <c r="E2288" s="11"/>
      <c r="F2288" t="e">
        <f t="array" ref="F2288">PROFEXHyperlinkAddress(B2288:B2288)</f>
        <v>#NAME?</v>
      </c>
    </row>
    <row r="2289" spans="1:6">
      <c r="A2289" s="11"/>
      <c r="B2289" s="12"/>
      <c r="C2289" s="11"/>
      <c r="D2289" s="13"/>
      <c r="E2289" s="11"/>
      <c r="F2289" t="e">
        <f t="array" ref="F2289">PROFEXHyperlinkAddress(B2289:B2289)</f>
        <v>#NAME?</v>
      </c>
    </row>
    <row r="2290" ht="25.5" spans="1:6">
      <c r="A2290" s="15"/>
      <c r="B2290" s="14" t="s">
        <v>5</v>
      </c>
      <c r="C2290" s="15"/>
      <c r="D2290" s="16"/>
      <c r="E2290" s="15"/>
      <c r="F2290" t="e">
        <f t="array" ref="F2290">PROFEXHyperlinkAddress(B2290:B2290)</f>
        <v>#NAME?</v>
      </c>
    </row>
    <row r="2291" ht="105" spans="1:6">
      <c r="A2291" s="17">
        <v>4730097</v>
      </c>
      <c r="B2291" s="18" t="s">
        <v>823</v>
      </c>
      <c r="C2291" s="17" t="s">
        <v>1</v>
      </c>
      <c r="D2291" s="19" t="s">
        <v>2</v>
      </c>
      <c r="E2291" s="17" t="s">
        <v>824</v>
      </c>
      <c r="F2291" t="e">
        <f t="array" ref="F2291">PROFEXHyperlinkAddress(B2291:B2291)</f>
        <v>#NAME?</v>
      </c>
    </row>
    <row r="2292" spans="1:6">
      <c r="A2292" s="11"/>
      <c r="B2292" s="12"/>
      <c r="C2292" s="11"/>
      <c r="D2292" s="13"/>
      <c r="E2292" s="11"/>
      <c r="F2292" t="e">
        <f t="array" ref="F2292">PROFEXHyperlinkAddress(B2292:B2292)</f>
        <v>#NAME?</v>
      </c>
    </row>
    <row r="2293" ht="49.5" spans="1:6">
      <c r="A2293" s="11"/>
      <c r="B2293" s="14" t="s">
        <v>188</v>
      </c>
      <c r="C2293" s="11"/>
      <c r="D2293" s="13"/>
      <c r="E2293" s="11"/>
      <c r="F2293" t="e">
        <f t="array" ref="F2293">PROFEXHyperlinkAddress(B2293:B2293)</f>
        <v>#NAME?</v>
      </c>
    </row>
    <row r="2294" spans="1:6">
      <c r="A2294" s="11"/>
      <c r="B2294" s="12"/>
      <c r="C2294" s="11"/>
      <c r="D2294" s="13"/>
      <c r="E2294" s="11"/>
      <c r="F2294" t="e">
        <f t="array" ref="F2294">PROFEXHyperlinkAddress(B2294:B2294)</f>
        <v>#NAME?</v>
      </c>
    </row>
    <row r="2295" ht="25.5" spans="1:6">
      <c r="A2295" s="15"/>
      <c r="B2295" s="14" t="s">
        <v>825</v>
      </c>
      <c r="C2295" s="15"/>
      <c r="D2295" s="16"/>
      <c r="E2295" s="15"/>
      <c r="F2295" t="e">
        <f t="array" ref="F2295">PROFEXHyperlinkAddress(B2295:B2295)</f>
        <v>#NAME?</v>
      </c>
    </row>
    <row r="2296" ht="90" spans="1:6">
      <c r="A2296" s="17">
        <v>4728097</v>
      </c>
      <c r="B2296" s="18" t="s">
        <v>826</v>
      </c>
      <c r="C2296" s="17" t="s">
        <v>1</v>
      </c>
      <c r="D2296" s="19" t="s">
        <v>2</v>
      </c>
      <c r="E2296" s="17" t="s">
        <v>578</v>
      </c>
      <c r="F2296" t="e">
        <f t="array" ref="F2296">PROFEXHyperlinkAddress(B2296:B2296)</f>
        <v>#NAME?</v>
      </c>
    </row>
    <row r="2297" spans="1:6">
      <c r="A2297" s="11"/>
      <c r="B2297" s="12"/>
      <c r="C2297" s="11"/>
      <c r="D2297" s="13"/>
      <c r="E2297" s="11"/>
      <c r="F2297" t="e">
        <f t="array" ref="F2297">PROFEXHyperlinkAddress(B2297:B2297)</f>
        <v>#NAME?</v>
      </c>
    </row>
    <row r="2298" ht="49.5" spans="1:6">
      <c r="A2298" s="11"/>
      <c r="B2298" s="14" t="s">
        <v>188</v>
      </c>
      <c r="C2298" s="11"/>
      <c r="D2298" s="13"/>
      <c r="E2298" s="11"/>
      <c r="F2298" t="e">
        <f t="array" ref="F2298">PROFEXHyperlinkAddress(B2298:B2298)</f>
        <v>#NAME?</v>
      </c>
    </row>
    <row r="2299" spans="1:6">
      <c r="A2299" s="11"/>
      <c r="B2299" s="12"/>
      <c r="C2299" s="11"/>
      <c r="D2299" s="13"/>
      <c r="E2299" s="11"/>
      <c r="F2299" t="e">
        <f t="array" ref="F2299">PROFEXHyperlinkAddress(B2299:B2299)</f>
        <v>#NAME?</v>
      </c>
    </row>
    <row r="2300" ht="25.5" spans="1:6">
      <c r="A2300" s="15"/>
      <c r="B2300" s="14" t="s">
        <v>5</v>
      </c>
      <c r="C2300" s="15"/>
      <c r="D2300" s="16"/>
      <c r="E2300" s="15"/>
      <c r="F2300" t="e">
        <f t="array" ref="F2300">PROFEXHyperlinkAddress(B2300:B2300)</f>
        <v>#NAME?</v>
      </c>
    </row>
    <row r="2301" ht="90" spans="1:6">
      <c r="A2301" s="17">
        <v>4723097</v>
      </c>
      <c r="B2301" s="18" t="s">
        <v>827</v>
      </c>
      <c r="C2301" s="17" t="s">
        <v>1</v>
      </c>
      <c r="D2301" s="19" t="s">
        <v>2</v>
      </c>
      <c r="E2301" s="17" t="s">
        <v>828</v>
      </c>
      <c r="F2301" t="e">
        <f t="array" ref="F2301">PROFEXHyperlinkAddress(B2301:B2301)</f>
        <v>#NAME?</v>
      </c>
    </row>
    <row r="2302" spans="1:6">
      <c r="A2302" s="11"/>
      <c r="B2302" s="12"/>
      <c r="C2302" s="11"/>
      <c r="D2302" s="13"/>
      <c r="E2302" s="11"/>
      <c r="F2302" t="e">
        <f t="array" ref="F2302">PROFEXHyperlinkAddress(B2302:B2302)</f>
        <v>#NAME?</v>
      </c>
    </row>
    <row r="2303" ht="49.5" spans="1:6">
      <c r="A2303" s="11"/>
      <c r="B2303" s="14" t="s">
        <v>188</v>
      </c>
      <c r="C2303" s="11"/>
      <c r="D2303" s="13"/>
      <c r="E2303" s="11"/>
      <c r="F2303" t="e">
        <f t="array" ref="F2303">PROFEXHyperlinkAddress(B2303:B2303)</f>
        <v>#NAME?</v>
      </c>
    </row>
    <row r="2304" spans="1:6">
      <c r="A2304" s="11"/>
      <c r="B2304" s="12"/>
      <c r="C2304" s="11"/>
      <c r="D2304" s="13"/>
      <c r="E2304" s="11"/>
      <c r="F2304" t="e">
        <f t="array" ref="F2304">PROFEXHyperlinkAddress(B2304:B2304)</f>
        <v>#NAME?</v>
      </c>
    </row>
    <row r="2305" ht="25.5" spans="1:6">
      <c r="A2305" s="15"/>
      <c r="B2305" s="14" t="s">
        <v>829</v>
      </c>
      <c r="C2305" s="15"/>
      <c r="D2305" s="16"/>
      <c r="E2305" s="15"/>
      <c r="F2305" t="e">
        <f t="array" ref="F2305">PROFEXHyperlinkAddress(B2305:B2305)</f>
        <v>#NAME?</v>
      </c>
    </row>
    <row r="2306" ht="120" spans="1:6">
      <c r="A2306" s="17">
        <v>4722097</v>
      </c>
      <c r="B2306" s="18" t="s">
        <v>830</v>
      </c>
      <c r="C2306" s="17" t="s">
        <v>1</v>
      </c>
      <c r="D2306" s="19" t="s">
        <v>2</v>
      </c>
      <c r="E2306" s="17" t="s">
        <v>831</v>
      </c>
      <c r="F2306" t="e">
        <f t="array" ref="F2306">PROFEXHyperlinkAddress(B2306:B2306)</f>
        <v>#NAME?</v>
      </c>
    </row>
    <row r="2307" spans="1:6">
      <c r="A2307" s="11"/>
      <c r="B2307" s="12"/>
      <c r="C2307" s="11"/>
      <c r="D2307" s="13"/>
      <c r="E2307" s="11"/>
      <c r="F2307" t="e">
        <f t="array" ref="F2307">PROFEXHyperlinkAddress(B2307:B2307)</f>
        <v>#NAME?</v>
      </c>
    </row>
    <row r="2308" ht="57.75" spans="1:6">
      <c r="A2308" s="11"/>
      <c r="B2308" s="14" t="s">
        <v>16</v>
      </c>
      <c r="C2308" s="11"/>
      <c r="D2308" s="13"/>
      <c r="E2308" s="11"/>
      <c r="F2308" t="e">
        <f t="array" ref="F2308">PROFEXHyperlinkAddress(B2308:B2308)</f>
        <v>#NAME?</v>
      </c>
    </row>
    <row r="2309" spans="1:6">
      <c r="A2309" s="11"/>
      <c r="B2309" s="12"/>
      <c r="C2309" s="11"/>
      <c r="D2309" s="13"/>
      <c r="E2309" s="11"/>
      <c r="F2309" t="e">
        <f t="array" ref="F2309">PROFEXHyperlinkAddress(B2309:B2309)</f>
        <v>#NAME?</v>
      </c>
    </row>
    <row r="2310" ht="25.5" spans="1:6">
      <c r="A2310" s="15"/>
      <c r="B2310" s="14" t="s">
        <v>832</v>
      </c>
      <c r="C2310" s="15"/>
      <c r="D2310" s="16"/>
      <c r="E2310" s="15"/>
      <c r="F2310" t="e">
        <f t="array" ref="F2310">PROFEXHyperlinkAddress(B2310:B2310)</f>
        <v>#NAME?</v>
      </c>
    </row>
    <row r="2311" ht="210" spans="1:6">
      <c r="A2311" s="17">
        <v>4719097</v>
      </c>
      <c r="B2311" s="18" t="s">
        <v>833</v>
      </c>
      <c r="C2311" s="17" t="s">
        <v>1</v>
      </c>
      <c r="D2311" s="19" t="s">
        <v>2</v>
      </c>
      <c r="E2311" s="17" t="s">
        <v>834</v>
      </c>
      <c r="F2311" t="e">
        <f t="array" ref="F2311">PROFEXHyperlinkAddress(B2311:B2311)</f>
        <v>#NAME?</v>
      </c>
    </row>
    <row r="2312" spans="1:6">
      <c r="A2312" s="11"/>
      <c r="B2312" s="12"/>
      <c r="C2312" s="11"/>
      <c r="D2312" s="13"/>
      <c r="E2312" s="11"/>
      <c r="F2312" t="e">
        <f t="array" ref="F2312">PROFEXHyperlinkAddress(B2312:B2312)</f>
        <v>#NAME?</v>
      </c>
    </row>
    <row r="2313" ht="49.5" spans="1:6">
      <c r="A2313" s="11"/>
      <c r="B2313" s="14" t="s">
        <v>188</v>
      </c>
      <c r="C2313" s="11"/>
      <c r="D2313" s="13"/>
      <c r="E2313" s="11"/>
      <c r="F2313" t="e">
        <f t="array" ref="F2313">PROFEXHyperlinkAddress(B2313:B2313)</f>
        <v>#NAME?</v>
      </c>
    </row>
    <row r="2314" spans="1:6">
      <c r="A2314" s="11"/>
      <c r="B2314" s="12"/>
      <c r="C2314" s="11"/>
      <c r="D2314" s="13"/>
      <c r="E2314" s="11"/>
      <c r="F2314" t="e">
        <f t="array" ref="F2314">PROFEXHyperlinkAddress(B2314:B2314)</f>
        <v>#NAME?</v>
      </c>
    </row>
    <row r="2315" ht="25.5" spans="1:6">
      <c r="A2315" s="15"/>
      <c r="B2315" s="14" t="s">
        <v>835</v>
      </c>
      <c r="C2315" s="15"/>
      <c r="D2315" s="16"/>
      <c r="E2315" s="15"/>
      <c r="F2315" t="e">
        <f t="array" ref="F2315">PROFEXHyperlinkAddress(B2315:B2315)</f>
        <v>#NAME?</v>
      </c>
    </row>
    <row r="2316" ht="150" spans="1:6">
      <c r="A2316" s="17">
        <v>4718097</v>
      </c>
      <c r="B2316" s="18" t="s">
        <v>836</v>
      </c>
      <c r="C2316" s="17" t="s">
        <v>1</v>
      </c>
      <c r="D2316" s="19" t="s">
        <v>2</v>
      </c>
      <c r="E2316" s="17" t="s">
        <v>837</v>
      </c>
      <c r="F2316" t="e">
        <f t="array" ref="F2316">PROFEXHyperlinkAddress(B2316:B2316)</f>
        <v>#NAME?</v>
      </c>
    </row>
    <row r="2317" spans="1:6">
      <c r="A2317" s="11"/>
      <c r="B2317" s="12"/>
      <c r="C2317" s="11"/>
      <c r="D2317" s="13"/>
      <c r="E2317" s="11"/>
      <c r="F2317" t="e">
        <f t="array" ref="F2317">PROFEXHyperlinkAddress(B2317:B2317)</f>
        <v>#NAME?</v>
      </c>
    </row>
    <row r="2318" ht="49.5" spans="1:6">
      <c r="A2318" s="11"/>
      <c r="B2318" s="14" t="s">
        <v>188</v>
      </c>
      <c r="C2318" s="11"/>
      <c r="D2318" s="13"/>
      <c r="E2318" s="11"/>
      <c r="F2318" t="e">
        <f t="array" ref="F2318">PROFEXHyperlinkAddress(B2318:B2318)</f>
        <v>#NAME?</v>
      </c>
    </row>
    <row r="2319" spans="1:6">
      <c r="A2319" s="11"/>
      <c r="B2319" s="12"/>
      <c r="C2319" s="11"/>
      <c r="D2319" s="13"/>
      <c r="E2319" s="11"/>
      <c r="F2319" t="e">
        <f t="array" ref="F2319">PROFEXHyperlinkAddress(B2319:B2319)</f>
        <v>#NAME?</v>
      </c>
    </row>
    <row r="2320" ht="25.5" spans="1:6">
      <c r="A2320" s="15"/>
      <c r="B2320" s="14" t="s">
        <v>838</v>
      </c>
      <c r="C2320" s="15"/>
      <c r="D2320" s="16"/>
      <c r="E2320" s="15"/>
      <c r="F2320" t="e">
        <f t="array" ref="F2320">PROFEXHyperlinkAddress(B2320:B2320)</f>
        <v>#NAME?</v>
      </c>
    </row>
    <row r="2321" ht="120" spans="1:6">
      <c r="A2321" s="17">
        <v>4717097</v>
      </c>
      <c r="B2321" s="18" t="s">
        <v>821</v>
      </c>
      <c r="C2321" s="17" t="s">
        <v>1</v>
      </c>
      <c r="D2321" s="19" t="s">
        <v>7</v>
      </c>
      <c r="E2321" s="17" t="s">
        <v>839</v>
      </c>
      <c r="F2321" t="e">
        <f t="array" ref="F2321">PROFEXHyperlinkAddress(B2321:B2321)</f>
        <v>#NAME?</v>
      </c>
    </row>
    <row r="2322" spans="1:6">
      <c r="A2322" s="11"/>
      <c r="B2322" s="12"/>
      <c r="C2322" s="11"/>
      <c r="D2322" s="13"/>
      <c r="E2322" s="11"/>
      <c r="F2322" t="e">
        <f t="array" ref="F2322">PROFEXHyperlinkAddress(B2322:B2322)</f>
        <v>#NAME?</v>
      </c>
    </row>
    <row r="2323" ht="57.75" spans="1:6">
      <c r="A2323" s="11"/>
      <c r="B2323" s="14" t="s">
        <v>4</v>
      </c>
      <c r="C2323" s="11"/>
      <c r="D2323" s="13"/>
      <c r="E2323" s="11"/>
      <c r="F2323" t="e">
        <f t="array" ref="F2323">PROFEXHyperlinkAddress(B2323:B2323)</f>
        <v>#NAME?</v>
      </c>
    </row>
    <row r="2324" spans="1:6">
      <c r="A2324" s="11"/>
      <c r="B2324" s="12"/>
      <c r="C2324" s="11"/>
      <c r="D2324" s="13"/>
      <c r="E2324" s="11"/>
      <c r="F2324" t="e">
        <f t="array" ref="F2324">PROFEXHyperlinkAddress(B2324:B2324)</f>
        <v>#NAME?</v>
      </c>
    </row>
    <row r="2325" ht="25.5" spans="1:6">
      <c r="A2325" s="15"/>
      <c r="B2325" s="14" t="s">
        <v>5</v>
      </c>
      <c r="C2325" s="15"/>
      <c r="D2325" s="16"/>
      <c r="E2325" s="15"/>
      <c r="F2325" t="e">
        <f t="array" ref="F2325">PROFEXHyperlinkAddress(B2325:B2325)</f>
        <v>#NAME?</v>
      </c>
    </row>
    <row r="2326" ht="180" spans="1:6">
      <c r="A2326" s="17">
        <v>4716097</v>
      </c>
      <c r="B2326" s="18" t="s">
        <v>840</v>
      </c>
      <c r="C2326" s="17" t="s">
        <v>1</v>
      </c>
      <c r="D2326" s="19" t="s">
        <v>7</v>
      </c>
      <c r="E2326" s="17" t="s">
        <v>841</v>
      </c>
      <c r="F2326" t="e">
        <f t="array" ref="F2326">PROFEXHyperlinkAddress(B2326:B2326)</f>
        <v>#NAME?</v>
      </c>
    </row>
    <row r="2327" spans="1:6">
      <c r="A2327" s="11"/>
      <c r="B2327" s="12"/>
      <c r="C2327" s="11"/>
      <c r="D2327" s="13"/>
      <c r="E2327" s="11"/>
      <c r="F2327" t="e">
        <f t="array" ref="F2327">PROFEXHyperlinkAddress(B2327:B2327)</f>
        <v>#NAME?</v>
      </c>
    </row>
    <row r="2328" ht="57.75" spans="1:6">
      <c r="A2328" s="11"/>
      <c r="B2328" s="14" t="s">
        <v>4</v>
      </c>
      <c r="C2328" s="11"/>
      <c r="D2328" s="13"/>
      <c r="E2328" s="11"/>
      <c r="F2328" t="e">
        <f t="array" ref="F2328">PROFEXHyperlinkAddress(B2328:B2328)</f>
        <v>#NAME?</v>
      </c>
    </row>
    <row r="2329" spans="1:6">
      <c r="A2329" s="11"/>
      <c r="B2329" s="12"/>
      <c r="C2329" s="11"/>
      <c r="D2329" s="13"/>
      <c r="E2329" s="11"/>
      <c r="F2329" t="e">
        <f t="array" ref="F2329">PROFEXHyperlinkAddress(B2329:B2329)</f>
        <v>#NAME?</v>
      </c>
    </row>
    <row r="2330" ht="25.5" spans="1:6">
      <c r="A2330" s="15"/>
      <c r="B2330" s="14" t="s">
        <v>5</v>
      </c>
      <c r="C2330" s="15"/>
      <c r="D2330" s="16"/>
      <c r="E2330" s="15"/>
      <c r="F2330" t="e">
        <f t="array" ref="F2330">PROFEXHyperlinkAddress(B2330:B2330)</f>
        <v>#NAME?</v>
      </c>
    </row>
    <row r="2331" ht="195" spans="1:6">
      <c r="A2331" s="17">
        <v>4715097</v>
      </c>
      <c r="B2331" s="18" t="s">
        <v>842</v>
      </c>
      <c r="C2331" s="17" t="s">
        <v>1</v>
      </c>
      <c r="D2331" s="19" t="s">
        <v>7</v>
      </c>
      <c r="E2331" s="17" t="s">
        <v>789</v>
      </c>
      <c r="F2331" t="e">
        <f t="array" ref="F2331">PROFEXHyperlinkAddress(B2331:B2331)</f>
        <v>#NAME?</v>
      </c>
    </row>
    <row r="2332" spans="1:6">
      <c r="A2332" s="11"/>
      <c r="B2332" s="12"/>
      <c r="C2332" s="11"/>
      <c r="D2332" s="13"/>
      <c r="E2332" s="11"/>
      <c r="F2332" t="e">
        <f t="array" ref="F2332">PROFEXHyperlinkAddress(B2332:B2332)</f>
        <v>#NAME?</v>
      </c>
    </row>
    <row r="2333" ht="49.5" spans="1:6">
      <c r="A2333" s="11"/>
      <c r="B2333" s="14" t="s">
        <v>188</v>
      </c>
      <c r="C2333" s="11"/>
      <c r="D2333" s="13"/>
      <c r="E2333" s="11"/>
      <c r="F2333" t="e">
        <f t="array" ref="F2333">PROFEXHyperlinkAddress(B2333:B2333)</f>
        <v>#NAME?</v>
      </c>
    </row>
    <row r="2334" spans="1:6">
      <c r="A2334" s="11"/>
      <c r="B2334" s="12"/>
      <c r="C2334" s="11"/>
      <c r="D2334" s="13"/>
      <c r="E2334" s="11"/>
      <c r="F2334" t="e">
        <f t="array" ref="F2334">PROFEXHyperlinkAddress(B2334:B2334)</f>
        <v>#NAME?</v>
      </c>
    </row>
    <row r="2335" ht="25.5" spans="1:6">
      <c r="A2335" s="15"/>
      <c r="B2335" s="14" t="s">
        <v>5</v>
      </c>
      <c r="C2335" s="15"/>
      <c r="D2335" s="16"/>
      <c r="E2335" s="15"/>
      <c r="F2335" t="e">
        <f t="array" ref="F2335">PROFEXHyperlinkAddress(B2335:B2335)</f>
        <v>#NAME?</v>
      </c>
    </row>
    <row r="2336" ht="90" spans="1:6">
      <c r="A2336" s="17">
        <v>4713097</v>
      </c>
      <c r="B2336" s="18" t="s">
        <v>843</v>
      </c>
      <c r="C2336" s="17" t="s">
        <v>1</v>
      </c>
      <c r="D2336" s="19" t="s">
        <v>7</v>
      </c>
      <c r="E2336" s="17" t="s">
        <v>578</v>
      </c>
      <c r="F2336" t="e">
        <f t="array" ref="F2336">PROFEXHyperlinkAddress(B2336:B2336)</f>
        <v>#NAME?</v>
      </c>
    </row>
    <row r="2337" spans="1:6">
      <c r="A2337" s="11"/>
      <c r="B2337" s="12"/>
      <c r="C2337" s="11"/>
      <c r="D2337" s="13"/>
      <c r="E2337" s="11"/>
      <c r="F2337" t="e">
        <f t="array" ref="F2337">PROFEXHyperlinkAddress(B2337:B2337)</f>
        <v>#NAME?</v>
      </c>
    </row>
    <row r="2338" ht="49.5" spans="1:6">
      <c r="A2338" s="11"/>
      <c r="B2338" s="14" t="s">
        <v>188</v>
      </c>
      <c r="C2338" s="11"/>
      <c r="D2338" s="13"/>
      <c r="E2338" s="11"/>
      <c r="F2338" t="e">
        <f t="array" ref="F2338">PROFEXHyperlinkAddress(B2338:B2338)</f>
        <v>#NAME?</v>
      </c>
    </row>
    <row r="2339" spans="1:6">
      <c r="A2339" s="11"/>
      <c r="B2339" s="12"/>
      <c r="C2339" s="11"/>
      <c r="D2339" s="13"/>
      <c r="E2339" s="11"/>
      <c r="F2339" t="e">
        <f t="array" ref="F2339">PROFEXHyperlinkAddress(B2339:B2339)</f>
        <v>#NAME?</v>
      </c>
    </row>
    <row r="2340" ht="25.5" spans="1:6">
      <c r="A2340" s="15"/>
      <c r="B2340" s="14" t="s">
        <v>5</v>
      </c>
      <c r="C2340" s="15"/>
      <c r="D2340" s="16"/>
      <c r="E2340" s="15"/>
      <c r="F2340" t="e">
        <f t="array" ref="F2340">PROFEXHyperlinkAddress(B2340:B2340)</f>
        <v>#NAME?</v>
      </c>
    </row>
    <row r="2341" ht="150" spans="1:6">
      <c r="A2341" s="17">
        <v>4705097</v>
      </c>
      <c r="B2341" s="18" t="s">
        <v>844</v>
      </c>
      <c r="C2341" s="17" t="s">
        <v>1</v>
      </c>
      <c r="D2341" s="19" t="s">
        <v>2</v>
      </c>
      <c r="E2341" s="17" t="s">
        <v>845</v>
      </c>
      <c r="F2341" t="e">
        <f t="array" ref="F2341">PROFEXHyperlinkAddress(B2341:B2341)</f>
        <v>#NAME?</v>
      </c>
    </row>
    <row r="2342" spans="1:6">
      <c r="A2342" s="11"/>
      <c r="B2342" s="12"/>
      <c r="C2342" s="11"/>
      <c r="D2342" s="13"/>
      <c r="E2342" s="11"/>
      <c r="F2342" t="e">
        <f t="array" ref="F2342">PROFEXHyperlinkAddress(B2342:B2342)</f>
        <v>#NAME?</v>
      </c>
    </row>
    <row r="2343" ht="57.75" spans="1:6">
      <c r="A2343" s="11"/>
      <c r="B2343" s="14" t="s">
        <v>4</v>
      </c>
      <c r="C2343" s="11"/>
      <c r="D2343" s="13"/>
      <c r="E2343" s="11"/>
      <c r="F2343" t="e">
        <f t="array" ref="F2343">PROFEXHyperlinkAddress(B2343:B2343)</f>
        <v>#NAME?</v>
      </c>
    </row>
    <row r="2344" spans="1:6">
      <c r="A2344" s="11"/>
      <c r="B2344" s="12"/>
      <c r="C2344" s="11"/>
      <c r="D2344" s="13"/>
      <c r="E2344" s="11"/>
      <c r="F2344" t="e">
        <f t="array" ref="F2344">PROFEXHyperlinkAddress(B2344:B2344)</f>
        <v>#NAME?</v>
      </c>
    </row>
    <row r="2345" ht="25.5" spans="1:6">
      <c r="A2345" s="15"/>
      <c r="B2345" s="14" t="s">
        <v>5</v>
      </c>
      <c r="C2345" s="15"/>
      <c r="D2345" s="16"/>
      <c r="E2345" s="15"/>
      <c r="F2345" t="e">
        <f t="array" ref="F2345">PROFEXHyperlinkAddress(B2345:B2345)</f>
        <v>#NAME?</v>
      </c>
    </row>
    <row r="2346" ht="150" spans="1:6">
      <c r="A2346" s="17">
        <v>4704097</v>
      </c>
      <c r="B2346" s="18" t="s">
        <v>846</v>
      </c>
      <c r="C2346" s="17" t="s">
        <v>1</v>
      </c>
      <c r="D2346" s="19" t="s">
        <v>7</v>
      </c>
      <c r="E2346" s="17" t="s">
        <v>845</v>
      </c>
      <c r="F2346" t="e">
        <f t="array" ref="F2346">PROFEXHyperlinkAddress(B2346:B2346)</f>
        <v>#NAME?</v>
      </c>
    </row>
    <row r="2347" spans="1:6">
      <c r="A2347" s="11"/>
      <c r="B2347" s="12"/>
      <c r="C2347" s="11"/>
      <c r="D2347" s="13"/>
      <c r="E2347" s="11"/>
      <c r="F2347" t="e">
        <f t="array" ref="F2347">PROFEXHyperlinkAddress(B2347:B2347)</f>
        <v>#NAME?</v>
      </c>
    </row>
    <row r="2348" ht="57.75" spans="1:6">
      <c r="A2348" s="11"/>
      <c r="B2348" s="14" t="s">
        <v>4</v>
      </c>
      <c r="C2348" s="11"/>
      <c r="D2348" s="13"/>
      <c r="E2348" s="11"/>
      <c r="F2348" t="e">
        <f t="array" ref="F2348">PROFEXHyperlinkAddress(B2348:B2348)</f>
        <v>#NAME?</v>
      </c>
    </row>
    <row r="2349" spans="1:6">
      <c r="A2349" s="11"/>
      <c r="B2349" s="12"/>
      <c r="C2349" s="11"/>
      <c r="D2349" s="13"/>
      <c r="E2349" s="11"/>
      <c r="F2349" t="e">
        <f t="array" ref="F2349">PROFEXHyperlinkAddress(B2349:B2349)</f>
        <v>#NAME?</v>
      </c>
    </row>
    <row r="2350" ht="25.5" spans="1:6">
      <c r="A2350" s="15"/>
      <c r="B2350" s="14" t="s">
        <v>5</v>
      </c>
      <c r="C2350" s="15"/>
      <c r="D2350" s="16"/>
      <c r="E2350" s="15"/>
      <c r="F2350" t="e">
        <f t="array" ref="F2350">PROFEXHyperlinkAddress(B2350:B2350)</f>
        <v>#NAME?</v>
      </c>
    </row>
    <row r="2351" ht="150" spans="1:6">
      <c r="A2351" s="17">
        <v>4697097</v>
      </c>
      <c r="B2351" s="18" t="s">
        <v>847</v>
      </c>
      <c r="C2351" s="17" t="s">
        <v>1</v>
      </c>
      <c r="D2351" s="19" t="s">
        <v>7</v>
      </c>
      <c r="E2351" s="17" t="s">
        <v>848</v>
      </c>
      <c r="F2351" t="e">
        <f t="array" ref="F2351">PROFEXHyperlinkAddress(B2351:B2351)</f>
        <v>#NAME?</v>
      </c>
    </row>
    <row r="2352" spans="1:6">
      <c r="A2352" s="11"/>
      <c r="B2352" s="12"/>
      <c r="C2352" s="11"/>
      <c r="D2352" s="13"/>
      <c r="E2352" s="11"/>
      <c r="F2352" t="e">
        <f t="array" ref="F2352">PROFEXHyperlinkAddress(B2352:B2352)</f>
        <v>#NAME?</v>
      </c>
    </row>
    <row r="2353" ht="57.75" spans="1:6">
      <c r="A2353" s="11"/>
      <c r="B2353" s="14" t="s">
        <v>54</v>
      </c>
      <c r="C2353" s="11"/>
      <c r="D2353" s="13"/>
      <c r="E2353" s="11"/>
      <c r="F2353" t="e">
        <f t="array" ref="F2353">PROFEXHyperlinkAddress(B2353:B2353)</f>
        <v>#NAME?</v>
      </c>
    </row>
    <row r="2354" spans="1:6">
      <c r="A2354" s="11"/>
      <c r="B2354" s="12"/>
      <c r="C2354" s="11"/>
      <c r="D2354" s="13"/>
      <c r="E2354" s="11"/>
      <c r="F2354" t="e">
        <f t="array" ref="F2354">PROFEXHyperlinkAddress(B2354:B2354)</f>
        <v>#NAME?</v>
      </c>
    </row>
    <row r="2355" ht="25.5" spans="1:6">
      <c r="A2355" s="15"/>
      <c r="B2355" s="14" t="s">
        <v>5</v>
      </c>
      <c r="C2355" s="15"/>
      <c r="D2355" s="16"/>
      <c r="E2355" s="15"/>
      <c r="F2355" t="e">
        <f t="array" ref="F2355">PROFEXHyperlinkAddress(B2355:B2355)</f>
        <v>#NAME?</v>
      </c>
    </row>
    <row r="2356" ht="150" spans="1:6">
      <c r="A2356" s="17">
        <v>4693097</v>
      </c>
      <c r="B2356" s="18" t="s">
        <v>849</v>
      </c>
      <c r="C2356" s="17" t="s">
        <v>1</v>
      </c>
      <c r="D2356" s="19" t="s">
        <v>7</v>
      </c>
      <c r="E2356" s="17" t="s">
        <v>841</v>
      </c>
      <c r="F2356" t="e">
        <f t="array" ref="F2356">PROFEXHyperlinkAddress(B2356:B2356)</f>
        <v>#NAME?</v>
      </c>
    </row>
    <row r="2357" spans="1:6">
      <c r="A2357" s="11"/>
      <c r="B2357" s="12"/>
      <c r="C2357" s="11"/>
      <c r="D2357" s="13"/>
      <c r="E2357" s="11"/>
      <c r="F2357" t="e">
        <f t="array" ref="F2357">PROFEXHyperlinkAddress(B2357:B2357)</f>
        <v>#NAME?</v>
      </c>
    </row>
    <row r="2358" ht="57.75" spans="1:6">
      <c r="A2358" s="11"/>
      <c r="B2358" s="14" t="s">
        <v>4</v>
      </c>
      <c r="C2358" s="11"/>
      <c r="D2358" s="13"/>
      <c r="E2358" s="11"/>
      <c r="F2358" t="e">
        <f t="array" ref="F2358">PROFEXHyperlinkAddress(B2358:B2358)</f>
        <v>#NAME?</v>
      </c>
    </row>
    <row r="2359" spans="1:6">
      <c r="A2359" s="11"/>
      <c r="B2359" s="12"/>
      <c r="C2359" s="11"/>
      <c r="D2359" s="13"/>
      <c r="E2359" s="11"/>
      <c r="F2359" t="e">
        <f t="array" ref="F2359">PROFEXHyperlinkAddress(B2359:B2359)</f>
        <v>#NAME?</v>
      </c>
    </row>
    <row r="2360" ht="25.5" spans="1:6">
      <c r="A2360" s="15"/>
      <c r="B2360" s="14" t="s">
        <v>5</v>
      </c>
      <c r="C2360" s="15"/>
      <c r="D2360" s="16"/>
      <c r="E2360" s="15"/>
      <c r="F2360" t="e">
        <f t="array" ref="F2360">PROFEXHyperlinkAddress(B2360:B2360)</f>
        <v>#NAME?</v>
      </c>
    </row>
    <row r="2361" ht="120" spans="1:6">
      <c r="A2361" s="17">
        <v>4692097</v>
      </c>
      <c r="B2361" s="18" t="s">
        <v>821</v>
      </c>
      <c r="C2361" s="17" t="s">
        <v>1</v>
      </c>
      <c r="D2361" s="19" t="s">
        <v>7</v>
      </c>
      <c r="E2361" s="17" t="s">
        <v>839</v>
      </c>
      <c r="F2361" t="e">
        <f t="array" ref="F2361">PROFEXHyperlinkAddress(B2361:B2361)</f>
        <v>#NAME?</v>
      </c>
    </row>
    <row r="2362" spans="1:6">
      <c r="A2362" s="11"/>
      <c r="B2362" s="12"/>
      <c r="C2362" s="11"/>
      <c r="D2362" s="13"/>
      <c r="E2362" s="11"/>
      <c r="F2362" t="e">
        <f t="array" ref="F2362">PROFEXHyperlinkAddress(B2362:B2362)</f>
        <v>#NAME?</v>
      </c>
    </row>
    <row r="2363" ht="57.75" spans="1:6">
      <c r="A2363" s="11"/>
      <c r="B2363" s="14" t="s">
        <v>4</v>
      </c>
      <c r="C2363" s="11"/>
      <c r="D2363" s="13"/>
      <c r="E2363" s="11"/>
      <c r="F2363" t="e">
        <f t="array" ref="F2363">PROFEXHyperlinkAddress(B2363:B2363)</f>
        <v>#NAME?</v>
      </c>
    </row>
    <row r="2364" spans="1:6">
      <c r="A2364" s="11"/>
      <c r="B2364" s="12"/>
      <c r="C2364" s="11"/>
      <c r="D2364" s="13"/>
      <c r="E2364" s="11"/>
      <c r="F2364" t="e">
        <f t="array" ref="F2364">PROFEXHyperlinkAddress(B2364:B2364)</f>
        <v>#NAME?</v>
      </c>
    </row>
    <row r="2365" ht="25.5" spans="1:6">
      <c r="A2365" s="15"/>
      <c r="B2365" s="14" t="s">
        <v>5</v>
      </c>
      <c r="C2365" s="15"/>
      <c r="D2365" s="16"/>
      <c r="E2365" s="15"/>
      <c r="F2365" t="e">
        <f t="array" ref="F2365">PROFEXHyperlinkAddress(B2365:B2365)</f>
        <v>#NAME?</v>
      </c>
    </row>
    <row r="2366" ht="150" spans="1:6">
      <c r="A2366" s="17">
        <v>4690097</v>
      </c>
      <c r="B2366" s="18" t="s">
        <v>847</v>
      </c>
      <c r="C2366" s="17" t="s">
        <v>1</v>
      </c>
      <c r="D2366" s="19" t="s">
        <v>7</v>
      </c>
      <c r="E2366" s="17" t="s">
        <v>848</v>
      </c>
      <c r="F2366" t="e">
        <f t="array" ref="F2366">PROFEXHyperlinkAddress(B2366:B2366)</f>
        <v>#NAME?</v>
      </c>
    </row>
    <row r="2367" spans="1:6">
      <c r="A2367" s="11"/>
      <c r="B2367" s="12"/>
      <c r="C2367" s="11"/>
      <c r="D2367" s="13"/>
      <c r="E2367" s="11"/>
      <c r="F2367" t="e">
        <f t="array" ref="F2367">PROFEXHyperlinkAddress(B2367:B2367)</f>
        <v>#NAME?</v>
      </c>
    </row>
    <row r="2368" ht="57.75" spans="1:6">
      <c r="A2368" s="11"/>
      <c r="B2368" s="14" t="s">
        <v>54</v>
      </c>
      <c r="C2368" s="11"/>
      <c r="D2368" s="13"/>
      <c r="E2368" s="11"/>
      <c r="F2368" t="e">
        <f t="array" ref="F2368">PROFEXHyperlinkAddress(B2368:B2368)</f>
        <v>#NAME?</v>
      </c>
    </row>
    <row r="2369" spans="1:6">
      <c r="A2369" s="11"/>
      <c r="B2369" s="12"/>
      <c r="C2369" s="11"/>
      <c r="D2369" s="13"/>
      <c r="E2369" s="11"/>
      <c r="F2369" t="e">
        <f t="array" ref="F2369">PROFEXHyperlinkAddress(B2369:B2369)</f>
        <v>#NAME?</v>
      </c>
    </row>
    <row r="2370" ht="25.5" spans="1:6">
      <c r="A2370" s="15"/>
      <c r="B2370" s="14" t="s">
        <v>5</v>
      </c>
      <c r="C2370" s="15"/>
      <c r="D2370" s="16"/>
      <c r="E2370" s="15"/>
      <c r="F2370" t="e">
        <f t="array" ref="F2370">PROFEXHyperlinkAddress(B2370:B2370)</f>
        <v>#NAME?</v>
      </c>
    </row>
    <row r="2371" ht="150" spans="1:6">
      <c r="A2371" s="17">
        <v>4685097</v>
      </c>
      <c r="B2371" s="18" t="s">
        <v>850</v>
      </c>
      <c r="C2371" s="17" t="s">
        <v>1</v>
      </c>
      <c r="D2371" s="19" t="s">
        <v>7</v>
      </c>
      <c r="E2371" s="17" t="s">
        <v>53</v>
      </c>
      <c r="F2371" t="e">
        <f t="array" ref="F2371">PROFEXHyperlinkAddress(B2371:B2371)</f>
        <v>#NAME?</v>
      </c>
    </row>
    <row r="2372" spans="1:6">
      <c r="A2372" s="11"/>
      <c r="B2372" s="12"/>
      <c r="C2372" s="11"/>
      <c r="D2372" s="13"/>
      <c r="E2372" s="11"/>
      <c r="F2372" t="e">
        <f t="array" ref="F2372">PROFEXHyperlinkAddress(B2372:B2372)</f>
        <v>#NAME?</v>
      </c>
    </row>
    <row r="2373" ht="57.75" spans="1:6">
      <c r="A2373" s="11"/>
      <c r="B2373" s="14" t="s">
        <v>16</v>
      </c>
      <c r="C2373" s="11"/>
      <c r="D2373" s="13"/>
      <c r="E2373" s="11"/>
      <c r="F2373" t="e">
        <f t="array" ref="F2373">PROFEXHyperlinkAddress(B2373:B2373)</f>
        <v>#NAME?</v>
      </c>
    </row>
    <row r="2374" spans="1:6">
      <c r="A2374" s="11"/>
      <c r="B2374" s="12"/>
      <c r="C2374" s="11"/>
      <c r="D2374" s="13"/>
      <c r="E2374" s="11"/>
      <c r="F2374" t="e">
        <f t="array" ref="F2374">PROFEXHyperlinkAddress(B2374:B2374)</f>
        <v>#NAME?</v>
      </c>
    </row>
    <row r="2375" ht="25.5" spans="1:6">
      <c r="A2375" s="15"/>
      <c r="B2375" s="14" t="s">
        <v>5</v>
      </c>
      <c r="C2375" s="15"/>
      <c r="D2375" s="16"/>
      <c r="E2375" s="15"/>
      <c r="F2375" t="e">
        <f t="array" ref="F2375">PROFEXHyperlinkAddress(B2375:B2375)</f>
        <v>#NAME?</v>
      </c>
    </row>
    <row r="2376" ht="120" spans="1:6">
      <c r="A2376" s="17">
        <v>4679097</v>
      </c>
      <c r="B2376" s="18" t="s">
        <v>851</v>
      </c>
      <c r="C2376" s="17" t="s">
        <v>1</v>
      </c>
      <c r="D2376" s="19" t="s">
        <v>7</v>
      </c>
      <c r="E2376" s="17" t="s">
        <v>848</v>
      </c>
      <c r="F2376" t="e">
        <f t="array" ref="F2376">PROFEXHyperlinkAddress(B2376:B2376)</f>
        <v>#NAME?</v>
      </c>
    </row>
    <row r="2377" spans="1:6">
      <c r="A2377" s="11"/>
      <c r="B2377" s="12"/>
      <c r="C2377" s="11"/>
      <c r="D2377" s="13"/>
      <c r="E2377" s="11"/>
      <c r="F2377" t="e">
        <f t="array" ref="F2377">PROFEXHyperlinkAddress(B2377:B2377)</f>
        <v>#NAME?</v>
      </c>
    </row>
    <row r="2378" ht="57.75" spans="1:6">
      <c r="A2378" s="11"/>
      <c r="B2378" s="14" t="s">
        <v>54</v>
      </c>
      <c r="C2378" s="11"/>
      <c r="D2378" s="13"/>
      <c r="E2378" s="11"/>
      <c r="F2378" t="e">
        <f t="array" ref="F2378">PROFEXHyperlinkAddress(B2378:B2378)</f>
        <v>#NAME?</v>
      </c>
    </row>
    <row r="2379" spans="1:6">
      <c r="A2379" s="11"/>
      <c r="B2379" s="12"/>
      <c r="C2379" s="11"/>
      <c r="D2379" s="13"/>
      <c r="E2379" s="11"/>
      <c r="F2379" t="e">
        <f t="array" ref="F2379">PROFEXHyperlinkAddress(B2379:B2379)</f>
        <v>#NAME?</v>
      </c>
    </row>
    <row r="2380" ht="25.5" spans="1:6">
      <c r="A2380" s="15"/>
      <c r="B2380" s="14" t="s">
        <v>5</v>
      </c>
      <c r="C2380" s="15"/>
      <c r="D2380" s="16"/>
      <c r="E2380" s="15"/>
      <c r="F2380" t="e">
        <f t="array" ref="F2380">PROFEXHyperlinkAddress(B2380:B2380)</f>
        <v>#NAME?</v>
      </c>
    </row>
    <row r="2381" ht="150" spans="1:6">
      <c r="A2381" s="17">
        <v>4677097</v>
      </c>
      <c r="B2381" s="18" t="s">
        <v>846</v>
      </c>
      <c r="C2381" s="17" t="s">
        <v>1</v>
      </c>
      <c r="D2381" s="19" t="s">
        <v>7</v>
      </c>
      <c r="E2381" s="17" t="s">
        <v>845</v>
      </c>
      <c r="F2381" t="e">
        <f t="array" ref="F2381">PROFEXHyperlinkAddress(B2381:B2381)</f>
        <v>#NAME?</v>
      </c>
    </row>
    <row r="2382" spans="1:6">
      <c r="A2382" s="11"/>
      <c r="B2382" s="12"/>
      <c r="C2382" s="11"/>
      <c r="D2382" s="13"/>
      <c r="E2382" s="11"/>
      <c r="F2382" t="e">
        <f t="array" ref="F2382">PROFEXHyperlinkAddress(B2382:B2382)</f>
        <v>#NAME?</v>
      </c>
    </row>
    <row r="2383" ht="57.75" spans="1:6">
      <c r="A2383" s="11"/>
      <c r="B2383" s="14" t="s">
        <v>4</v>
      </c>
      <c r="C2383" s="11"/>
      <c r="D2383" s="13"/>
      <c r="E2383" s="11"/>
      <c r="F2383" t="e">
        <f t="array" ref="F2383">PROFEXHyperlinkAddress(B2383:B2383)</f>
        <v>#NAME?</v>
      </c>
    </row>
    <row r="2384" spans="1:6">
      <c r="A2384" s="11"/>
      <c r="B2384" s="12"/>
      <c r="C2384" s="11"/>
      <c r="D2384" s="13"/>
      <c r="E2384" s="11"/>
      <c r="F2384" t="e">
        <f t="array" ref="F2384">PROFEXHyperlinkAddress(B2384:B2384)</f>
        <v>#NAME?</v>
      </c>
    </row>
    <row r="2385" ht="25.5" spans="1:6">
      <c r="A2385" s="15"/>
      <c r="B2385" s="14" t="s">
        <v>5</v>
      </c>
      <c r="C2385" s="15"/>
      <c r="D2385" s="16"/>
      <c r="E2385" s="15"/>
      <c r="F2385" t="e">
        <f t="array" ref="F2385">PROFEXHyperlinkAddress(B2385:B2385)</f>
        <v>#NAME?</v>
      </c>
    </row>
    <row r="2386" ht="105" spans="1:6">
      <c r="A2386" s="17">
        <v>4676097</v>
      </c>
      <c r="B2386" s="18" t="s">
        <v>852</v>
      </c>
      <c r="C2386" s="17" t="s">
        <v>1</v>
      </c>
      <c r="D2386" s="19" t="s">
        <v>2</v>
      </c>
      <c r="E2386" s="17" t="s">
        <v>853</v>
      </c>
      <c r="F2386" t="e">
        <f t="array" ref="F2386">PROFEXHyperlinkAddress(B2386:B2386)</f>
        <v>#NAME?</v>
      </c>
    </row>
    <row r="2387" spans="1:6">
      <c r="A2387" s="11"/>
      <c r="B2387" s="12"/>
      <c r="C2387" s="11"/>
      <c r="D2387" s="13"/>
      <c r="E2387" s="11"/>
      <c r="F2387" t="e">
        <f t="array" ref="F2387">PROFEXHyperlinkAddress(B2387:B2387)</f>
        <v>#NAME?</v>
      </c>
    </row>
    <row r="2388" ht="49.5" spans="1:6">
      <c r="A2388" s="11"/>
      <c r="B2388" s="14" t="s">
        <v>188</v>
      </c>
      <c r="C2388" s="11"/>
      <c r="D2388" s="13"/>
      <c r="E2388" s="11"/>
      <c r="F2388" t="e">
        <f t="array" ref="F2388">PROFEXHyperlinkAddress(B2388:B2388)</f>
        <v>#NAME?</v>
      </c>
    </row>
    <row r="2389" spans="1:6">
      <c r="A2389" s="11"/>
      <c r="B2389" s="12"/>
      <c r="C2389" s="11"/>
      <c r="D2389" s="13"/>
      <c r="E2389" s="11"/>
      <c r="F2389" t="e">
        <f t="array" ref="F2389">PROFEXHyperlinkAddress(B2389:B2389)</f>
        <v>#NAME?</v>
      </c>
    </row>
    <row r="2390" ht="25.5" spans="1:6">
      <c r="A2390" s="15"/>
      <c r="B2390" s="14" t="s">
        <v>5</v>
      </c>
      <c r="C2390" s="15"/>
      <c r="D2390" s="16"/>
      <c r="E2390" s="15"/>
      <c r="F2390" t="e">
        <f t="array" ref="F2390">PROFEXHyperlinkAddress(B2390:B2390)</f>
        <v>#NAME?</v>
      </c>
    </row>
    <row r="2391" ht="210" spans="1:6">
      <c r="A2391" s="17">
        <v>4675097</v>
      </c>
      <c r="B2391" s="18" t="s">
        <v>854</v>
      </c>
      <c r="C2391" s="17" t="s">
        <v>1</v>
      </c>
      <c r="D2391" s="19" t="s">
        <v>2</v>
      </c>
      <c r="E2391" s="17" t="s">
        <v>855</v>
      </c>
      <c r="F2391" t="e">
        <f t="array" ref="F2391">PROFEXHyperlinkAddress(B2391:B2391)</f>
        <v>#NAME?</v>
      </c>
    </row>
    <row r="2392" spans="1:6">
      <c r="A2392" s="11"/>
      <c r="B2392" s="12"/>
      <c r="C2392" s="11"/>
      <c r="D2392" s="13"/>
      <c r="E2392" s="11"/>
      <c r="F2392" t="e">
        <f t="array" ref="F2392">PROFEXHyperlinkAddress(B2392:B2392)</f>
        <v>#NAME?</v>
      </c>
    </row>
    <row r="2393" ht="49.5" spans="1:6">
      <c r="A2393" s="11"/>
      <c r="B2393" s="14" t="s">
        <v>188</v>
      </c>
      <c r="C2393" s="11"/>
      <c r="D2393" s="13"/>
      <c r="E2393" s="11"/>
      <c r="F2393" t="e">
        <f t="array" ref="F2393">PROFEXHyperlinkAddress(B2393:B2393)</f>
        <v>#NAME?</v>
      </c>
    </row>
    <row r="2394" spans="1:6">
      <c r="A2394" s="11"/>
      <c r="B2394" s="12"/>
      <c r="C2394" s="11"/>
      <c r="D2394" s="13"/>
      <c r="E2394" s="11"/>
      <c r="F2394" t="e">
        <f t="array" ref="F2394">PROFEXHyperlinkAddress(B2394:B2394)</f>
        <v>#NAME?</v>
      </c>
    </row>
    <row r="2395" ht="25.5" spans="1:6">
      <c r="A2395" s="15"/>
      <c r="B2395" s="14" t="s">
        <v>5</v>
      </c>
      <c r="C2395" s="15"/>
      <c r="D2395" s="16"/>
      <c r="E2395" s="15"/>
      <c r="F2395" t="e">
        <f t="array" ref="F2395">PROFEXHyperlinkAddress(B2395:B2395)</f>
        <v>#NAME?</v>
      </c>
    </row>
    <row r="2396" ht="135" spans="1:6">
      <c r="A2396" s="17">
        <v>4674097</v>
      </c>
      <c r="B2396" s="18" t="s">
        <v>856</v>
      </c>
      <c r="C2396" s="17" t="s">
        <v>1</v>
      </c>
      <c r="D2396" s="19" t="s">
        <v>2</v>
      </c>
      <c r="E2396" s="17" t="s">
        <v>631</v>
      </c>
      <c r="F2396" t="e">
        <f t="array" ref="F2396">PROFEXHyperlinkAddress(B2396:B2396)</f>
        <v>#NAME?</v>
      </c>
    </row>
    <row r="2397" spans="1:6">
      <c r="A2397" s="11"/>
      <c r="B2397" s="12"/>
      <c r="C2397" s="11"/>
      <c r="D2397" s="13"/>
      <c r="E2397" s="11"/>
      <c r="F2397" t="e">
        <f t="array" ref="F2397">PROFEXHyperlinkAddress(B2397:B2397)</f>
        <v>#NAME?</v>
      </c>
    </row>
    <row r="2398" ht="57.75" spans="1:6">
      <c r="A2398" s="11"/>
      <c r="B2398" s="14" t="s">
        <v>16</v>
      </c>
      <c r="C2398" s="11"/>
      <c r="D2398" s="13"/>
      <c r="E2398" s="11"/>
      <c r="F2398" t="e">
        <f t="array" ref="F2398">PROFEXHyperlinkAddress(B2398:B2398)</f>
        <v>#NAME?</v>
      </c>
    </row>
    <row r="2399" spans="1:6">
      <c r="A2399" s="11"/>
      <c r="B2399" s="12"/>
      <c r="C2399" s="11"/>
      <c r="D2399" s="13"/>
      <c r="E2399" s="11"/>
      <c r="F2399" t="e">
        <f t="array" ref="F2399">PROFEXHyperlinkAddress(B2399:B2399)</f>
        <v>#NAME?</v>
      </c>
    </row>
    <row r="2400" ht="25.5" spans="1:6">
      <c r="A2400" s="15"/>
      <c r="B2400" s="14" t="s">
        <v>5</v>
      </c>
      <c r="C2400" s="15"/>
      <c r="D2400" s="16"/>
      <c r="E2400" s="15"/>
      <c r="F2400" t="e">
        <f t="array" ref="F2400">PROFEXHyperlinkAddress(B2400:B2400)</f>
        <v>#NAME?</v>
      </c>
    </row>
    <row r="2401" ht="75" spans="1:6">
      <c r="A2401" s="17">
        <v>4670097</v>
      </c>
      <c r="B2401" s="18" t="s">
        <v>857</v>
      </c>
      <c r="C2401" s="17" t="s">
        <v>361</v>
      </c>
      <c r="D2401" s="19" t="s">
        <v>2</v>
      </c>
      <c r="E2401" s="17" t="s">
        <v>145</v>
      </c>
      <c r="F2401" t="e">
        <f t="array" ref="F2401">PROFEXHyperlinkAddress(B2401:B2401)</f>
        <v>#NAME?</v>
      </c>
    </row>
    <row r="2402" spans="1:6">
      <c r="A2402" s="11"/>
      <c r="B2402" s="12"/>
      <c r="C2402" s="11"/>
      <c r="D2402" s="13"/>
      <c r="E2402" s="11"/>
      <c r="F2402" t="e">
        <f t="array" ref="F2402">PROFEXHyperlinkAddress(B2402:B2402)</f>
        <v>#NAME?</v>
      </c>
    </row>
    <row r="2403" ht="49.5" spans="1:6">
      <c r="A2403" s="11"/>
      <c r="B2403" s="14" t="s">
        <v>188</v>
      </c>
      <c r="C2403" s="11"/>
      <c r="D2403" s="13"/>
      <c r="E2403" s="11"/>
      <c r="F2403" t="e">
        <f t="array" ref="F2403">PROFEXHyperlinkAddress(B2403:B2403)</f>
        <v>#NAME?</v>
      </c>
    </row>
    <row r="2404" spans="1:6">
      <c r="A2404" s="11"/>
      <c r="B2404" s="12"/>
      <c r="C2404" s="11"/>
      <c r="D2404" s="13"/>
      <c r="E2404" s="11"/>
      <c r="F2404" t="e">
        <f t="array" ref="F2404">PROFEXHyperlinkAddress(B2404:B2404)</f>
        <v>#NAME?</v>
      </c>
    </row>
    <row r="2405" ht="24.75" spans="1:6">
      <c r="A2405" s="11"/>
      <c r="B2405" s="14" t="s">
        <v>5</v>
      </c>
      <c r="C2405" s="11"/>
      <c r="D2405" s="13"/>
      <c r="E2405" s="11"/>
      <c r="F2405" t="e">
        <f t="array" ref="F2405">PROFEXHyperlinkAddress(B2405:B2405)</f>
        <v>#NAME?</v>
      </c>
    </row>
    <row r="2406" spans="6:6">
      <c r="F2406" t="e">
        <f t="array" ref="F2406">PROFEXHyperlinkAddress(B2406:B2406)</f>
        <v>#NAME?</v>
      </c>
    </row>
    <row r="2407" spans="6:6">
      <c r="F2407" t="e">
        <f t="array" ref="F2407">PROFEXHyperlinkAddress(B2407:B2407)</f>
        <v>#NAME?</v>
      </c>
    </row>
    <row r="2408" spans="6:6">
      <c r="F2408" t="e">
        <f t="array" ref="F2408">PROFEXHyperlinkAddress(B2408:B2408)</f>
        <v>#NAME?</v>
      </c>
    </row>
    <row r="2409" spans="6:6">
      <c r="F2409" t="e">
        <f t="array" ref="F2409">PROFEXHyperlinkAddress(B2409:B2409)</f>
        <v>#NAME?</v>
      </c>
    </row>
    <row r="2410" spans="6:6">
      <c r="F2410" t="e">
        <f t="array" ref="F2410">PROFEXHyperlinkAddress(B2410:B2410)</f>
        <v>#NAME?</v>
      </c>
    </row>
  </sheetData>
  <mergeCells count="1924">
    <mergeCell ref="A1:A5"/>
    <mergeCell ref="A6:A10"/>
    <mergeCell ref="A11:A15"/>
    <mergeCell ref="A16:A20"/>
    <mergeCell ref="A21:A25"/>
    <mergeCell ref="A26:A30"/>
    <mergeCell ref="A31:A35"/>
    <mergeCell ref="A36:A40"/>
    <mergeCell ref="A41:A45"/>
    <mergeCell ref="A46:A50"/>
    <mergeCell ref="A51:A55"/>
    <mergeCell ref="A56:A60"/>
    <mergeCell ref="A61:A65"/>
    <mergeCell ref="A66:A70"/>
    <mergeCell ref="A71:A75"/>
    <mergeCell ref="A76:A80"/>
    <mergeCell ref="A81:A85"/>
    <mergeCell ref="A86:A90"/>
    <mergeCell ref="A91:A95"/>
    <mergeCell ref="A96:A100"/>
    <mergeCell ref="A101:A105"/>
    <mergeCell ref="A106:A110"/>
    <mergeCell ref="A111:A115"/>
    <mergeCell ref="A116:A120"/>
    <mergeCell ref="A121:A125"/>
    <mergeCell ref="A126:A130"/>
    <mergeCell ref="A131:A135"/>
    <mergeCell ref="A136:A140"/>
    <mergeCell ref="A141:A145"/>
    <mergeCell ref="A146:A150"/>
    <mergeCell ref="A151:A155"/>
    <mergeCell ref="A156:A160"/>
    <mergeCell ref="A161:A165"/>
    <mergeCell ref="A166:A170"/>
    <mergeCell ref="A171:A175"/>
    <mergeCell ref="A176:A180"/>
    <mergeCell ref="A181:A185"/>
    <mergeCell ref="A186:A190"/>
    <mergeCell ref="A191:A195"/>
    <mergeCell ref="A196:A200"/>
    <mergeCell ref="A201:A205"/>
    <mergeCell ref="A206:A210"/>
    <mergeCell ref="A211:A215"/>
    <mergeCell ref="A216:A220"/>
    <mergeCell ref="A221:A225"/>
    <mergeCell ref="A226:A230"/>
    <mergeCell ref="A231:A235"/>
    <mergeCell ref="A236:A240"/>
    <mergeCell ref="A241:A245"/>
    <mergeCell ref="A246:A250"/>
    <mergeCell ref="A251:A255"/>
    <mergeCell ref="A256:A260"/>
    <mergeCell ref="A261:A265"/>
    <mergeCell ref="A266:A270"/>
    <mergeCell ref="A271:A275"/>
    <mergeCell ref="A276:A280"/>
    <mergeCell ref="A281:A285"/>
    <mergeCell ref="A286:A290"/>
    <mergeCell ref="A291:A295"/>
    <mergeCell ref="A296:A300"/>
    <mergeCell ref="A301:A305"/>
    <mergeCell ref="A306:A310"/>
    <mergeCell ref="A311:A315"/>
    <mergeCell ref="A316:A320"/>
    <mergeCell ref="A321:A325"/>
    <mergeCell ref="A326:A330"/>
    <mergeCell ref="A331:A335"/>
    <mergeCell ref="A336:A340"/>
    <mergeCell ref="A341:A345"/>
    <mergeCell ref="A346:A350"/>
    <mergeCell ref="A351:A355"/>
    <mergeCell ref="A356:A360"/>
    <mergeCell ref="A361:A365"/>
    <mergeCell ref="A366:A370"/>
    <mergeCell ref="A371:A375"/>
    <mergeCell ref="A376:A380"/>
    <mergeCell ref="A381:A385"/>
    <mergeCell ref="A386:A390"/>
    <mergeCell ref="A391:A395"/>
    <mergeCell ref="A396:A400"/>
    <mergeCell ref="A401:A405"/>
    <mergeCell ref="A406:A410"/>
    <mergeCell ref="A411:A415"/>
    <mergeCell ref="A416:A420"/>
    <mergeCell ref="A421:A425"/>
    <mergeCell ref="A426:A430"/>
    <mergeCell ref="A431:A435"/>
    <mergeCell ref="A436:A440"/>
    <mergeCell ref="A441:A445"/>
    <mergeCell ref="A446:A450"/>
    <mergeCell ref="A451:A455"/>
    <mergeCell ref="A456:A460"/>
    <mergeCell ref="A461:A465"/>
    <mergeCell ref="A466:A470"/>
    <mergeCell ref="A471:A475"/>
    <mergeCell ref="A476:A480"/>
    <mergeCell ref="A481:A485"/>
    <mergeCell ref="A486:A490"/>
    <mergeCell ref="A491:A495"/>
    <mergeCell ref="A496:A500"/>
    <mergeCell ref="A501:A505"/>
    <mergeCell ref="A506:A510"/>
    <mergeCell ref="A511:A515"/>
    <mergeCell ref="A516:A520"/>
    <mergeCell ref="A521:A525"/>
    <mergeCell ref="A526:A530"/>
    <mergeCell ref="A531:A535"/>
    <mergeCell ref="A536:A540"/>
    <mergeCell ref="A541:A545"/>
    <mergeCell ref="A546:A550"/>
    <mergeCell ref="A551:A555"/>
    <mergeCell ref="A556:A560"/>
    <mergeCell ref="A561:A565"/>
    <mergeCell ref="A566:A570"/>
    <mergeCell ref="A571:A575"/>
    <mergeCell ref="A576:A580"/>
    <mergeCell ref="A581:A585"/>
    <mergeCell ref="A586:A590"/>
    <mergeCell ref="A591:A595"/>
    <mergeCell ref="A596:A600"/>
    <mergeCell ref="A601:A605"/>
    <mergeCell ref="A606:A610"/>
    <mergeCell ref="A611:A615"/>
    <mergeCell ref="A616:A620"/>
    <mergeCell ref="A621:A625"/>
    <mergeCell ref="A626:A630"/>
    <mergeCell ref="A631:A635"/>
    <mergeCell ref="A636:A640"/>
    <mergeCell ref="A641:A645"/>
    <mergeCell ref="A646:A650"/>
    <mergeCell ref="A651:A655"/>
    <mergeCell ref="A656:A660"/>
    <mergeCell ref="A661:A665"/>
    <mergeCell ref="A666:A670"/>
    <mergeCell ref="A671:A675"/>
    <mergeCell ref="A676:A680"/>
    <mergeCell ref="A681:A685"/>
    <mergeCell ref="A686:A690"/>
    <mergeCell ref="A691:A695"/>
    <mergeCell ref="A696:A700"/>
    <mergeCell ref="A701:A705"/>
    <mergeCell ref="A706:A710"/>
    <mergeCell ref="A711:A715"/>
    <mergeCell ref="A716:A720"/>
    <mergeCell ref="A721:A725"/>
    <mergeCell ref="A726:A730"/>
    <mergeCell ref="A731:A735"/>
    <mergeCell ref="A736:A740"/>
    <mergeCell ref="A741:A745"/>
    <mergeCell ref="A746:A750"/>
    <mergeCell ref="A751:A755"/>
    <mergeCell ref="A756:A760"/>
    <mergeCell ref="A761:A765"/>
    <mergeCell ref="A766:A770"/>
    <mergeCell ref="A771:A775"/>
    <mergeCell ref="A776:A780"/>
    <mergeCell ref="A781:A785"/>
    <mergeCell ref="A786:A790"/>
    <mergeCell ref="A791:A795"/>
    <mergeCell ref="A796:A800"/>
    <mergeCell ref="A801:A805"/>
    <mergeCell ref="A806:A810"/>
    <mergeCell ref="A811:A815"/>
    <mergeCell ref="A816:A820"/>
    <mergeCell ref="A821:A825"/>
    <mergeCell ref="A826:A830"/>
    <mergeCell ref="A831:A835"/>
    <mergeCell ref="A836:A840"/>
    <mergeCell ref="A841:A845"/>
    <mergeCell ref="A846:A850"/>
    <mergeCell ref="A851:A855"/>
    <mergeCell ref="A856:A860"/>
    <mergeCell ref="A861:A865"/>
    <mergeCell ref="A866:A870"/>
    <mergeCell ref="A871:A875"/>
    <mergeCell ref="A876:A880"/>
    <mergeCell ref="A881:A885"/>
    <mergeCell ref="A886:A890"/>
    <mergeCell ref="A891:A895"/>
    <mergeCell ref="A896:A900"/>
    <mergeCell ref="A901:A905"/>
    <mergeCell ref="A906:A910"/>
    <mergeCell ref="A911:A915"/>
    <mergeCell ref="A916:A920"/>
    <mergeCell ref="A921:A925"/>
    <mergeCell ref="A926:A930"/>
    <mergeCell ref="A931:A935"/>
    <mergeCell ref="A936:A940"/>
    <mergeCell ref="A941:A945"/>
    <mergeCell ref="A946:A950"/>
    <mergeCell ref="A951:A955"/>
    <mergeCell ref="A956:A960"/>
    <mergeCell ref="A961:A965"/>
    <mergeCell ref="A966:A970"/>
    <mergeCell ref="A971:A975"/>
    <mergeCell ref="A976:A980"/>
    <mergeCell ref="A981:A985"/>
    <mergeCell ref="A986:A990"/>
    <mergeCell ref="A991:A995"/>
    <mergeCell ref="A996:A1000"/>
    <mergeCell ref="A1001:A1005"/>
    <mergeCell ref="A1006:A1010"/>
    <mergeCell ref="A1011:A1015"/>
    <mergeCell ref="A1016:A1020"/>
    <mergeCell ref="A1021:A1025"/>
    <mergeCell ref="A1026:A1030"/>
    <mergeCell ref="A1031:A1035"/>
    <mergeCell ref="A1036:A1040"/>
    <mergeCell ref="A1041:A1045"/>
    <mergeCell ref="A1046:A1050"/>
    <mergeCell ref="A1051:A1055"/>
    <mergeCell ref="A1056:A1060"/>
    <mergeCell ref="A1061:A1065"/>
    <mergeCell ref="A1066:A1070"/>
    <mergeCell ref="A1071:A1075"/>
    <mergeCell ref="A1076:A1080"/>
    <mergeCell ref="A1081:A1085"/>
    <mergeCell ref="A1086:A1090"/>
    <mergeCell ref="A1091:A1095"/>
    <mergeCell ref="A1096:A1100"/>
    <mergeCell ref="A1101:A1105"/>
    <mergeCell ref="A1106:A1110"/>
    <mergeCell ref="A1111:A1115"/>
    <mergeCell ref="A1116:A1120"/>
    <mergeCell ref="A1121:A1125"/>
    <mergeCell ref="A1126:A1130"/>
    <mergeCell ref="A1131:A1135"/>
    <mergeCell ref="A1136:A1140"/>
    <mergeCell ref="A1141:A1145"/>
    <mergeCell ref="A1146:A1150"/>
    <mergeCell ref="A1151:A1155"/>
    <mergeCell ref="A1156:A1160"/>
    <mergeCell ref="A1161:A1165"/>
    <mergeCell ref="A1166:A1170"/>
    <mergeCell ref="A1171:A1175"/>
    <mergeCell ref="A1176:A1180"/>
    <mergeCell ref="A1181:A1185"/>
    <mergeCell ref="A1186:A1190"/>
    <mergeCell ref="A1191:A1195"/>
    <mergeCell ref="A1196:A1200"/>
    <mergeCell ref="A1201:A1205"/>
    <mergeCell ref="A1206:A1210"/>
    <mergeCell ref="A1211:A1215"/>
    <mergeCell ref="A1216:A1220"/>
    <mergeCell ref="A1221:A1225"/>
    <mergeCell ref="A1226:A1230"/>
    <mergeCell ref="A1231:A1235"/>
    <mergeCell ref="A1236:A1240"/>
    <mergeCell ref="A1241:A1245"/>
    <mergeCell ref="A1246:A1250"/>
    <mergeCell ref="A1251:A1255"/>
    <mergeCell ref="A1256:A1260"/>
    <mergeCell ref="A1261:A1265"/>
    <mergeCell ref="A1266:A1270"/>
    <mergeCell ref="A1271:A1275"/>
    <mergeCell ref="A1276:A1280"/>
    <mergeCell ref="A1281:A1285"/>
    <mergeCell ref="A1286:A1290"/>
    <mergeCell ref="A1291:A1295"/>
    <mergeCell ref="A1296:A1300"/>
    <mergeCell ref="A1301:A1305"/>
    <mergeCell ref="A1306:A1310"/>
    <mergeCell ref="A1311:A1315"/>
    <mergeCell ref="A1316:A1320"/>
    <mergeCell ref="A1321:A1325"/>
    <mergeCell ref="A1326:A1330"/>
    <mergeCell ref="A1331:A1335"/>
    <mergeCell ref="A1336:A1340"/>
    <mergeCell ref="A1341:A1345"/>
    <mergeCell ref="A1346:A1350"/>
    <mergeCell ref="A1351:A1355"/>
    <mergeCell ref="A1356:A1360"/>
    <mergeCell ref="A1361:A1365"/>
    <mergeCell ref="A1366:A1370"/>
    <mergeCell ref="A1371:A1375"/>
    <mergeCell ref="A1376:A1380"/>
    <mergeCell ref="A1381:A1385"/>
    <mergeCell ref="A1386:A1390"/>
    <mergeCell ref="A1391:A1395"/>
    <mergeCell ref="A1396:A1400"/>
    <mergeCell ref="A1401:A1405"/>
    <mergeCell ref="A1406:A1410"/>
    <mergeCell ref="A1411:A1415"/>
    <mergeCell ref="A1416:A1420"/>
    <mergeCell ref="A1421:A1425"/>
    <mergeCell ref="A1426:A1430"/>
    <mergeCell ref="A1431:A1435"/>
    <mergeCell ref="A1436:A1440"/>
    <mergeCell ref="A1441:A1445"/>
    <mergeCell ref="A1446:A1450"/>
    <mergeCell ref="A1451:A1455"/>
    <mergeCell ref="A1456:A1460"/>
    <mergeCell ref="A1461:A1465"/>
    <mergeCell ref="A1466:A1470"/>
    <mergeCell ref="A1471:A1475"/>
    <mergeCell ref="A1476:A1480"/>
    <mergeCell ref="A1481:A1485"/>
    <mergeCell ref="A1486:A1490"/>
    <mergeCell ref="A1491:A1495"/>
    <mergeCell ref="A1496:A1500"/>
    <mergeCell ref="A1501:A1505"/>
    <mergeCell ref="A1506:A1510"/>
    <mergeCell ref="A1511:A1515"/>
    <mergeCell ref="A1516:A1520"/>
    <mergeCell ref="A1521:A1525"/>
    <mergeCell ref="A1526:A1530"/>
    <mergeCell ref="A1531:A1535"/>
    <mergeCell ref="A1536:A1540"/>
    <mergeCell ref="A1541:A1545"/>
    <mergeCell ref="A1546:A1550"/>
    <mergeCell ref="A1551:A1555"/>
    <mergeCell ref="A1556:A1560"/>
    <mergeCell ref="A1561:A1565"/>
    <mergeCell ref="A1566:A1570"/>
    <mergeCell ref="A1571:A1575"/>
    <mergeCell ref="A1576:A1580"/>
    <mergeCell ref="A1581:A1585"/>
    <mergeCell ref="A1586:A1590"/>
    <mergeCell ref="A1591:A1595"/>
    <mergeCell ref="A1596:A1600"/>
    <mergeCell ref="A1601:A1605"/>
    <mergeCell ref="A1606:A1610"/>
    <mergeCell ref="A1611:A1615"/>
    <mergeCell ref="A1616:A1620"/>
    <mergeCell ref="A1621:A1625"/>
    <mergeCell ref="A1626:A1630"/>
    <mergeCell ref="A1631:A1635"/>
    <mergeCell ref="A1636:A1640"/>
    <mergeCell ref="A1641:A1645"/>
    <mergeCell ref="A1646:A1650"/>
    <mergeCell ref="A1651:A1655"/>
    <mergeCell ref="A1656:A1660"/>
    <mergeCell ref="A1661:A1665"/>
    <mergeCell ref="A1666:A1670"/>
    <mergeCell ref="A1671:A1675"/>
    <mergeCell ref="A1676:A1680"/>
    <mergeCell ref="A1681:A1685"/>
    <mergeCell ref="A1686:A1690"/>
    <mergeCell ref="A1691:A1695"/>
    <mergeCell ref="A1696:A1700"/>
    <mergeCell ref="A1701:A1705"/>
    <mergeCell ref="A1706:A1710"/>
    <mergeCell ref="A1711:A1715"/>
    <mergeCell ref="A1716:A1720"/>
    <mergeCell ref="A1721:A1725"/>
    <mergeCell ref="A1726:A1730"/>
    <mergeCell ref="A1731:A1735"/>
    <mergeCell ref="A1736:A1740"/>
    <mergeCell ref="A1741:A1745"/>
    <mergeCell ref="A1746:A1750"/>
    <mergeCell ref="A1751:A1755"/>
    <mergeCell ref="A1756:A1760"/>
    <mergeCell ref="A1761:A1765"/>
    <mergeCell ref="A1766:A1770"/>
    <mergeCell ref="A1771:A1775"/>
    <mergeCell ref="A1776:A1780"/>
    <mergeCell ref="A1781:A1785"/>
    <mergeCell ref="A1786:A1790"/>
    <mergeCell ref="A1791:A1795"/>
    <mergeCell ref="A1796:A1800"/>
    <mergeCell ref="A1801:A1805"/>
    <mergeCell ref="A1806:A1810"/>
    <mergeCell ref="A1811:A1815"/>
    <mergeCell ref="A1816:A1820"/>
    <mergeCell ref="A1821:A1825"/>
    <mergeCell ref="A1826:A1830"/>
    <mergeCell ref="A1831:A1835"/>
    <mergeCell ref="A1836:A1840"/>
    <mergeCell ref="A1841:A1845"/>
    <mergeCell ref="A1846:A1850"/>
    <mergeCell ref="A1851:A1855"/>
    <mergeCell ref="A1856:A1860"/>
    <mergeCell ref="A1861:A1865"/>
    <mergeCell ref="A1866:A1870"/>
    <mergeCell ref="A1871:A1875"/>
    <mergeCell ref="A1876:A1880"/>
    <mergeCell ref="A1881:A1885"/>
    <mergeCell ref="A1886:A1890"/>
    <mergeCell ref="A1891:A1895"/>
    <mergeCell ref="A1896:A1900"/>
    <mergeCell ref="A1901:A1905"/>
    <mergeCell ref="A1906:A1910"/>
    <mergeCell ref="A1911:A1915"/>
    <mergeCell ref="A1916:A1920"/>
    <mergeCell ref="A1921:A1925"/>
    <mergeCell ref="A1926:A1930"/>
    <mergeCell ref="A1931:A1935"/>
    <mergeCell ref="A1936:A1940"/>
    <mergeCell ref="A1941:A1945"/>
    <mergeCell ref="A1946:A1950"/>
    <mergeCell ref="A1951:A1955"/>
    <mergeCell ref="A1956:A1960"/>
    <mergeCell ref="A1961:A1965"/>
    <mergeCell ref="A1966:A1970"/>
    <mergeCell ref="A1971:A1975"/>
    <mergeCell ref="A1976:A1980"/>
    <mergeCell ref="A1981:A1985"/>
    <mergeCell ref="A1986:A1990"/>
    <mergeCell ref="A1991:A1995"/>
    <mergeCell ref="A1996:A2000"/>
    <mergeCell ref="A2001:A2005"/>
    <mergeCell ref="A2006:A2010"/>
    <mergeCell ref="A2011:A2015"/>
    <mergeCell ref="A2016:A2020"/>
    <mergeCell ref="A2021:A2025"/>
    <mergeCell ref="A2026:A2030"/>
    <mergeCell ref="A2031:A2035"/>
    <mergeCell ref="A2036:A2040"/>
    <mergeCell ref="A2041:A2045"/>
    <mergeCell ref="A2046:A2050"/>
    <mergeCell ref="A2051:A2055"/>
    <mergeCell ref="A2056:A2060"/>
    <mergeCell ref="A2061:A2065"/>
    <mergeCell ref="A2066:A2070"/>
    <mergeCell ref="A2071:A2075"/>
    <mergeCell ref="A2076:A2080"/>
    <mergeCell ref="A2081:A2085"/>
    <mergeCell ref="A2086:A2090"/>
    <mergeCell ref="A2091:A2095"/>
    <mergeCell ref="A2096:A2100"/>
    <mergeCell ref="A2101:A2105"/>
    <mergeCell ref="A2106:A2110"/>
    <mergeCell ref="A2111:A2115"/>
    <mergeCell ref="A2116:A2120"/>
    <mergeCell ref="A2121:A2125"/>
    <mergeCell ref="A2126:A2130"/>
    <mergeCell ref="A2131:A2135"/>
    <mergeCell ref="A2136:A2140"/>
    <mergeCell ref="A2141:A2145"/>
    <mergeCell ref="A2146:A2150"/>
    <mergeCell ref="A2151:A2155"/>
    <mergeCell ref="A2156:A2160"/>
    <mergeCell ref="A2161:A2165"/>
    <mergeCell ref="A2166:A2170"/>
    <mergeCell ref="A2171:A2175"/>
    <mergeCell ref="A2176:A2180"/>
    <mergeCell ref="A2181:A2185"/>
    <mergeCell ref="A2186:A2190"/>
    <mergeCell ref="A2191:A2195"/>
    <mergeCell ref="A2196:A2200"/>
    <mergeCell ref="A2201:A2205"/>
    <mergeCell ref="A2206:A2210"/>
    <mergeCell ref="A2211:A2215"/>
    <mergeCell ref="A2216:A2220"/>
    <mergeCell ref="A2221:A2225"/>
    <mergeCell ref="A2226:A2230"/>
    <mergeCell ref="A2231:A2235"/>
    <mergeCell ref="A2236:A2240"/>
    <mergeCell ref="A2241:A2245"/>
    <mergeCell ref="A2246:A2250"/>
    <mergeCell ref="A2251:A2255"/>
    <mergeCell ref="A2256:A2260"/>
    <mergeCell ref="A2261:A2265"/>
    <mergeCell ref="A2266:A2270"/>
    <mergeCell ref="A2271:A2275"/>
    <mergeCell ref="A2276:A2280"/>
    <mergeCell ref="A2281:A2285"/>
    <mergeCell ref="A2286:A2290"/>
    <mergeCell ref="A2291:A2295"/>
    <mergeCell ref="A2296:A2300"/>
    <mergeCell ref="A2301:A2305"/>
    <mergeCell ref="A2306:A2310"/>
    <mergeCell ref="A2311:A2315"/>
    <mergeCell ref="A2316:A2320"/>
    <mergeCell ref="A2321:A2325"/>
    <mergeCell ref="A2326:A2330"/>
    <mergeCell ref="A2331:A2335"/>
    <mergeCell ref="A2336:A2340"/>
    <mergeCell ref="A2341:A2345"/>
    <mergeCell ref="A2346:A2350"/>
    <mergeCell ref="A2351:A2355"/>
    <mergeCell ref="A2356:A2360"/>
    <mergeCell ref="A2361:A2365"/>
    <mergeCell ref="A2366:A2370"/>
    <mergeCell ref="A2371:A2375"/>
    <mergeCell ref="A2376:A2380"/>
    <mergeCell ref="A2381:A2385"/>
    <mergeCell ref="A2386:A2390"/>
    <mergeCell ref="A2391:A2395"/>
    <mergeCell ref="A2396:A2400"/>
    <mergeCell ref="A2401:A2405"/>
    <mergeCell ref="C1:C5"/>
    <mergeCell ref="C6:C10"/>
    <mergeCell ref="C11:C15"/>
    <mergeCell ref="C16:C20"/>
    <mergeCell ref="C21:C25"/>
    <mergeCell ref="C26:C30"/>
    <mergeCell ref="C31:C35"/>
    <mergeCell ref="C36:C40"/>
    <mergeCell ref="C41:C45"/>
    <mergeCell ref="C46:C50"/>
    <mergeCell ref="C51:C55"/>
    <mergeCell ref="C56:C60"/>
    <mergeCell ref="C61:C65"/>
    <mergeCell ref="C66:C70"/>
    <mergeCell ref="C71:C75"/>
    <mergeCell ref="C76:C80"/>
    <mergeCell ref="C81:C85"/>
    <mergeCell ref="C86:C90"/>
    <mergeCell ref="C91:C95"/>
    <mergeCell ref="C96:C100"/>
    <mergeCell ref="C101:C105"/>
    <mergeCell ref="C106:C110"/>
    <mergeCell ref="C111:C115"/>
    <mergeCell ref="C116:C120"/>
    <mergeCell ref="C121:C125"/>
    <mergeCell ref="C126:C130"/>
    <mergeCell ref="C131:C135"/>
    <mergeCell ref="C136:C140"/>
    <mergeCell ref="C141:C145"/>
    <mergeCell ref="C146:C150"/>
    <mergeCell ref="C151:C155"/>
    <mergeCell ref="C156:C160"/>
    <mergeCell ref="C161:C165"/>
    <mergeCell ref="C166:C170"/>
    <mergeCell ref="C171:C175"/>
    <mergeCell ref="C176:C180"/>
    <mergeCell ref="C181:C185"/>
    <mergeCell ref="C186:C190"/>
    <mergeCell ref="C191:C195"/>
    <mergeCell ref="C196:C200"/>
    <mergeCell ref="C201:C205"/>
    <mergeCell ref="C206:C210"/>
    <mergeCell ref="C211:C215"/>
    <mergeCell ref="C216:C220"/>
    <mergeCell ref="C221:C225"/>
    <mergeCell ref="C226:C230"/>
    <mergeCell ref="C231:C235"/>
    <mergeCell ref="C236:C240"/>
    <mergeCell ref="C241:C245"/>
    <mergeCell ref="C246:C250"/>
    <mergeCell ref="C251:C255"/>
    <mergeCell ref="C256:C260"/>
    <mergeCell ref="C261:C265"/>
    <mergeCell ref="C266:C270"/>
    <mergeCell ref="C271:C275"/>
    <mergeCell ref="C276:C280"/>
    <mergeCell ref="C281:C285"/>
    <mergeCell ref="C286:C290"/>
    <mergeCell ref="C291:C295"/>
    <mergeCell ref="C296:C300"/>
    <mergeCell ref="C301:C305"/>
    <mergeCell ref="C306:C310"/>
    <mergeCell ref="C311:C315"/>
    <mergeCell ref="C316:C320"/>
    <mergeCell ref="C321:C325"/>
    <mergeCell ref="C326:C330"/>
    <mergeCell ref="C331:C335"/>
    <mergeCell ref="C336:C340"/>
    <mergeCell ref="C341:C345"/>
    <mergeCell ref="C346:C350"/>
    <mergeCell ref="C351:C355"/>
    <mergeCell ref="C356:C360"/>
    <mergeCell ref="C361:C365"/>
    <mergeCell ref="C366:C370"/>
    <mergeCell ref="C371:C375"/>
    <mergeCell ref="C376:C380"/>
    <mergeCell ref="C381:C385"/>
    <mergeCell ref="C386:C390"/>
    <mergeCell ref="C391:C395"/>
    <mergeCell ref="C396:C400"/>
    <mergeCell ref="C401:C405"/>
    <mergeCell ref="C406:C410"/>
    <mergeCell ref="C411:C415"/>
    <mergeCell ref="C416:C420"/>
    <mergeCell ref="C421:C425"/>
    <mergeCell ref="C426:C430"/>
    <mergeCell ref="C431:C435"/>
    <mergeCell ref="C436:C440"/>
    <mergeCell ref="C441:C445"/>
    <mergeCell ref="C446:C450"/>
    <mergeCell ref="C451:C455"/>
    <mergeCell ref="C456:C460"/>
    <mergeCell ref="C461:C465"/>
    <mergeCell ref="C466:C470"/>
    <mergeCell ref="C471:C475"/>
    <mergeCell ref="C476:C480"/>
    <mergeCell ref="C481:C485"/>
    <mergeCell ref="C486:C490"/>
    <mergeCell ref="C491:C495"/>
    <mergeCell ref="C496:C500"/>
    <mergeCell ref="C501:C505"/>
    <mergeCell ref="C506:C510"/>
    <mergeCell ref="C511:C515"/>
    <mergeCell ref="C516:C520"/>
    <mergeCell ref="C521:C525"/>
    <mergeCell ref="C526:C530"/>
    <mergeCell ref="C531:C535"/>
    <mergeCell ref="C536:C540"/>
    <mergeCell ref="C541:C545"/>
    <mergeCell ref="C546:C550"/>
    <mergeCell ref="C551:C555"/>
    <mergeCell ref="C556:C560"/>
    <mergeCell ref="C561:C565"/>
    <mergeCell ref="C566:C570"/>
    <mergeCell ref="C571:C575"/>
    <mergeCell ref="C576:C580"/>
    <mergeCell ref="C581:C585"/>
    <mergeCell ref="C586:C590"/>
    <mergeCell ref="C591:C595"/>
    <mergeCell ref="C596:C600"/>
    <mergeCell ref="C601:C605"/>
    <mergeCell ref="C606:C610"/>
    <mergeCell ref="C611:C615"/>
    <mergeCell ref="C616:C620"/>
    <mergeCell ref="C621:C625"/>
    <mergeCell ref="C626:C630"/>
    <mergeCell ref="C631:C635"/>
    <mergeCell ref="C636:C640"/>
    <mergeCell ref="C641:C645"/>
    <mergeCell ref="C646:C650"/>
    <mergeCell ref="C651:C655"/>
    <mergeCell ref="C656:C660"/>
    <mergeCell ref="C661:C665"/>
    <mergeCell ref="C666:C670"/>
    <mergeCell ref="C671:C675"/>
    <mergeCell ref="C676:C680"/>
    <mergeCell ref="C681:C685"/>
    <mergeCell ref="C686:C690"/>
    <mergeCell ref="C691:C695"/>
    <mergeCell ref="C696:C700"/>
    <mergeCell ref="C701:C705"/>
    <mergeCell ref="C706:C710"/>
    <mergeCell ref="C711:C715"/>
    <mergeCell ref="C716:C720"/>
    <mergeCell ref="C721:C725"/>
    <mergeCell ref="C726:C730"/>
    <mergeCell ref="C731:C735"/>
    <mergeCell ref="C736:C740"/>
    <mergeCell ref="C741:C745"/>
    <mergeCell ref="C746:C750"/>
    <mergeCell ref="C751:C755"/>
    <mergeCell ref="C756:C760"/>
    <mergeCell ref="C761:C765"/>
    <mergeCell ref="C766:C770"/>
    <mergeCell ref="C771:C775"/>
    <mergeCell ref="C776:C780"/>
    <mergeCell ref="C781:C785"/>
    <mergeCell ref="C786:C790"/>
    <mergeCell ref="C791:C795"/>
    <mergeCell ref="C796:C800"/>
    <mergeCell ref="C801:C805"/>
    <mergeCell ref="C806:C810"/>
    <mergeCell ref="C811:C815"/>
    <mergeCell ref="C816:C820"/>
    <mergeCell ref="C821:C825"/>
    <mergeCell ref="C826:C830"/>
    <mergeCell ref="C831:C835"/>
    <mergeCell ref="C836:C840"/>
    <mergeCell ref="C841:C845"/>
    <mergeCell ref="C846:C850"/>
    <mergeCell ref="C851:C855"/>
    <mergeCell ref="C856:C860"/>
    <mergeCell ref="C861:C865"/>
    <mergeCell ref="C866:C870"/>
    <mergeCell ref="C871:C875"/>
    <mergeCell ref="C876:C880"/>
    <mergeCell ref="C881:C885"/>
    <mergeCell ref="C886:C890"/>
    <mergeCell ref="C891:C895"/>
    <mergeCell ref="C896:C900"/>
    <mergeCell ref="C901:C905"/>
    <mergeCell ref="C906:C910"/>
    <mergeCell ref="C911:C915"/>
    <mergeCell ref="C916:C920"/>
    <mergeCell ref="C921:C925"/>
    <mergeCell ref="C926:C930"/>
    <mergeCell ref="C931:C935"/>
    <mergeCell ref="C936:C940"/>
    <mergeCell ref="C941:C945"/>
    <mergeCell ref="C946:C950"/>
    <mergeCell ref="C951:C955"/>
    <mergeCell ref="C956:C960"/>
    <mergeCell ref="C961:C965"/>
    <mergeCell ref="C966:C970"/>
    <mergeCell ref="C971:C975"/>
    <mergeCell ref="C976:C980"/>
    <mergeCell ref="C981:C985"/>
    <mergeCell ref="C986:C990"/>
    <mergeCell ref="C991:C995"/>
    <mergeCell ref="C996:C1000"/>
    <mergeCell ref="C1001:C1005"/>
    <mergeCell ref="C1006:C1010"/>
    <mergeCell ref="C1011:C1015"/>
    <mergeCell ref="C1016:C1020"/>
    <mergeCell ref="C1021:C1025"/>
    <mergeCell ref="C1026:C1030"/>
    <mergeCell ref="C1031:C1035"/>
    <mergeCell ref="C1036:C1040"/>
    <mergeCell ref="C1041:C1045"/>
    <mergeCell ref="C1046:C1050"/>
    <mergeCell ref="C1051:C1055"/>
    <mergeCell ref="C1056:C1060"/>
    <mergeCell ref="C1061:C1065"/>
    <mergeCell ref="C1066:C1070"/>
    <mergeCell ref="C1071:C1075"/>
    <mergeCell ref="C1076:C1080"/>
    <mergeCell ref="C1081:C1085"/>
    <mergeCell ref="C1086:C1090"/>
    <mergeCell ref="C1091:C1095"/>
    <mergeCell ref="C1096:C1100"/>
    <mergeCell ref="C1101:C1105"/>
    <mergeCell ref="C1106:C1110"/>
    <mergeCell ref="C1111:C1115"/>
    <mergeCell ref="C1116:C1120"/>
    <mergeCell ref="C1121:C1125"/>
    <mergeCell ref="C1126:C1130"/>
    <mergeCell ref="C1131:C1135"/>
    <mergeCell ref="C1136:C1140"/>
    <mergeCell ref="C1141:C1145"/>
    <mergeCell ref="C1146:C1150"/>
    <mergeCell ref="C1151:C1155"/>
    <mergeCell ref="C1156:C1160"/>
    <mergeCell ref="C1161:C1165"/>
    <mergeCell ref="C1166:C1170"/>
    <mergeCell ref="C1171:C1175"/>
    <mergeCell ref="C1176:C1180"/>
    <mergeCell ref="C1181:C1185"/>
    <mergeCell ref="C1186:C1190"/>
    <mergeCell ref="C1191:C1195"/>
    <mergeCell ref="C1196:C1200"/>
    <mergeCell ref="C1201:C1205"/>
    <mergeCell ref="C1206:C1210"/>
    <mergeCell ref="C1211:C1215"/>
    <mergeCell ref="C1216:C1220"/>
    <mergeCell ref="C1221:C1225"/>
    <mergeCell ref="C1226:C1230"/>
    <mergeCell ref="C1231:C1235"/>
    <mergeCell ref="C1236:C1240"/>
    <mergeCell ref="C1241:C1245"/>
    <mergeCell ref="C1246:C1250"/>
    <mergeCell ref="C1251:C1255"/>
    <mergeCell ref="C1256:C1260"/>
    <mergeCell ref="C1261:C1265"/>
    <mergeCell ref="C1266:C1270"/>
    <mergeCell ref="C1271:C1275"/>
    <mergeCell ref="C1276:C1280"/>
    <mergeCell ref="C1281:C1285"/>
    <mergeCell ref="C1286:C1290"/>
    <mergeCell ref="C1291:C1295"/>
    <mergeCell ref="C1296:C1300"/>
    <mergeCell ref="C1301:C1305"/>
    <mergeCell ref="C1306:C1310"/>
    <mergeCell ref="C1311:C1315"/>
    <mergeCell ref="C1316:C1320"/>
    <mergeCell ref="C1321:C1325"/>
    <mergeCell ref="C1326:C1330"/>
    <mergeCell ref="C1331:C1335"/>
    <mergeCell ref="C1336:C1340"/>
    <mergeCell ref="C1341:C1345"/>
    <mergeCell ref="C1346:C1350"/>
    <mergeCell ref="C1351:C1355"/>
    <mergeCell ref="C1356:C1360"/>
    <mergeCell ref="C1361:C1365"/>
    <mergeCell ref="C1366:C1370"/>
    <mergeCell ref="C1371:C1375"/>
    <mergeCell ref="C1376:C1380"/>
    <mergeCell ref="C1381:C1385"/>
    <mergeCell ref="C1386:C1390"/>
    <mergeCell ref="C1391:C1395"/>
    <mergeCell ref="C1396:C1400"/>
    <mergeCell ref="C1401:C1405"/>
    <mergeCell ref="C1406:C1410"/>
    <mergeCell ref="C1411:C1415"/>
    <mergeCell ref="C1416:C1420"/>
    <mergeCell ref="C1421:C1425"/>
    <mergeCell ref="C1426:C1430"/>
    <mergeCell ref="C1431:C1435"/>
    <mergeCell ref="C1436:C1440"/>
    <mergeCell ref="C1441:C1445"/>
    <mergeCell ref="C1446:C1450"/>
    <mergeCell ref="C1451:C1455"/>
    <mergeCell ref="C1456:C1460"/>
    <mergeCell ref="C1461:C1465"/>
    <mergeCell ref="C1466:C1470"/>
    <mergeCell ref="C1471:C1475"/>
    <mergeCell ref="C1476:C1480"/>
    <mergeCell ref="C1481:C1485"/>
    <mergeCell ref="C1486:C1490"/>
    <mergeCell ref="C1491:C1495"/>
    <mergeCell ref="C1496:C1500"/>
    <mergeCell ref="C1501:C1505"/>
    <mergeCell ref="C1506:C1510"/>
    <mergeCell ref="C1511:C1515"/>
    <mergeCell ref="C1516:C1520"/>
    <mergeCell ref="C1521:C1525"/>
    <mergeCell ref="C1526:C1530"/>
    <mergeCell ref="C1531:C1535"/>
    <mergeCell ref="C1536:C1540"/>
    <mergeCell ref="C1541:C1545"/>
    <mergeCell ref="C1546:C1550"/>
    <mergeCell ref="C1551:C1555"/>
    <mergeCell ref="C1556:C1560"/>
    <mergeCell ref="C1561:C1565"/>
    <mergeCell ref="C1566:C1570"/>
    <mergeCell ref="C1571:C1575"/>
    <mergeCell ref="C1576:C1580"/>
    <mergeCell ref="C1581:C1585"/>
    <mergeCell ref="C1586:C1590"/>
    <mergeCell ref="C1591:C1595"/>
    <mergeCell ref="C1596:C1600"/>
    <mergeCell ref="C1601:C1605"/>
    <mergeCell ref="C1606:C1610"/>
    <mergeCell ref="C1611:C1615"/>
    <mergeCell ref="C1616:C1620"/>
    <mergeCell ref="C1621:C1625"/>
    <mergeCell ref="C1626:C1630"/>
    <mergeCell ref="C1631:C1635"/>
    <mergeCell ref="C1636:C1640"/>
    <mergeCell ref="C1641:C1645"/>
    <mergeCell ref="C1646:C1650"/>
    <mergeCell ref="C1651:C1655"/>
    <mergeCell ref="C1656:C1660"/>
    <mergeCell ref="C1661:C1665"/>
    <mergeCell ref="C1666:C1670"/>
    <mergeCell ref="C1671:C1675"/>
    <mergeCell ref="C1676:C1680"/>
    <mergeCell ref="C1681:C1685"/>
    <mergeCell ref="C1686:C1690"/>
    <mergeCell ref="C1691:C1695"/>
    <mergeCell ref="C1696:C1700"/>
    <mergeCell ref="C1701:C1705"/>
    <mergeCell ref="C1706:C1710"/>
    <mergeCell ref="C1711:C1715"/>
    <mergeCell ref="C1716:C1720"/>
    <mergeCell ref="C1721:C1725"/>
    <mergeCell ref="C1726:C1730"/>
    <mergeCell ref="C1731:C1735"/>
    <mergeCell ref="C1736:C1740"/>
    <mergeCell ref="C1741:C1745"/>
    <mergeCell ref="C1746:C1750"/>
    <mergeCell ref="C1751:C1755"/>
    <mergeCell ref="C1756:C1760"/>
    <mergeCell ref="C1761:C1765"/>
    <mergeCell ref="C1766:C1770"/>
    <mergeCell ref="C1771:C1775"/>
    <mergeCell ref="C1776:C1780"/>
    <mergeCell ref="C1781:C1785"/>
    <mergeCell ref="C1786:C1790"/>
    <mergeCell ref="C1791:C1795"/>
    <mergeCell ref="C1796:C1800"/>
    <mergeCell ref="C1801:C1805"/>
    <mergeCell ref="C1806:C1810"/>
    <mergeCell ref="C1811:C1815"/>
    <mergeCell ref="C1816:C1820"/>
    <mergeCell ref="C1821:C1825"/>
    <mergeCell ref="C1826:C1830"/>
    <mergeCell ref="C1831:C1835"/>
    <mergeCell ref="C1836:C1840"/>
    <mergeCell ref="C1841:C1845"/>
    <mergeCell ref="C1846:C1850"/>
    <mergeCell ref="C1851:C1855"/>
    <mergeCell ref="C1856:C1860"/>
    <mergeCell ref="C1861:C1865"/>
    <mergeCell ref="C1866:C1870"/>
    <mergeCell ref="C1871:C1875"/>
    <mergeCell ref="C1876:C1880"/>
    <mergeCell ref="C1881:C1885"/>
    <mergeCell ref="C1886:C1890"/>
    <mergeCell ref="C1891:C1895"/>
    <mergeCell ref="C1896:C1900"/>
    <mergeCell ref="C1901:C1905"/>
    <mergeCell ref="C1906:C1910"/>
    <mergeCell ref="C1911:C1915"/>
    <mergeCell ref="C1916:C1920"/>
    <mergeCell ref="C1921:C1925"/>
    <mergeCell ref="C1926:C1930"/>
    <mergeCell ref="C1931:C1935"/>
    <mergeCell ref="C1936:C1940"/>
    <mergeCell ref="C1941:C1945"/>
    <mergeCell ref="C1946:C1950"/>
    <mergeCell ref="C1951:C1955"/>
    <mergeCell ref="C1956:C1960"/>
    <mergeCell ref="C1961:C1965"/>
    <mergeCell ref="C1966:C1970"/>
    <mergeCell ref="C1971:C1975"/>
    <mergeCell ref="C1976:C1980"/>
    <mergeCell ref="C1981:C1985"/>
    <mergeCell ref="C1986:C1990"/>
    <mergeCell ref="C1991:C1995"/>
    <mergeCell ref="C1996:C2000"/>
    <mergeCell ref="C2001:C2005"/>
    <mergeCell ref="C2006:C2010"/>
    <mergeCell ref="C2011:C2015"/>
    <mergeCell ref="C2016:C2020"/>
    <mergeCell ref="C2021:C2025"/>
    <mergeCell ref="C2026:C2030"/>
    <mergeCell ref="C2031:C2035"/>
    <mergeCell ref="C2036:C2040"/>
    <mergeCell ref="C2041:C2045"/>
    <mergeCell ref="C2046:C2050"/>
    <mergeCell ref="C2051:C2055"/>
    <mergeCell ref="C2056:C2060"/>
    <mergeCell ref="C2061:C2065"/>
    <mergeCell ref="C2066:C2070"/>
    <mergeCell ref="C2071:C2075"/>
    <mergeCell ref="C2076:C2080"/>
    <mergeCell ref="C2081:C2085"/>
    <mergeCell ref="C2086:C2090"/>
    <mergeCell ref="C2091:C2095"/>
    <mergeCell ref="C2096:C2100"/>
    <mergeCell ref="C2101:C2105"/>
    <mergeCell ref="C2106:C2110"/>
    <mergeCell ref="C2111:C2115"/>
    <mergeCell ref="C2116:C2120"/>
    <mergeCell ref="C2121:C2125"/>
    <mergeCell ref="C2126:C2130"/>
    <mergeCell ref="C2131:C2135"/>
    <mergeCell ref="C2136:C2140"/>
    <mergeCell ref="C2141:C2145"/>
    <mergeCell ref="C2146:C2150"/>
    <mergeCell ref="C2151:C2155"/>
    <mergeCell ref="C2156:C2160"/>
    <mergeCell ref="C2161:C2165"/>
    <mergeCell ref="C2166:C2170"/>
    <mergeCell ref="C2171:C2175"/>
    <mergeCell ref="C2176:C2180"/>
    <mergeCell ref="C2181:C2185"/>
    <mergeCell ref="C2186:C2190"/>
    <mergeCell ref="C2191:C2195"/>
    <mergeCell ref="C2196:C2200"/>
    <mergeCell ref="C2201:C2205"/>
    <mergeCell ref="C2206:C2210"/>
    <mergeCell ref="C2211:C2215"/>
    <mergeCell ref="C2216:C2220"/>
    <mergeCell ref="C2221:C2225"/>
    <mergeCell ref="C2226:C2230"/>
    <mergeCell ref="C2231:C2235"/>
    <mergeCell ref="C2236:C2240"/>
    <mergeCell ref="C2241:C2245"/>
    <mergeCell ref="C2246:C2250"/>
    <mergeCell ref="C2251:C2255"/>
    <mergeCell ref="C2256:C2260"/>
    <mergeCell ref="C2261:C2265"/>
    <mergeCell ref="C2266:C2270"/>
    <mergeCell ref="C2271:C2275"/>
    <mergeCell ref="C2276:C2280"/>
    <mergeCell ref="C2281:C2285"/>
    <mergeCell ref="C2286:C2290"/>
    <mergeCell ref="C2291:C2295"/>
    <mergeCell ref="C2296:C2300"/>
    <mergeCell ref="C2301:C2305"/>
    <mergeCell ref="C2306:C2310"/>
    <mergeCell ref="C2311:C2315"/>
    <mergeCell ref="C2316:C2320"/>
    <mergeCell ref="C2321:C2325"/>
    <mergeCell ref="C2326:C2330"/>
    <mergeCell ref="C2331:C2335"/>
    <mergeCell ref="C2336:C2340"/>
    <mergeCell ref="C2341:C2345"/>
    <mergeCell ref="C2346:C2350"/>
    <mergeCell ref="C2351:C2355"/>
    <mergeCell ref="C2356:C2360"/>
    <mergeCell ref="C2361:C2365"/>
    <mergeCell ref="C2366:C2370"/>
    <mergeCell ref="C2371:C2375"/>
    <mergeCell ref="C2376:C2380"/>
    <mergeCell ref="C2381:C2385"/>
    <mergeCell ref="C2386:C2390"/>
    <mergeCell ref="C2391:C2395"/>
    <mergeCell ref="C2396:C2400"/>
    <mergeCell ref="C2401:C2405"/>
    <mergeCell ref="D1:D5"/>
    <mergeCell ref="D6:D10"/>
    <mergeCell ref="D11:D15"/>
    <mergeCell ref="D16:D20"/>
    <mergeCell ref="D21:D25"/>
    <mergeCell ref="D26:D30"/>
    <mergeCell ref="D31:D35"/>
    <mergeCell ref="D36:D40"/>
    <mergeCell ref="D41:D45"/>
    <mergeCell ref="D46:D50"/>
    <mergeCell ref="D51:D55"/>
    <mergeCell ref="D56:D60"/>
    <mergeCell ref="D61:D65"/>
    <mergeCell ref="D66:D70"/>
    <mergeCell ref="D71:D75"/>
    <mergeCell ref="D76:D80"/>
    <mergeCell ref="D81:D85"/>
    <mergeCell ref="D86:D90"/>
    <mergeCell ref="D91:D95"/>
    <mergeCell ref="D96:D100"/>
    <mergeCell ref="D101:D105"/>
    <mergeCell ref="D106:D110"/>
    <mergeCell ref="D111:D115"/>
    <mergeCell ref="D116:D120"/>
    <mergeCell ref="D121:D125"/>
    <mergeCell ref="D126:D130"/>
    <mergeCell ref="D131:D135"/>
    <mergeCell ref="D136:D140"/>
    <mergeCell ref="D141:D145"/>
    <mergeCell ref="D146:D150"/>
    <mergeCell ref="D151:D155"/>
    <mergeCell ref="D156:D160"/>
    <mergeCell ref="D161:D165"/>
    <mergeCell ref="D166:D170"/>
    <mergeCell ref="D171:D175"/>
    <mergeCell ref="D176:D180"/>
    <mergeCell ref="D181:D185"/>
    <mergeCell ref="D186:D190"/>
    <mergeCell ref="D191:D195"/>
    <mergeCell ref="D196:D200"/>
    <mergeCell ref="D201:D205"/>
    <mergeCell ref="D206:D210"/>
    <mergeCell ref="D211:D215"/>
    <mergeCell ref="D216:D220"/>
    <mergeCell ref="D221:D225"/>
    <mergeCell ref="D226:D230"/>
    <mergeCell ref="D231:D235"/>
    <mergeCell ref="D236:D240"/>
    <mergeCell ref="D241:D245"/>
    <mergeCell ref="D246:D250"/>
    <mergeCell ref="D251:D255"/>
    <mergeCell ref="D256:D260"/>
    <mergeCell ref="D261:D265"/>
    <mergeCell ref="D266:D270"/>
    <mergeCell ref="D271:D275"/>
    <mergeCell ref="D276:D280"/>
    <mergeCell ref="D281:D285"/>
    <mergeCell ref="D286:D290"/>
    <mergeCell ref="D291:D295"/>
    <mergeCell ref="D296:D300"/>
    <mergeCell ref="D301:D305"/>
    <mergeCell ref="D306:D310"/>
    <mergeCell ref="D311:D315"/>
    <mergeCell ref="D316:D320"/>
    <mergeCell ref="D321:D325"/>
    <mergeCell ref="D326:D330"/>
    <mergeCell ref="D331:D335"/>
    <mergeCell ref="D336:D340"/>
    <mergeCell ref="D341:D345"/>
    <mergeCell ref="D346:D350"/>
    <mergeCell ref="D351:D355"/>
    <mergeCell ref="D356:D360"/>
    <mergeCell ref="D361:D365"/>
    <mergeCell ref="D366:D370"/>
    <mergeCell ref="D371:D375"/>
    <mergeCell ref="D376:D380"/>
    <mergeCell ref="D381:D385"/>
    <mergeCell ref="D386:D390"/>
    <mergeCell ref="D391:D395"/>
    <mergeCell ref="D396:D400"/>
    <mergeCell ref="D401:D405"/>
    <mergeCell ref="D406:D410"/>
    <mergeCell ref="D411:D415"/>
    <mergeCell ref="D416:D420"/>
    <mergeCell ref="D421:D425"/>
    <mergeCell ref="D426:D430"/>
    <mergeCell ref="D431:D435"/>
    <mergeCell ref="D436:D440"/>
    <mergeCell ref="D441:D445"/>
    <mergeCell ref="D446:D450"/>
    <mergeCell ref="D451:D455"/>
    <mergeCell ref="D456:D460"/>
    <mergeCell ref="D461:D465"/>
    <mergeCell ref="D466:D470"/>
    <mergeCell ref="D471:D475"/>
    <mergeCell ref="D476:D480"/>
    <mergeCell ref="D481:D485"/>
    <mergeCell ref="D486:D490"/>
    <mergeCell ref="D491:D495"/>
    <mergeCell ref="D496:D500"/>
    <mergeCell ref="D501:D505"/>
    <mergeCell ref="D506:D510"/>
    <mergeCell ref="D511:D515"/>
    <mergeCell ref="D516:D520"/>
    <mergeCell ref="D521:D525"/>
    <mergeCell ref="D526:D530"/>
    <mergeCell ref="D531:D535"/>
    <mergeCell ref="D536:D540"/>
    <mergeCell ref="D541:D545"/>
    <mergeCell ref="D546:D550"/>
    <mergeCell ref="D551:D555"/>
    <mergeCell ref="D556:D560"/>
    <mergeCell ref="D561:D565"/>
    <mergeCell ref="D566:D570"/>
    <mergeCell ref="D571:D575"/>
    <mergeCell ref="D576:D580"/>
    <mergeCell ref="D581:D585"/>
    <mergeCell ref="D586:D590"/>
    <mergeCell ref="D591:D595"/>
    <mergeCell ref="D596:D600"/>
    <mergeCell ref="D601:D605"/>
    <mergeCell ref="D606:D610"/>
    <mergeCell ref="D611:D615"/>
    <mergeCell ref="D616:D620"/>
    <mergeCell ref="D621:D625"/>
    <mergeCell ref="D626:D630"/>
    <mergeCell ref="D631:D635"/>
    <mergeCell ref="D636:D640"/>
    <mergeCell ref="D641:D645"/>
    <mergeCell ref="D646:D650"/>
    <mergeCell ref="D651:D655"/>
    <mergeCell ref="D656:D660"/>
    <mergeCell ref="D661:D665"/>
    <mergeCell ref="D666:D670"/>
    <mergeCell ref="D671:D675"/>
    <mergeCell ref="D676:D680"/>
    <mergeCell ref="D681:D685"/>
    <mergeCell ref="D686:D690"/>
    <mergeCell ref="D691:D695"/>
    <mergeCell ref="D696:D700"/>
    <mergeCell ref="D701:D705"/>
    <mergeCell ref="D706:D710"/>
    <mergeCell ref="D711:D715"/>
    <mergeCell ref="D716:D720"/>
    <mergeCell ref="D721:D725"/>
    <mergeCell ref="D726:D730"/>
    <mergeCell ref="D731:D735"/>
    <mergeCell ref="D736:D740"/>
    <mergeCell ref="D741:D745"/>
    <mergeCell ref="D746:D750"/>
    <mergeCell ref="D751:D755"/>
    <mergeCell ref="D756:D760"/>
    <mergeCell ref="D761:D765"/>
    <mergeCell ref="D766:D770"/>
    <mergeCell ref="D771:D775"/>
    <mergeCell ref="D776:D780"/>
    <mergeCell ref="D781:D785"/>
    <mergeCell ref="D786:D790"/>
    <mergeCell ref="D791:D795"/>
    <mergeCell ref="D796:D800"/>
    <mergeCell ref="D801:D805"/>
    <mergeCell ref="D806:D810"/>
    <mergeCell ref="D811:D815"/>
    <mergeCell ref="D816:D820"/>
    <mergeCell ref="D821:D825"/>
    <mergeCell ref="D826:D830"/>
    <mergeCell ref="D831:D835"/>
    <mergeCell ref="D836:D840"/>
    <mergeCell ref="D841:D845"/>
    <mergeCell ref="D846:D850"/>
    <mergeCell ref="D851:D855"/>
    <mergeCell ref="D856:D860"/>
    <mergeCell ref="D861:D865"/>
    <mergeCell ref="D866:D870"/>
    <mergeCell ref="D871:D875"/>
    <mergeCell ref="D876:D880"/>
    <mergeCell ref="D881:D885"/>
    <mergeCell ref="D886:D890"/>
    <mergeCell ref="D891:D895"/>
    <mergeCell ref="D896:D900"/>
    <mergeCell ref="D901:D905"/>
    <mergeCell ref="D906:D910"/>
    <mergeCell ref="D911:D915"/>
    <mergeCell ref="D916:D920"/>
    <mergeCell ref="D921:D925"/>
    <mergeCell ref="D926:D930"/>
    <mergeCell ref="D931:D935"/>
    <mergeCell ref="D936:D940"/>
    <mergeCell ref="D941:D945"/>
    <mergeCell ref="D946:D950"/>
    <mergeCell ref="D951:D955"/>
    <mergeCell ref="D956:D960"/>
    <mergeCell ref="D961:D965"/>
    <mergeCell ref="D966:D970"/>
    <mergeCell ref="D971:D975"/>
    <mergeCell ref="D976:D980"/>
    <mergeCell ref="D981:D985"/>
    <mergeCell ref="D986:D990"/>
    <mergeCell ref="D991:D995"/>
    <mergeCell ref="D996:D1000"/>
    <mergeCell ref="D1001:D1005"/>
    <mergeCell ref="D1006:D1010"/>
    <mergeCell ref="D1011:D1015"/>
    <mergeCell ref="D1016:D1020"/>
    <mergeCell ref="D1021:D1025"/>
    <mergeCell ref="D1026:D1030"/>
    <mergeCell ref="D1031:D1035"/>
    <mergeCell ref="D1036:D1040"/>
    <mergeCell ref="D1041:D1045"/>
    <mergeCell ref="D1046:D1050"/>
    <mergeCell ref="D1051:D1055"/>
    <mergeCell ref="D1056:D1060"/>
    <mergeCell ref="D1061:D1065"/>
    <mergeCell ref="D1066:D1070"/>
    <mergeCell ref="D1071:D1075"/>
    <mergeCell ref="D1076:D1080"/>
    <mergeCell ref="D1081:D1085"/>
    <mergeCell ref="D1086:D1090"/>
    <mergeCell ref="D1091:D1095"/>
    <mergeCell ref="D1096:D1100"/>
    <mergeCell ref="D1101:D1105"/>
    <mergeCell ref="D1106:D1110"/>
    <mergeCell ref="D1111:D1115"/>
    <mergeCell ref="D1116:D1120"/>
    <mergeCell ref="D1121:D1125"/>
    <mergeCell ref="D1126:D1130"/>
    <mergeCell ref="D1131:D1135"/>
    <mergeCell ref="D1136:D1140"/>
    <mergeCell ref="D1141:D1145"/>
    <mergeCell ref="D1146:D1150"/>
    <mergeCell ref="D1151:D1155"/>
    <mergeCell ref="D1156:D1160"/>
    <mergeCell ref="D1161:D1165"/>
    <mergeCell ref="D1166:D1170"/>
    <mergeCell ref="D1171:D1175"/>
    <mergeCell ref="D1176:D1180"/>
    <mergeCell ref="D1181:D1185"/>
    <mergeCell ref="D1186:D1190"/>
    <mergeCell ref="D1191:D1195"/>
    <mergeCell ref="D1196:D1200"/>
    <mergeCell ref="D1201:D1205"/>
    <mergeCell ref="D1206:D1210"/>
    <mergeCell ref="D1211:D1215"/>
    <mergeCell ref="D1216:D1220"/>
    <mergeCell ref="D1221:D1225"/>
    <mergeCell ref="D1226:D1230"/>
    <mergeCell ref="D1231:D1235"/>
    <mergeCell ref="D1236:D1240"/>
    <mergeCell ref="D1241:D1245"/>
    <mergeCell ref="D1246:D1250"/>
    <mergeCell ref="D1251:D1255"/>
    <mergeCell ref="D1256:D1260"/>
    <mergeCell ref="D1261:D1265"/>
    <mergeCell ref="D1266:D1270"/>
    <mergeCell ref="D1271:D1275"/>
    <mergeCell ref="D1276:D1280"/>
    <mergeCell ref="D1281:D1285"/>
    <mergeCell ref="D1286:D1290"/>
    <mergeCell ref="D1291:D1295"/>
    <mergeCell ref="D1296:D1300"/>
    <mergeCell ref="D1301:D1305"/>
    <mergeCell ref="D1306:D1310"/>
    <mergeCell ref="D1311:D1315"/>
    <mergeCell ref="D1316:D1320"/>
    <mergeCell ref="D1321:D1325"/>
    <mergeCell ref="D1326:D1330"/>
    <mergeCell ref="D1331:D1335"/>
    <mergeCell ref="D1336:D1340"/>
    <mergeCell ref="D1341:D1345"/>
    <mergeCell ref="D1346:D1350"/>
    <mergeCell ref="D1351:D1355"/>
    <mergeCell ref="D1356:D1360"/>
    <mergeCell ref="D1361:D1365"/>
    <mergeCell ref="D1366:D1370"/>
    <mergeCell ref="D1371:D1375"/>
    <mergeCell ref="D1376:D1380"/>
    <mergeCell ref="D1381:D1385"/>
    <mergeCell ref="D1386:D1390"/>
    <mergeCell ref="D1391:D1395"/>
    <mergeCell ref="D1396:D1400"/>
    <mergeCell ref="D1401:D1405"/>
    <mergeCell ref="D1406:D1410"/>
    <mergeCell ref="D1411:D1415"/>
    <mergeCell ref="D1416:D1420"/>
    <mergeCell ref="D1421:D1425"/>
    <mergeCell ref="D1426:D1430"/>
    <mergeCell ref="D1431:D1435"/>
    <mergeCell ref="D1436:D1440"/>
    <mergeCell ref="D1441:D1445"/>
    <mergeCell ref="D1446:D1450"/>
    <mergeCell ref="D1451:D1455"/>
    <mergeCell ref="D1456:D1460"/>
    <mergeCell ref="D1461:D1465"/>
    <mergeCell ref="D1466:D1470"/>
    <mergeCell ref="D1471:D1475"/>
    <mergeCell ref="D1476:D1480"/>
    <mergeCell ref="D1481:D1485"/>
    <mergeCell ref="D1486:D1490"/>
    <mergeCell ref="D1491:D1495"/>
    <mergeCell ref="D1496:D1500"/>
    <mergeCell ref="D1501:D1505"/>
    <mergeCell ref="D1506:D1510"/>
    <mergeCell ref="D1511:D1515"/>
    <mergeCell ref="D1516:D1520"/>
    <mergeCell ref="D1521:D1525"/>
    <mergeCell ref="D1526:D1530"/>
    <mergeCell ref="D1531:D1535"/>
    <mergeCell ref="D1536:D1540"/>
    <mergeCell ref="D1541:D1545"/>
    <mergeCell ref="D1546:D1550"/>
    <mergeCell ref="D1551:D1555"/>
    <mergeCell ref="D1556:D1560"/>
    <mergeCell ref="D1561:D1565"/>
    <mergeCell ref="D1566:D1570"/>
    <mergeCell ref="D1571:D1575"/>
    <mergeCell ref="D1576:D1580"/>
    <mergeCell ref="D1581:D1585"/>
    <mergeCell ref="D1586:D1590"/>
    <mergeCell ref="D1591:D1595"/>
    <mergeCell ref="D1596:D1600"/>
    <mergeCell ref="D1601:D1605"/>
    <mergeCell ref="D1606:D1610"/>
    <mergeCell ref="D1611:D1615"/>
    <mergeCell ref="D1616:D1620"/>
    <mergeCell ref="D1621:D1625"/>
    <mergeCell ref="D1626:D1630"/>
    <mergeCell ref="D1631:D1635"/>
    <mergeCell ref="D1636:D1640"/>
    <mergeCell ref="D1641:D1645"/>
    <mergeCell ref="D1646:D1650"/>
    <mergeCell ref="D1651:D1655"/>
    <mergeCell ref="D1656:D1660"/>
    <mergeCell ref="D1661:D1665"/>
    <mergeCell ref="D1666:D1670"/>
    <mergeCell ref="D1671:D1675"/>
    <mergeCell ref="D1676:D1680"/>
    <mergeCell ref="D1681:D1685"/>
    <mergeCell ref="D1686:D1690"/>
    <mergeCell ref="D1691:D1695"/>
    <mergeCell ref="D1696:D1700"/>
    <mergeCell ref="D1701:D1705"/>
    <mergeCell ref="D1706:D1710"/>
    <mergeCell ref="D1711:D1715"/>
    <mergeCell ref="D1716:D1720"/>
    <mergeCell ref="D1721:D1725"/>
    <mergeCell ref="D1726:D1730"/>
    <mergeCell ref="D1731:D1735"/>
    <mergeCell ref="D1736:D1740"/>
    <mergeCell ref="D1741:D1745"/>
    <mergeCell ref="D1746:D1750"/>
    <mergeCell ref="D1751:D1755"/>
    <mergeCell ref="D1756:D1760"/>
    <mergeCell ref="D1761:D1765"/>
    <mergeCell ref="D1766:D1770"/>
    <mergeCell ref="D1771:D1775"/>
    <mergeCell ref="D1776:D1780"/>
    <mergeCell ref="D1781:D1785"/>
    <mergeCell ref="D1786:D1790"/>
    <mergeCell ref="D1791:D1795"/>
    <mergeCell ref="D1796:D1800"/>
    <mergeCell ref="D1801:D1805"/>
    <mergeCell ref="D1806:D1810"/>
    <mergeCell ref="D1811:D1815"/>
    <mergeCell ref="D1816:D1820"/>
    <mergeCell ref="D1821:D1825"/>
    <mergeCell ref="D1826:D1830"/>
    <mergeCell ref="D1831:D1835"/>
    <mergeCell ref="D1836:D1840"/>
    <mergeCell ref="D1841:D1845"/>
    <mergeCell ref="D1846:D1850"/>
    <mergeCell ref="D1851:D1855"/>
    <mergeCell ref="D1856:D1860"/>
    <mergeCell ref="D1861:D1865"/>
    <mergeCell ref="D1866:D1870"/>
    <mergeCell ref="D1871:D1875"/>
    <mergeCell ref="D1876:D1880"/>
    <mergeCell ref="D1881:D1885"/>
    <mergeCell ref="D1886:D1890"/>
    <mergeCell ref="D1891:D1895"/>
    <mergeCell ref="D1896:D1900"/>
    <mergeCell ref="D1901:D1905"/>
    <mergeCell ref="D1906:D1910"/>
    <mergeCell ref="D1911:D1915"/>
    <mergeCell ref="D1916:D1920"/>
    <mergeCell ref="D1921:D1925"/>
    <mergeCell ref="D1926:D1930"/>
    <mergeCell ref="D1931:D1935"/>
    <mergeCell ref="D1936:D1940"/>
    <mergeCell ref="D1941:D1945"/>
    <mergeCell ref="D1946:D1950"/>
    <mergeCell ref="D1951:D1955"/>
    <mergeCell ref="D1956:D1960"/>
    <mergeCell ref="D1961:D1965"/>
    <mergeCell ref="D1966:D1970"/>
    <mergeCell ref="D1971:D1975"/>
    <mergeCell ref="D1976:D1980"/>
    <mergeCell ref="D1981:D1985"/>
    <mergeCell ref="D1986:D1990"/>
    <mergeCell ref="D1991:D1995"/>
    <mergeCell ref="D1996:D2000"/>
    <mergeCell ref="D2001:D2005"/>
    <mergeCell ref="D2006:D2010"/>
    <mergeCell ref="D2011:D2015"/>
    <mergeCell ref="D2016:D2020"/>
    <mergeCell ref="D2021:D2025"/>
    <mergeCell ref="D2026:D2030"/>
    <mergeCell ref="D2031:D2035"/>
    <mergeCell ref="D2036:D2040"/>
    <mergeCell ref="D2041:D2045"/>
    <mergeCell ref="D2046:D2050"/>
    <mergeCell ref="D2051:D2055"/>
    <mergeCell ref="D2056:D2060"/>
    <mergeCell ref="D2061:D2065"/>
    <mergeCell ref="D2066:D2070"/>
    <mergeCell ref="D2071:D2075"/>
    <mergeCell ref="D2076:D2080"/>
    <mergeCell ref="D2081:D2085"/>
    <mergeCell ref="D2086:D2090"/>
    <mergeCell ref="D2091:D2095"/>
    <mergeCell ref="D2096:D2100"/>
    <mergeCell ref="D2101:D2105"/>
    <mergeCell ref="D2106:D2110"/>
    <mergeCell ref="D2111:D2115"/>
    <mergeCell ref="D2116:D2120"/>
    <mergeCell ref="D2121:D2125"/>
    <mergeCell ref="D2126:D2130"/>
    <mergeCell ref="D2131:D2135"/>
    <mergeCell ref="D2136:D2140"/>
    <mergeCell ref="D2141:D2145"/>
    <mergeCell ref="D2146:D2150"/>
    <mergeCell ref="D2151:D2155"/>
    <mergeCell ref="D2156:D2160"/>
    <mergeCell ref="D2161:D2165"/>
    <mergeCell ref="D2166:D2170"/>
    <mergeCell ref="D2171:D2175"/>
    <mergeCell ref="D2176:D2180"/>
    <mergeCell ref="D2181:D2185"/>
    <mergeCell ref="D2186:D2190"/>
    <mergeCell ref="D2191:D2195"/>
    <mergeCell ref="D2196:D2200"/>
    <mergeCell ref="D2201:D2205"/>
    <mergeCell ref="D2206:D2210"/>
    <mergeCell ref="D2211:D2215"/>
    <mergeCell ref="D2216:D2220"/>
    <mergeCell ref="D2221:D2225"/>
    <mergeCell ref="D2226:D2230"/>
    <mergeCell ref="D2231:D2235"/>
    <mergeCell ref="D2236:D2240"/>
    <mergeCell ref="D2241:D2245"/>
    <mergeCell ref="D2246:D2250"/>
    <mergeCell ref="D2251:D2255"/>
    <mergeCell ref="D2256:D2260"/>
    <mergeCell ref="D2261:D2265"/>
    <mergeCell ref="D2266:D2270"/>
    <mergeCell ref="D2271:D2275"/>
    <mergeCell ref="D2276:D2280"/>
    <mergeCell ref="D2281:D2285"/>
    <mergeCell ref="D2286:D2290"/>
    <mergeCell ref="D2291:D2295"/>
    <mergeCell ref="D2296:D2300"/>
    <mergeCell ref="D2301:D2305"/>
    <mergeCell ref="D2306:D2310"/>
    <mergeCell ref="D2311:D2315"/>
    <mergeCell ref="D2316:D2320"/>
    <mergeCell ref="D2321:D2325"/>
    <mergeCell ref="D2326:D2330"/>
    <mergeCell ref="D2331:D2335"/>
    <mergeCell ref="D2336:D2340"/>
    <mergeCell ref="D2341:D2345"/>
    <mergeCell ref="D2346:D2350"/>
    <mergeCell ref="D2351:D2355"/>
    <mergeCell ref="D2356:D2360"/>
    <mergeCell ref="D2361:D2365"/>
    <mergeCell ref="D2366:D2370"/>
    <mergeCell ref="D2371:D2375"/>
    <mergeCell ref="D2376:D2380"/>
    <mergeCell ref="D2381:D2385"/>
    <mergeCell ref="D2386:D2390"/>
    <mergeCell ref="D2391:D2395"/>
    <mergeCell ref="D2396:D2400"/>
    <mergeCell ref="D2401:D2405"/>
    <mergeCell ref="E1:E5"/>
    <mergeCell ref="E6:E10"/>
    <mergeCell ref="E11:E15"/>
    <mergeCell ref="E16:E20"/>
    <mergeCell ref="E21:E25"/>
    <mergeCell ref="E26:E30"/>
    <mergeCell ref="E31:E35"/>
    <mergeCell ref="E36:E40"/>
    <mergeCell ref="E41:E45"/>
    <mergeCell ref="E46:E50"/>
    <mergeCell ref="E51:E55"/>
    <mergeCell ref="E56:E60"/>
    <mergeCell ref="E61:E65"/>
    <mergeCell ref="E66:E70"/>
    <mergeCell ref="E71:E75"/>
    <mergeCell ref="E76:E80"/>
    <mergeCell ref="E81:E85"/>
    <mergeCell ref="E86:E90"/>
    <mergeCell ref="E91:E95"/>
    <mergeCell ref="E96:E100"/>
    <mergeCell ref="E101:E105"/>
    <mergeCell ref="E106:E110"/>
    <mergeCell ref="E111:E115"/>
    <mergeCell ref="E116:E120"/>
    <mergeCell ref="E121:E125"/>
    <mergeCell ref="E126:E130"/>
    <mergeCell ref="E131:E135"/>
    <mergeCell ref="E136:E140"/>
    <mergeCell ref="E141:E145"/>
    <mergeCell ref="E146:E150"/>
    <mergeCell ref="E151:E155"/>
    <mergeCell ref="E156:E160"/>
    <mergeCell ref="E161:E165"/>
    <mergeCell ref="E166:E170"/>
    <mergeCell ref="E171:E175"/>
    <mergeCell ref="E176:E180"/>
    <mergeCell ref="E181:E185"/>
    <mergeCell ref="E186:E190"/>
    <mergeCell ref="E191:E195"/>
    <mergeCell ref="E196:E200"/>
    <mergeCell ref="E201:E205"/>
    <mergeCell ref="E206:E210"/>
    <mergeCell ref="E211:E215"/>
    <mergeCell ref="E216:E220"/>
    <mergeCell ref="E221:E225"/>
    <mergeCell ref="E226:E230"/>
    <mergeCell ref="E231:E235"/>
    <mergeCell ref="E236:E240"/>
    <mergeCell ref="E241:E245"/>
    <mergeCell ref="E246:E250"/>
    <mergeCell ref="E251:E255"/>
    <mergeCell ref="E256:E260"/>
    <mergeCell ref="E261:E265"/>
    <mergeCell ref="E266:E270"/>
    <mergeCell ref="E271:E275"/>
    <mergeCell ref="E276:E280"/>
    <mergeCell ref="E281:E285"/>
    <mergeCell ref="E286:E290"/>
    <mergeCell ref="E291:E295"/>
    <mergeCell ref="E296:E300"/>
    <mergeCell ref="E301:E305"/>
    <mergeCell ref="E306:E310"/>
    <mergeCell ref="E311:E315"/>
    <mergeCell ref="E316:E320"/>
    <mergeCell ref="E321:E325"/>
    <mergeCell ref="E326:E330"/>
    <mergeCell ref="E331:E335"/>
    <mergeCell ref="E336:E340"/>
    <mergeCell ref="E341:E345"/>
    <mergeCell ref="E346:E350"/>
    <mergeCell ref="E351:E355"/>
    <mergeCell ref="E356:E360"/>
    <mergeCell ref="E361:E365"/>
    <mergeCell ref="E366:E370"/>
    <mergeCell ref="E371:E375"/>
    <mergeCell ref="E376:E380"/>
    <mergeCell ref="E381:E385"/>
    <mergeCell ref="E386:E390"/>
    <mergeCell ref="E391:E395"/>
    <mergeCell ref="E396:E400"/>
    <mergeCell ref="E401:E405"/>
    <mergeCell ref="E406:E410"/>
    <mergeCell ref="E411:E415"/>
    <mergeCell ref="E416:E420"/>
    <mergeCell ref="E421:E425"/>
    <mergeCell ref="E426:E430"/>
    <mergeCell ref="E431:E435"/>
    <mergeCell ref="E436:E440"/>
    <mergeCell ref="E441:E445"/>
    <mergeCell ref="E446:E450"/>
    <mergeCell ref="E451:E455"/>
    <mergeCell ref="E456:E460"/>
    <mergeCell ref="E461:E465"/>
    <mergeCell ref="E466:E470"/>
    <mergeCell ref="E471:E475"/>
    <mergeCell ref="E476:E480"/>
    <mergeCell ref="E481:E485"/>
    <mergeCell ref="E486:E490"/>
    <mergeCell ref="E491:E495"/>
    <mergeCell ref="E496:E500"/>
    <mergeCell ref="E501:E505"/>
    <mergeCell ref="E506:E510"/>
    <mergeCell ref="E511:E515"/>
    <mergeCell ref="E516:E520"/>
    <mergeCell ref="E521:E525"/>
    <mergeCell ref="E526:E530"/>
    <mergeCell ref="E531:E535"/>
    <mergeCell ref="E536:E540"/>
    <mergeCell ref="E541:E545"/>
    <mergeCell ref="E546:E550"/>
    <mergeCell ref="E551:E555"/>
    <mergeCell ref="E556:E560"/>
    <mergeCell ref="E561:E565"/>
    <mergeCell ref="E566:E570"/>
    <mergeCell ref="E571:E575"/>
    <mergeCell ref="E576:E580"/>
    <mergeCell ref="E581:E585"/>
    <mergeCell ref="E586:E590"/>
    <mergeCell ref="E591:E595"/>
    <mergeCell ref="E596:E600"/>
    <mergeCell ref="E601:E605"/>
    <mergeCell ref="E606:E610"/>
    <mergeCell ref="E611:E615"/>
    <mergeCell ref="E616:E620"/>
    <mergeCell ref="E621:E625"/>
    <mergeCell ref="E626:E630"/>
    <mergeCell ref="E631:E635"/>
    <mergeCell ref="E636:E640"/>
    <mergeCell ref="E641:E645"/>
    <mergeCell ref="E646:E650"/>
    <mergeCell ref="E651:E655"/>
    <mergeCell ref="E656:E660"/>
    <mergeCell ref="E661:E665"/>
    <mergeCell ref="E666:E670"/>
    <mergeCell ref="E671:E675"/>
    <mergeCell ref="E676:E680"/>
    <mergeCell ref="E681:E685"/>
    <mergeCell ref="E686:E690"/>
    <mergeCell ref="E691:E695"/>
    <mergeCell ref="E696:E700"/>
    <mergeCell ref="E701:E705"/>
    <mergeCell ref="E706:E710"/>
    <mergeCell ref="E711:E715"/>
    <mergeCell ref="E716:E720"/>
    <mergeCell ref="E721:E725"/>
    <mergeCell ref="E726:E730"/>
    <mergeCell ref="E731:E735"/>
    <mergeCell ref="E736:E740"/>
    <mergeCell ref="E741:E745"/>
    <mergeCell ref="E746:E750"/>
    <mergeCell ref="E751:E755"/>
    <mergeCell ref="E756:E760"/>
    <mergeCell ref="E761:E765"/>
    <mergeCell ref="E766:E770"/>
    <mergeCell ref="E771:E775"/>
    <mergeCell ref="E776:E780"/>
    <mergeCell ref="E781:E785"/>
    <mergeCell ref="E786:E790"/>
    <mergeCell ref="E791:E795"/>
    <mergeCell ref="E796:E800"/>
    <mergeCell ref="E801:E805"/>
    <mergeCell ref="E806:E810"/>
    <mergeCell ref="E811:E815"/>
    <mergeCell ref="E816:E820"/>
    <mergeCell ref="E821:E825"/>
    <mergeCell ref="E826:E830"/>
    <mergeCell ref="E831:E835"/>
    <mergeCell ref="E836:E840"/>
    <mergeCell ref="E841:E845"/>
    <mergeCell ref="E846:E850"/>
    <mergeCell ref="E851:E855"/>
    <mergeCell ref="E856:E860"/>
    <mergeCell ref="E861:E865"/>
    <mergeCell ref="E866:E870"/>
    <mergeCell ref="E871:E875"/>
    <mergeCell ref="E876:E880"/>
    <mergeCell ref="E881:E885"/>
    <mergeCell ref="E886:E890"/>
    <mergeCell ref="E891:E895"/>
    <mergeCell ref="E896:E900"/>
    <mergeCell ref="E901:E905"/>
    <mergeCell ref="E906:E910"/>
    <mergeCell ref="E911:E915"/>
    <mergeCell ref="E916:E920"/>
    <mergeCell ref="E921:E925"/>
    <mergeCell ref="E926:E930"/>
    <mergeCell ref="E931:E935"/>
    <mergeCell ref="E936:E940"/>
    <mergeCell ref="E941:E945"/>
    <mergeCell ref="E946:E950"/>
    <mergeCell ref="E951:E955"/>
    <mergeCell ref="E956:E960"/>
    <mergeCell ref="E961:E965"/>
    <mergeCell ref="E966:E970"/>
    <mergeCell ref="E971:E975"/>
    <mergeCell ref="E976:E980"/>
    <mergeCell ref="E981:E985"/>
    <mergeCell ref="E986:E990"/>
    <mergeCell ref="E991:E995"/>
    <mergeCell ref="E996:E1000"/>
    <mergeCell ref="E1001:E1005"/>
    <mergeCell ref="E1006:E1010"/>
    <mergeCell ref="E1011:E1015"/>
    <mergeCell ref="E1016:E1020"/>
    <mergeCell ref="E1021:E1025"/>
    <mergeCell ref="E1026:E1030"/>
    <mergeCell ref="E1031:E1035"/>
    <mergeCell ref="E1036:E1040"/>
    <mergeCell ref="E1041:E1045"/>
    <mergeCell ref="E1046:E1050"/>
    <mergeCell ref="E1051:E1055"/>
    <mergeCell ref="E1056:E1060"/>
    <mergeCell ref="E1061:E1065"/>
    <mergeCell ref="E1066:E1070"/>
    <mergeCell ref="E1071:E1075"/>
    <mergeCell ref="E1076:E1080"/>
    <mergeCell ref="E1081:E1085"/>
    <mergeCell ref="E1086:E1090"/>
    <mergeCell ref="E1091:E1095"/>
    <mergeCell ref="E1096:E1100"/>
    <mergeCell ref="E1101:E1105"/>
    <mergeCell ref="E1106:E1110"/>
    <mergeCell ref="E1111:E1115"/>
    <mergeCell ref="E1116:E1120"/>
    <mergeCell ref="E1121:E1125"/>
    <mergeCell ref="E1126:E1130"/>
    <mergeCell ref="E1131:E1135"/>
    <mergeCell ref="E1136:E1140"/>
    <mergeCell ref="E1141:E1145"/>
    <mergeCell ref="E1146:E1150"/>
    <mergeCell ref="E1151:E1155"/>
    <mergeCell ref="E1156:E1160"/>
    <mergeCell ref="E1161:E1165"/>
    <mergeCell ref="E1166:E1170"/>
    <mergeCell ref="E1171:E1175"/>
    <mergeCell ref="E1176:E1180"/>
    <mergeCell ref="E1181:E1185"/>
    <mergeCell ref="E1186:E1190"/>
    <mergeCell ref="E1191:E1195"/>
    <mergeCell ref="E1196:E1200"/>
    <mergeCell ref="E1201:E1205"/>
    <mergeCell ref="E1206:E1210"/>
    <mergeCell ref="E1211:E1215"/>
    <mergeCell ref="E1216:E1220"/>
    <mergeCell ref="E1221:E1225"/>
    <mergeCell ref="E1226:E1230"/>
    <mergeCell ref="E1231:E1235"/>
    <mergeCell ref="E1236:E1240"/>
    <mergeCell ref="E1241:E1245"/>
    <mergeCell ref="E1246:E1250"/>
    <mergeCell ref="E1251:E1255"/>
    <mergeCell ref="E1256:E1260"/>
    <mergeCell ref="E1261:E1265"/>
    <mergeCell ref="E1266:E1270"/>
    <mergeCell ref="E1271:E1275"/>
    <mergeCell ref="E1276:E1280"/>
    <mergeCell ref="E1281:E1285"/>
    <mergeCell ref="E1286:E1290"/>
    <mergeCell ref="E1291:E1295"/>
    <mergeCell ref="E1296:E1300"/>
    <mergeCell ref="E1301:E1305"/>
    <mergeCell ref="E1306:E1310"/>
    <mergeCell ref="E1311:E1315"/>
    <mergeCell ref="E1316:E1320"/>
    <mergeCell ref="E1321:E1325"/>
    <mergeCell ref="E1326:E1330"/>
    <mergeCell ref="E1331:E1335"/>
    <mergeCell ref="E1336:E1340"/>
    <mergeCell ref="E1341:E1345"/>
    <mergeCell ref="E1346:E1350"/>
    <mergeCell ref="E1351:E1355"/>
    <mergeCell ref="E1356:E1360"/>
    <mergeCell ref="E1361:E1365"/>
    <mergeCell ref="E1366:E1370"/>
    <mergeCell ref="E1371:E1375"/>
    <mergeCell ref="E1376:E1380"/>
    <mergeCell ref="E1381:E1385"/>
    <mergeCell ref="E1386:E1390"/>
    <mergeCell ref="E1391:E1395"/>
    <mergeCell ref="E1396:E1400"/>
    <mergeCell ref="E1401:E1405"/>
    <mergeCell ref="E1406:E1410"/>
    <mergeCell ref="E1411:E1415"/>
    <mergeCell ref="E1416:E1420"/>
    <mergeCell ref="E1421:E1425"/>
    <mergeCell ref="E1426:E1430"/>
    <mergeCell ref="E1431:E1435"/>
    <mergeCell ref="E1436:E1440"/>
    <mergeCell ref="E1441:E1445"/>
    <mergeCell ref="E1446:E1450"/>
    <mergeCell ref="E1451:E1455"/>
    <mergeCell ref="E1456:E1460"/>
    <mergeCell ref="E1461:E1465"/>
    <mergeCell ref="E1466:E1470"/>
    <mergeCell ref="E1471:E1475"/>
    <mergeCell ref="E1476:E1480"/>
    <mergeCell ref="E1481:E1485"/>
    <mergeCell ref="E1486:E1490"/>
    <mergeCell ref="E1491:E1495"/>
    <mergeCell ref="E1496:E1500"/>
    <mergeCell ref="E1501:E1505"/>
    <mergeCell ref="E1506:E1510"/>
    <mergeCell ref="E1511:E1515"/>
    <mergeCell ref="E1516:E1520"/>
    <mergeCell ref="E1521:E1525"/>
    <mergeCell ref="E1526:E1530"/>
    <mergeCell ref="E1531:E1535"/>
    <mergeCell ref="E1536:E1540"/>
    <mergeCell ref="E1541:E1545"/>
    <mergeCell ref="E1546:E1550"/>
    <mergeCell ref="E1551:E1555"/>
    <mergeCell ref="E1556:E1560"/>
    <mergeCell ref="E1561:E1565"/>
    <mergeCell ref="E1566:E1570"/>
    <mergeCell ref="E1571:E1575"/>
    <mergeCell ref="E1576:E1580"/>
    <mergeCell ref="E1581:E1585"/>
    <mergeCell ref="E1586:E1590"/>
    <mergeCell ref="E1591:E1595"/>
    <mergeCell ref="E1596:E1600"/>
    <mergeCell ref="E1601:E1605"/>
    <mergeCell ref="E1606:E1610"/>
    <mergeCell ref="E1611:E1615"/>
    <mergeCell ref="E1616:E1620"/>
    <mergeCell ref="E1621:E1625"/>
    <mergeCell ref="E1626:E1630"/>
    <mergeCell ref="E1631:E1635"/>
    <mergeCell ref="E1636:E1640"/>
    <mergeCell ref="E1641:E1645"/>
    <mergeCell ref="E1646:E1650"/>
    <mergeCell ref="E1651:E1655"/>
    <mergeCell ref="E1656:E1660"/>
    <mergeCell ref="E1661:E1665"/>
    <mergeCell ref="E1666:E1670"/>
    <mergeCell ref="E1671:E1675"/>
    <mergeCell ref="E1676:E1680"/>
    <mergeCell ref="E1681:E1685"/>
    <mergeCell ref="E1686:E1690"/>
    <mergeCell ref="E1691:E1695"/>
    <mergeCell ref="E1696:E1700"/>
    <mergeCell ref="E1701:E1705"/>
    <mergeCell ref="E1706:E1710"/>
    <mergeCell ref="E1711:E1715"/>
    <mergeCell ref="E1716:E1720"/>
    <mergeCell ref="E1721:E1725"/>
    <mergeCell ref="E1726:E1730"/>
    <mergeCell ref="E1731:E1735"/>
    <mergeCell ref="E1736:E1740"/>
    <mergeCell ref="E1741:E1745"/>
    <mergeCell ref="E1746:E1750"/>
    <mergeCell ref="E1751:E1755"/>
    <mergeCell ref="E1756:E1760"/>
    <mergeCell ref="E1761:E1765"/>
    <mergeCell ref="E1766:E1770"/>
    <mergeCell ref="E1771:E1775"/>
    <mergeCell ref="E1776:E1780"/>
    <mergeCell ref="E1781:E1785"/>
    <mergeCell ref="E1786:E1790"/>
    <mergeCell ref="E1791:E1795"/>
    <mergeCell ref="E1796:E1800"/>
    <mergeCell ref="E1801:E1805"/>
    <mergeCell ref="E1806:E1810"/>
    <mergeCell ref="E1811:E1815"/>
    <mergeCell ref="E1816:E1820"/>
    <mergeCell ref="E1821:E1825"/>
    <mergeCell ref="E1826:E1830"/>
    <mergeCell ref="E1831:E1835"/>
    <mergeCell ref="E1836:E1840"/>
    <mergeCell ref="E1841:E1845"/>
    <mergeCell ref="E1846:E1850"/>
    <mergeCell ref="E1851:E1855"/>
    <mergeCell ref="E1856:E1860"/>
    <mergeCell ref="E1861:E1865"/>
    <mergeCell ref="E1866:E1870"/>
    <mergeCell ref="E1871:E1875"/>
    <mergeCell ref="E1876:E1880"/>
    <mergeCell ref="E1881:E1885"/>
    <mergeCell ref="E1886:E1890"/>
    <mergeCell ref="E1891:E1895"/>
    <mergeCell ref="E1896:E1900"/>
    <mergeCell ref="E1901:E1905"/>
    <mergeCell ref="E1906:E1910"/>
    <mergeCell ref="E1911:E1915"/>
    <mergeCell ref="E1916:E1920"/>
    <mergeCell ref="E1921:E1925"/>
    <mergeCell ref="E1926:E1930"/>
    <mergeCell ref="E1931:E1935"/>
    <mergeCell ref="E1936:E1940"/>
    <mergeCell ref="E1941:E1945"/>
    <mergeCell ref="E1946:E1950"/>
    <mergeCell ref="E1951:E1955"/>
    <mergeCell ref="E1956:E1960"/>
    <mergeCell ref="E1961:E1965"/>
    <mergeCell ref="E1966:E1970"/>
    <mergeCell ref="E1971:E1975"/>
    <mergeCell ref="E1976:E1980"/>
    <mergeCell ref="E1981:E1985"/>
    <mergeCell ref="E1986:E1990"/>
    <mergeCell ref="E1991:E1995"/>
    <mergeCell ref="E1996:E2000"/>
    <mergeCell ref="E2001:E2005"/>
    <mergeCell ref="E2006:E2010"/>
    <mergeCell ref="E2011:E2015"/>
    <mergeCell ref="E2016:E2020"/>
    <mergeCell ref="E2021:E2025"/>
    <mergeCell ref="E2026:E2030"/>
    <mergeCell ref="E2031:E2035"/>
    <mergeCell ref="E2036:E2040"/>
    <mergeCell ref="E2041:E2045"/>
    <mergeCell ref="E2046:E2050"/>
    <mergeCell ref="E2051:E2055"/>
    <mergeCell ref="E2056:E2060"/>
    <mergeCell ref="E2061:E2065"/>
    <mergeCell ref="E2066:E2070"/>
    <mergeCell ref="E2071:E2075"/>
    <mergeCell ref="E2076:E2080"/>
    <mergeCell ref="E2081:E2085"/>
    <mergeCell ref="E2086:E2090"/>
    <mergeCell ref="E2091:E2095"/>
    <mergeCell ref="E2096:E2100"/>
    <mergeCell ref="E2101:E2105"/>
    <mergeCell ref="E2106:E2110"/>
    <mergeCell ref="E2111:E2115"/>
    <mergeCell ref="E2116:E2120"/>
    <mergeCell ref="E2121:E2125"/>
    <mergeCell ref="E2126:E2130"/>
    <mergeCell ref="E2131:E2135"/>
    <mergeCell ref="E2136:E2140"/>
    <mergeCell ref="E2141:E2145"/>
    <mergeCell ref="E2146:E2150"/>
    <mergeCell ref="E2151:E2155"/>
    <mergeCell ref="E2156:E2160"/>
    <mergeCell ref="E2161:E2165"/>
    <mergeCell ref="E2166:E2170"/>
    <mergeCell ref="E2171:E2175"/>
    <mergeCell ref="E2176:E2180"/>
    <mergeCell ref="E2181:E2185"/>
    <mergeCell ref="E2186:E2190"/>
    <mergeCell ref="E2191:E2195"/>
    <mergeCell ref="E2196:E2200"/>
    <mergeCell ref="E2201:E2205"/>
    <mergeCell ref="E2206:E2210"/>
    <mergeCell ref="E2211:E2215"/>
    <mergeCell ref="E2216:E2220"/>
    <mergeCell ref="E2221:E2225"/>
    <mergeCell ref="E2226:E2230"/>
    <mergeCell ref="E2231:E2235"/>
    <mergeCell ref="E2236:E2240"/>
    <mergeCell ref="E2241:E2245"/>
    <mergeCell ref="E2246:E2250"/>
    <mergeCell ref="E2251:E2255"/>
    <mergeCell ref="E2256:E2260"/>
    <mergeCell ref="E2261:E2265"/>
    <mergeCell ref="E2266:E2270"/>
    <mergeCell ref="E2271:E2275"/>
    <mergeCell ref="E2276:E2280"/>
    <mergeCell ref="E2281:E2285"/>
    <mergeCell ref="E2286:E2290"/>
    <mergeCell ref="E2291:E2295"/>
    <mergeCell ref="E2296:E2300"/>
    <mergeCell ref="E2301:E2305"/>
    <mergeCell ref="E2306:E2310"/>
    <mergeCell ref="E2311:E2315"/>
    <mergeCell ref="E2316:E2320"/>
    <mergeCell ref="E2321:E2325"/>
    <mergeCell ref="E2326:E2330"/>
    <mergeCell ref="E2331:E2335"/>
    <mergeCell ref="E2336:E2340"/>
    <mergeCell ref="E2341:E2345"/>
    <mergeCell ref="E2346:E2350"/>
    <mergeCell ref="E2351:E2355"/>
    <mergeCell ref="E2356:E2360"/>
    <mergeCell ref="E2361:E2365"/>
    <mergeCell ref="E2366:E2370"/>
    <mergeCell ref="E2371:E2375"/>
    <mergeCell ref="E2376:E2380"/>
    <mergeCell ref="E2381:E2385"/>
    <mergeCell ref="E2386:E2390"/>
    <mergeCell ref="E2391:E2395"/>
    <mergeCell ref="E2396:E2400"/>
    <mergeCell ref="E2401:E2405"/>
  </mergeCells>
  <hyperlinks>
    <hyperlink ref="B1" r:id="rId1" display="Penyediaan Makanan tambahan (MT-Balita) pada Balita Gizi kurang spse 4.3"/>
    <hyperlink ref="D1" r:id="rId2" display="Tender Sudah Selesai"/>
    <hyperlink ref="B6" r:id="rId3" display="Penyediaan Makanan Tambahan (MT-Bumil) pada Ibu Hamil kurang Energi Kronik (KEK) Tender Batal spse 4.3"/>
    <hyperlink ref="D6" r:id="rId4" display="Tender Batal"/>
    <hyperlink ref="B11" r:id="rId5" display="Belanja Modal Pengadaan Alat-Alat Angkutan Darat Bermotor spse 4.3"/>
    <hyperlink ref="D11" r:id="rId6" display="Tender Sudah Selesai"/>
    <hyperlink ref="B16" r:id="rId7" display="Pengadaan Mesin Cetak spse 4.3"/>
    <hyperlink ref="D16" r:id="rId8" display="Tender Sudah Selesai"/>
    <hyperlink ref="B21" r:id="rId9" display="Belanja Modal Pengadaan AC/kipas angin spse 4.3"/>
    <hyperlink ref="D21" r:id="rId10" display="Tender Sudah Selesai"/>
    <hyperlink ref="B26" r:id="rId11" display="Belanja Modal Pengadaan Alat-Alat Angkutan Darat Bermotor Tender Batal spse 4.3"/>
    <hyperlink ref="D26" r:id="rId12" display="Tender Batal"/>
    <hyperlink ref="B31" r:id="rId13" display="Peningkatan Badan Jalan Menggunakan LPC dan Gorong-Gorong serta Jembatan Dsn Sebetuk Bingaro Kec. Ngabang Kab. Landak Tender Ulang spse 4.3"/>
    <hyperlink ref="D31" r:id="rId14" display="Tender Sudah Selesai"/>
    <hyperlink ref="B36" r:id="rId15" display="Pengadaan Mesin Cetak Tender Gagal spse 4.3"/>
    <hyperlink ref="D36" r:id="rId16" display="Tender Batal"/>
    <hyperlink ref="B41" r:id="rId17" display="Pembangunan Unit Sekolah Baru SMA Pangkalan Teluk Kec. Nanga Tayap spse 4.3"/>
    <hyperlink ref="D41" r:id="rId18" display="Tender Sudah Selesai"/>
    <hyperlink ref="B46" r:id="rId19" display="Renovasi Pendopo/Rumah Jabatan Gubernur Kalimantan Barat-- spse 4.3"/>
    <hyperlink ref="D46" r:id="rId20" display="Tender Sudah Selesai"/>
    <hyperlink ref="B51" r:id="rId21" display="PENINGKATAN JALAN AKSES VIP ROOM BANDARA SUPADIO spse 4.3"/>
    <hyperlink ref="D51" r:id="rId22" display="Tender Sudah Selesai"/>
    <hyperlink ref="B56" r:id="rId23" display="Belanja Modal Pengadaan AC/kipas angin Tender Batal spse 4.3"/>
    <hyperlink ref="D56" r:id="rId24" display="Tender Batal"/>
    <hyperlink ref="B61" r:id="rId25" display="Belanja Modal Pengadaan Peralatan Jaringan Komputer spse 4.3"/>
    <hyperlink ref="D61" r:id="rId26" display="Tender Sudah Selesai"/>
    <hyperlink ref="B66" r:id="rId27" display="Belanja modal Pengadaan mesin pompa air Tender Ulang spse 4.3"/>
    <hyperlink ref="D66" r:id="rId28" display="Tender Sudah Selesai"/>
    <hyperlink ref="B71" r:id="rId29" display="Belanja Modal Pengadaan Alat-alat Angkutan Darat Ambulans Tender Batal spse 4.3"/>
    <hyperlink ref="D71" r:id="rId30" display="Tender Batal"/>
    <hyperlink ref="B76" r:id="rId31" display="Penyediaan Makanan Tambahan (MT-Bumil) pada Ibu Hamil Kurang Energi Kronik (KEK) Tender Gagal Tender Ulang spse 4.3"/>
    <hyperlink ref="D76" r:id="rId32" display="Tender Batal"/>
    <hyperlink ref="B81" r:id="rId33" display="Penyediaan Makanan tambahan (MT-Balita) pada Balita Gizi kurang Tender Gagal Tender Ulang spse 4.3"/>
    <hyperlink ref="D81" r:id="rId34" display="Tender Batal"/>
    <hyperlink ref="B86" r:id="rId35" display="Belanja Modal Pengadaan Karpet / Permadani spse 4.3"/>
    <hyperlink ref="D86" r:id="rId36" display="Tender Sudah Selesai"/>
    <hyperlink ref="B91" r:id="rId37" display="Peningkatan Badan Jalan Menggunakan LPC dan Gorong-Gorong serta Jembatan Dsn Sebetuk Bingaro Kec. Ngabang Kab. Landak Tender Gagal Tender Ulang spse 4.3"/>
    <hyperlink ref="D91" r:id="rId38" display="Tender Batal"/>
    <hyperlink ref="B96" r:id="rId39" display="Pembukaan Jalan Baru Desa Nanga Suhaid, Kecamatan Suhaid, Kabupaten Kapuas Hulu Tender Ulang spse 4.3"/>
    <hyperlink ref="D96" r:id="rId40" display="Tender Sudah Selesai"/>
    <hyperlink ref="B101" r:id="rId41" display="Jalan Lingkungan Jl. Pelita Desa Purun Besar Tender Gagal Tender Ulang spse 4.3"/>
    <hyperlink ref="D101" r:id="rId42" display="Tender Batal"/>
    <hyperlink ref="B106" r:id="rId43" display="Jalan Lingkungan Jl. Amirudin Khatab Desa Nusapati Tender Gagal Tender Ulang spse 4.3"/>
    <hyperlink ref="D106" r:id="rId44" display="Tender Batal"/>
    <hyperlink ref="B111" r:id="rId45" display="Pembangunan dan Peningkatan RTNH spse 4.3"/>
    <hyperlink ref="D111" r:id="rId46" display="Tender Sudah Selesai"/>
    <hyperlink ref="B116" r:id="rId47" display="Revitalisasi PLTS Komunal 15 kWp Tender Gagal Tender Ulang spse 4.3"/>
    <hyperlink ref="D116" r:id="rId48" display="Tender Batal"/>
    <hyperlink ref="B121" r:id="rId49" display="Fasilitasi bantuan bibit durian dalam rangka pegembangan kawasan durian dan fasilitasi bantuan saprodi dalam rangaka pengembangan kawasan durian (80 Ha) di Kabupaten Sanggau spse 4.3"/>
    <hyperlink ref="D121" r:id="rId50" display="Tender Sudah Selesai"/>
    <hyperlink ref="B126" r:id="rId51" display="Fasilitasi bantuan sarana produksi lainnya untuk kawasan pisang (30 Ha) di kabupaten Kubu Raya, Fasilitasi bantuan sarana produksi lainnya untuk kawasan pisang (30 Ha) di Kabupaten Bengkayang dan Fasilitasi bantuan sarana produksi lainnya untuk kawasan pisang (30 Ha) di Kabupaten Mempawah Tender Ulang spse 4.3"/>
    <hyperlink ref="D126" r:id="rId52" display="Tender Sudah Selesai"/>
    <hyperlink ref="B131" r:id="rId53" display="Bantuan pupuk organik untuk kawasan cabai dan bantuan sarana produksi lainnya untuk kawasan cabai Tender Ulang spse 4.3"/>
    <hyperlink ref="D131" r:id="rId54" display="Tender Sudah Selesai"/>
    <hyperlink ref="B136" r:id="rId55" display="Belanja modal Pengadaan mesin pompa air Tender Gagal spse 4.3"/>
    <hyperlink ref="D136" r:id="rId56" display="Tender Batal"/>
    <hyperlink ref="B141" r:id="rId57" display="Penyediaan Makanan tambahan (MT-Balita) pada Balita Gizi kurang Tender Gagal spse 4.3"/>
    <hyperlink ref="D141" r:id="rId58" display="Tender Batal"/>
    <hyperlink ref="B146" r:id="rId59" display="Belanja Modal Peningkatan Gedung Kantor spse 4.3"/>
    <hyperlink ref="D146" r:id="rId60" display="Tender Sudah Selesai"/>
    <hyperlink ref="B151" r:id="rId61" display="Revitalisasi PLTS Komunal 15 kWp Tender Gagal spse 4.3"/>
    <hyperlink ref="D151" r:id="rId62" display="Tender Batal"/>
    <hyperlink ref="B156" r:id="rId63" display="Belanja Modal Pengadaan Meja Rapat spse 4.3"/>
    <hyperlink ref="D156" r:id="rId64" display="Tender Sudah Selesai"/>
    <hyperlink ref="B161" r:id="rId65" display="Pengadaan Pakan Ternak spse 4.3"/>
    <hyperlink ref="D161" r:id="rId66" display="Tender Sudah Selesai"/>
    <hyperlink ref="B166" r:id="rId67" display="ZONA 2 BANTUAN SAPRODI PADI BEBAS RESIDU (PUPUK ORGANIK, PUPUK HAYATI, PESTISIDA HAYATI) Tender Gagal Tender Ulang spse 4.3"/>
    <hyperlink ref="D166" r:id="rId68" display="Tender Batal"/>
    <hyperlink ref="B171" r:id="rId69" display="Perencanaan Revitalisasi Gedung SMA Negeri 4 Seleksi Batal spse 4.3"/>
    <hyperlink ref="D171" r:id="rId70" display="Seleksi Batal"/>
    <hyperlink ref="B176" r:id="rId71" display="Perencanaan Pagar RSUD Soedarso Seleksi Gagal spse 4.3"/>
    <hyperlink ref="D176" r:id="rId72" display="Seleksi Batal"/>
    <hyperlink ref="B181" r:id="rId73" display="Perencanaan Pemb Pagar Gedung Museum Seleksi Gagal spse 4.3"/>
    <hyperlink ref="D181" r:id="rId74" display="Seleksi Batal"/>
    <hyperlink ref="B186" r:id="rId75" display="Perencanaan Pembangunan Gedung Pertemuan Dekranasda Provinsi Seleksi Batal spse 4.3"/>
    <hyperlink ref="D186" r:id="rId76" display="Seleksi Batal"/>
    <hyperlink ref="B191" r:id="rId77" display="Perencanaan Pembangunan Gedung Arsip 3 Lantai Seleksi Batal spse 4.3"/>
    <hyperlink ref="D191" r:id="rId78" display="Seleksi Batal"/>
    <hyperlink ref="B196" r:id="rId79" display="Perencanaan Pembangunan Gedung SMA Negeri 11 Pontianak Seleksi Batal spse 4.3"/>
    <hyperlink ref="D196" r:id="rId80" display="Seleksi Batal"/>
    <hyperlink ref="B201" r:id="rId81" display="Perencanaan Pembangunan Gedung Sertifikasi Tenaga Kerja spse 4.3"/>
    <hyperlink ref="D201" r:id="rId82" display="Tender Sudah Selesai"/>
    <hyperlink ref="B206" r:id="rId83" display="Perencanaan Gedung Kantor Utama SPN di Singkawang Seleksi Batal spse 4.3"/>
    <hyperlink ref="D206" r:id="rId84" display="Seleksi Batal"/>
    <hyperlink ref="B211" r:id="rId85" display="Jalan Lingkungan Jl. Garuda Desa Galang Tender Ulang spse 4.3"/>
    <hyperlink ref="D211" r:id="rId86" display="Tender Sudah Selesai"/>
    <hyperlink ref="B216" r:id="rId87" display="PAKET 3B, PERENCANAAN TEKNIS JEMBATAN RUAS JALAN SIMPANG SUNGAI GANTANG - TELOK BATU spse 4.3"/>
    <hyperlink ref="D216" r:id="rId88" display="Tender Sudah Selesai"/>
    <hyperlink ref="B221" r:id="rId89" display="PAKET 2B PERENCANAAN JEMBATAN SUNGAI KUBU BESAR spse 4.3"/>
    <hyperlink ref="D221" r:id="rId90" display="Tender Sudah Selesai"/>
    <hyperlink ref="B226" r:id="rId91" display="PAKET 1B, PERENCANAAN JALAN PONTIANAK - SEI. KAKAP spse 4.3"/>
    <hyperlink ref="D226" r:id="rId92" display="Tender Sudah Selesai"/>
    <hyperlink ref="B231" r:id="rId93" display="Bantuan pupuk anorganik untuk kawasan cabai spse 4.3"/>
    <hyperlink ref="D231" r:id="rId94" display="Tender Sudah Selesai"/>
    <hyperlink ref="B236" r:id="rId95" display="Fasilitasi bantuan bibit jeruk (Ekstensifikasi) dan fasilitasi bantuan pupuk pabrikan untuk kawasan jeruk (200 Ha) (Ekstensifikasi) spse 4.3"/>
    <hyperlink ref="D236" r:id="rId96" display="Tender Sudah Selesai"/>
    <hyperlink ref="B241" r:id="rId97" display="Fasilitasi bantuan sarana produksi lainnya untuk kawasan jeruk (Intensifikasi) dan Fasilitasi bantuan pupuk pabrikan untuk kawasan jeruk (500 Ha) (Intensifikasi) spse 4.3"/>
    <hyperlink ref="D241" r:id="rId98" display="Tender Sudah Selesai"/>
    <hyperlink ref="B246" r:id="rId99" display="Fasilitasi bantuan sarana produksi lainnya untuk kawasan pisang (30 Ha) di kabupaten Kubu Raya, Fasilitasi bantuan sarana produksi lainnya untuk kawasan pisang (30 Ha) di Kabupaten Bengkayang dan Fasilitasi bantuan sarana produksi lainnya untuk kawasan pisang (30 Ha) di Kabupaten Mempawah Tender Gagal spse 4.3"/>
    <hyperlink ref="D246" r:id="rId100" display="Tender Batal"/>
    <hyperlink ref="B251" r:id="rId101" display="Bantuan pupuk organik untuk kawasan bawang merah dengan umbi dan bantuan pupuk anorganik untuk kawasan bawang merah dengan umbi spse 4.3"/>
    <hyperlink ref="D251" r:id="rId102" display="Tender Sudah Selesai"/>
    <hyperlink ref="B256" r:id="rId103" display="Fasilitasi bantuan bibit durian dalam rangka pegembangan kawasan durian dan fasilitasi bantuan saprodi dalam rangaka pengembangan kawasan durian (80 Ha) di Kabupaten Sanggau Tender Batal spse 4.3"/>
    <hyperlink ref="D256" r:id="rId104" display="Tender Batal"/>
    <hyperlink ref="B261" r:id="rId105" display="Bantuan pupuk organik untuk kawasan cabai dan bantuan sarana produksi lainnya untuk kawasan cabai Tender Gagal spse 4.3"/>
    <hyperlink ref="D261" r:id="rId106" display="Tender Batal"/>
    <hyperlink ref="B266" r:id="rId107" display="Bantuan Sarana Produksi Sayuran di Kabupaten Sambas spse 4.3"/>
    <hyperlink ref="D266" r:id="rId108" display="Tender Sudah Selesai"/>
    <hyperlink ref="B271" r:id="rId109" display="Bantuan Benih Bawang Merah dengan Umbi (Kabupaten Bengkayang) spse 4.3"/>
    <hyperlink ref="D271" r:id="rId110" display="Tender Sudah Selesai"/>
    <hyperlink ref="B276" r:id="rId111" display="Bantuan Benih Bawang Putih Di Kabupaten Bengkayang spse 4.3"/>
    <hyperlink ref="D276" r:id="rId112" display="Tender Sudah Selesai"/>
    <hyperlink ref="B281" r:id="rId113" display="Bantuan Benih Bawang Merah dengan Umbi (Kabupaten Kuburaya) spse 4.3"/>
    <hyperlink ref="D281" r:id="rId114" display="Tender Sudah Selesai"/>
    <hyperlink ref="B286" r:id="rId115" display="Bantuan Benih Bawang Merah dengan Umbi (Kabupaten Landak) spse 4.3"/>
    <hyperlink ref="D286" r:id="rId116" display="Tender Sudah Selesai"/>
    <hyperlink ref="B291" r:id="rId117" display="Bantuan Benih Bawang Merah TSS spse 4.3"/>
    <hyperlink ref="D291" r:id="rId118" display="Tender Sudah Selesai"/>
    <hyperlink ref="B296" r:id="rId119" display="Pembukaan Jalan Baru Desa Nanga Suhaid, Kecamatan Suhaid, Kabupaten Kapuas Hulu Tender Gagal spse 4.3 Menyampaikan Penawaran Ulang"/>
    <hyperlink ref="D296" r:id="rId120" display="Tender Batal"/>
    <hyperlink ref="B301" r:id="rId121" display="Bangunan Jembatan Sungai Segak Sui. Segak RT.06 RW.02 Dudun Sui. Beliung Desa Sepakat Jaya Kec. Nanga Tayap Kab. Ketapang spse 4.3"/>
    <hyperlink ref="D301" r:id="rId122" display="Tender Sudah Selesai"/>
    <hyperlink ref="B306" r:id="rId123" display="Peningkatan Badan Jalan Menggunakan LPC dan Gorong-Gorong serta Jembatan Dsn Sebetuk Bingaro Kec. Ngabang Kab. Landak Tender Gagal spse 4.3 Menyampaikan Penawaran Ulang"/>
    <hyperlink ref="D306" r:id="rId124" display="Tender Batal"/>
    <hyperlink ref="B311" r:id="rId125" display="Bantuan Benih Bawang Merah dengan Umbi (Kabupaten Sanggau) spse 4.3"/>
    <hyperlink ref="D311" r:id="rId126" display="Tender Sudah Selesai"/>
    <hyperlink ref="B316" r:id="rId127" display="Bantuan Benih Bawang Merah dengan Umbi (Kabupaten Sambas) spse 4.3"/>
    <hyperlink ref="D316" r:id="rId128" display="Tender Sudah Selesai"/>
    <hyperlink ref="B321" r:id="rId129" display="Pengadaan N2 Cair spse 4.3"/>
    <hyperlink ref="D321" r:id="rId130" display="Tender Sudah Selesai"/>
    <hyperlink ref="B326" r:id="rId131" display="Obor Pangan Lestari (Sarana Vertikal Garden Hidroponik) spse 4.3"/>
    <hyperlink ref="D326" r:id="rId132" display="Tender Sudah Selesai"/>
    <hyperlink ref="B331" r:id="rId133" display="Jalan Lingkungan Jl. Prt. Lintang Bujur Desa Peniti Besar Tender Ulang spse 4.3"/>
    <hyperlink ref="D331" r:id="rId134" display="Tender Sudah Selesai"/>
    <hyperlink ref="B336" r:id="rId135" display="Bantuan Pupuk untuk Kawasan Bawang Merah TSS spse 4.3"/>
    <hyperlink ref="D336" r:id="rId136" display="Tender Sudah Selesai"/>
    <hyperlink ref="B341" r:id="rId137" display="Pembangunan SMAN Tebang Kacang Tender Gagal Tender Ulang spse 4.3"/>
    <hyperlink ref="D341" r:id="rId138" display="Tender Batal"/>
    <hyperlink ref="B346" r:id="rId139" display="Konsultasi Pengawasan Konstruksi Pembuatan Sekat Kanal Seleksi Ulang spse 4.3"/>
    <hyperlink ref="D346" r:id="rId140" display="Tender Sudah Selesai"/>
    <hyperlink ref="B351" r:id="rId141" display="Pengadaan Meubelair Pendukung Pembelajaran Fakultas MIPA Universitas Tanjungpura spse 4.3"/>
    <hyperlink ref="D351" r:id="rId142" display="Tender Sudah Selesai"/>
    <hyperlink ref="B356" r:id="rId143" display="Jalan Lingkungan Jl. Penepat Kanan Sri Medan Tender Ulang spse 4.3"/>
    <hyperlink ref="D356" r:id="rId144" display="Tender Sudah Selesai"/>
    <hyperlink ref="B361" r:id="rId145" display="Jalan Lingkungan Jl. Baiturahman Sui. Bemban Peniti Dalam Tender Ulang spse 4.3"/>
    <hyperlink ref="D361" r:id="rId146" display="Tender Sudah Selesai"/>
    <hyperlink ref="B366" r:id="rId147" display="Pengadaan Alat Laboratorium Fakultas Pertanian Universitas Tanjungpura Tender Batal spse 4.3"/>
    <hyperlink ref="D366" r:id="rId148" display="Tender Batal"/>
    <hyperlink ref="B371" r:id="rId149" display="Pembuatan Sekat Kanal KHG Sungai Durian - Sungai Kualan (Desa Sungai Mata-Mata) spse 4.3"/>
    <hyperlink ref="D371" r:id="rId150" display="Tender Sudah Selesai"/>
    <hyperlink ref="B376" r:id="rId151" display="Pembuatan Sekat Kanal KHG Sungai Durian - Sungai Kualan (Desa Padu Banjar) spse 4.3"/>
    <hyperlink ref="D376" r:id="rId152" display="Tender Sudah Selesai"/>
    <hyperlink ref="B381" r:id="rId153" display="Pembuatan Sekat Kanal KHG Sungai Melawi- Sungai Batunanta spse 4.3"/>
    <hyperlink ref="D381" r:id="rId154" display="Tender Sudah Selesai"/>
    <hyperlink ref="B386" r:id="rId155" display="Pembuatan Sekat Kanal KHG Sungai Pawan- Sungai Tolak spse 4.3"/>
    <hyperlink ref="D386" r:id="rId156" display="Tender Sudah Selesai"/>
    <hyperlink ref="B391" r:id="rId157" display="Pembuatan Sekat Kanal KHG Sungai Sambas Besar- Sungai Seiyung spse 4.3"/>
    <hyperlink ref="D391" r:id="rId158" display="Tender Sudah Selesai"/>
    <hyperlink ref="B396" r:id="rId159" display="Pembuatan Sekat Kanal KHG Sungai Mempawah- Sungai Peniti spse 4.3"/>
    <hyperlink ref="D396" r:id="rId160" display="Tender Sudah Selesai"/>
    <hyperlink ref="B401" r:id="rId161" display="Pembuatan Sekat Kanal KHG Sungai Kapuas- Sungai Mandor spse 4.3"/>
    <hyperlink ref="D401" r:id="rId162" display="Tender Sudah Selesai"/>
    <hyperlink ref="B406" r:id="rId163" display="Pembuatan Sumur Bor KHG KHG Sungai Melawi - Sungai Batunanta (SBO-40-3) spse 4.3"/>
    <hyperlink ref="D406" r:id="rId164" display="Tender Sudah Selesai"/>
    <hyperlink ref="B411" r:id="rId165" display="Pembuatan Sumur Bor KHG KHG Sungai Pawan - Sungai Tolak (SBO-40-3) spse 4.3"/>
    <hyperlink ref="D411" r:id="rId166" display="Tender Sudah Selesai"/>
    <hyperlink ref="B416" r:id="rId167" display="Belanja modal Pengadaan Sarana dan Parasarana Pencegahan dan Penanggulangan KARHUTLA dan PAMHUT (DBHDR) - Pengadaan mesin pompa air Tender Ulang spse 4.3"/>
    <hyperlink ref="D416" r:id="rId168" display="Tender Sudah Selesai"/>
    <hyperlink ref="B421" r:id="rId169" display="Pembangunan Lanjutan Gedung Kuliah 2 Tahap III Fakultas Teknik Universitas Tanjungpura spse 4.3"/>
    <hyperlink ref="D421" r:id="rId170" display="Tender Sudah Selesai"/>
    <hyperlink ref="B426" r:id="rId171" display="Pengadaan Alat-Alat Laboratorium Kesehatan spse 4.3"/>
    <hyperlink ref="D426" r:id="rId172" display="Tender Sudah Selesai"/>
    <hyperlink ref="B431" r:id="rId173" display="Pembangunan Gedung Kantor Gubernur 6 Lantai tahap I Tender Ulang spse 4.3 Evaluasi Ulang"/>
    <hyperlink ref="D431" r:id="rId174" display="Tender Sudah Selesai"/>
    <hyperlink ref="B436" r:id="rId175" display="Belanja Modal Pengadaan Generator Tender Ulang spse 4.3"/>
    <hyperlink ref="D436" r:id="rId176" display="Tender Sudah Selesai"/>
    <hyperlink ref="B441" r:id="rId177" display="Renovasi Pendopo/Rumah Jabatan Gubernur Kalimantan Barat Tender Batal spse 4.3"/>
    <hyperlink ref="D441" r:id="rId178" display="Tender Batal"/>
    <hyperlink ref="B446" r:id="rId179" display="Pembangunan SMAN Tebang Kacang Tender Gagal Tender Ulang spse 4.3"/>
    <hyperlink ref="D446" r:id="rId180" display="Tender Batal"/>
    <hyperlink ref="B451" r:id="rId181" display="Belanja Jasa konsultasi Penelitian Penyusunan ROADMAP Pengembangan Potensi Ekraf spse 4.3"/>
    <hyperlink ref="D451" r:id="rId182" display="Tender Sudah Selesai"/>
    <hyperlink ref="B456" r:id="rId183" display="Belanja Pakaian Batik Tradisional. spse 4.3"/>
    <hyperlink ref="D456" r:id="rId184" display="Tender Sudah Selesai"/>
    <hyperlink ref="B461" r:id="rId185" display="Pengawasan Pembangunan Gedung Barak SPN di Singkawang Seleksi Gagal spse 4.3"/>
    <hyperlink ref="D461" r:id="rId186" display="Seleksi Batal"/>
    <hyperlink ref="B466" r:id="rId187" display="Pembangunan Gedung Barak SPN di Singkawang spse 4.3"/>
    <hyperlink ref="D466" r:id="rId188" display="Tender Sudah Selesai"/>
    <hyperlink ref="B471" r:id="rId189" display="PEMBANGUNAN JEMBATAN KOREK - PASAK spse 4.3"/>
    <hyperlink ref="D471" r:id="rId190" display="Tender Sudah Selesai"/>
    <hyperlink ref="B476" r:id="rId191" display="Penyediaan Makanan Tambahan (MT-Bumil) pada Ibu Hamil Kurang Energi Kronik (KEK) Tender Gagal spse 4.3"/>
    <hyperlink ref="D476" r:id="rId192" display="Tender Batal"/>
    <hyperlink ref="B481" r:id="rId193" display="Pengadaan Hewan Ternak / Bibit Ternak spse 4.3"/>
    <hyperlink ref="D481" r:id="rId194" display="Tender Sudah Selesai"/>
    <hyperlink ref="B486" r:id="rId195" display="Rehabilitasi / peningkatan mess / asrama putra bogor rahadi oesman Tender Ulang spse 4.3"/>
    <hyperlink ref="D486" r:id="rId196" display="Tender Sudah Selesai"/>
    <hyperlink ref="B491" r:id="rId197" display="Rehabilitasi / peningkatan mess / asrama mahasiswa rahadi oesman solo Tender Ulang spse 4.3"/>
    <hyperlink ref="D491" r:id="rId198" display="Tender Sudah Selesai"/>
    <hyperlink ref="B496" r:id="rId199" display="Pengawasan Renovasi Pendopo/Rumah Jabatan Gubernur Kalimantan Barat spse 4.3"/>
    <hyperlink ref="D496" r:id="rId200" display="Tender Sudah Selesai"/>
    <hyperlink ref="B501" r:id="rId201" display="Pengawasan Rehabilitasi Kantor Gubernur Eksisting Kalimantan Barat spse 4.3"/>
    <hyperlink ref="D501" r:id="rId202" display="Tender Sudah Selesai"/>
    <hyperlink ref="B506" r:id="rId203" display="Pengadaan Container spse 4.3"/>
    <hyperlink ref="D506" r:id="rId204" display="Tender Sudah Selesai"/>
    <hyperlink ref="B511" r:id="rId205" display="Peningkatan Jalan Lingkungan Jl. PPIP Desa Peniti Dalam Satu, Kec. Segedong Kab. Mempawah spse 4.3"/>
    <hyperlink ref="D511" r:id="rId206" display="Tender Sudah Selesai"/>
    <hyperlink ref="B516" r:id="rId207" display="Peningkatan Jalan Desa Sidas, Dusun Pak Gare – Dusun Sumiak spse 4.3"/>
    <hyperlink ref="D516" r:id="rId208" display="Tender Sudah Selesai"/>
    <hyperlink ref="B521" r:id="rId209" display="Renovasi Rumah Jabatan Wakil Gubernur Tender Ulang spse 4.3"/>
    <hyperlink ref="D521" r:id="rId210" display="Tender Sudah Selesai"/>
    <hyperlink ref="B526" r:id="rId211" display="Peningkatan Badan Jalan Menggunakan LPC Jl. Redan Sidas Daya Kec. Ngabang Kab. Landak spse 4.3"/>
    <hyperlink ref="D526" r:id="rId212" display="Tender Sudah Selesai"/>
    <hyperlink ref="B531" r:id="rId213" display="Konsultasi Pengawasan Konstruksi Pembuatan Sekat Kanal Seleksi Gagal spse 4.3 Menyampaikan Penawaran Ulang"/>
    <hyperlink ref="D531" r:id="rId214" display="Seleksi Batal"/>
    <hyperlink ref="B536" r:id="rId215" display="Pembangunan Lanjutan Gedung Micro Teaching FKIP Universitas Tanjungpura (Tahap III) spse 4.3"/>
    <hyperlink ref="D536" r:id="rId216" display="Tender Sudah Selesai"/>
    <hyperlink ref="B541" r:id="rId217" display="Belanja modal Pengadaan Sarana dan Parasarana Pencegahan dan Penanggulangan KARHUTLA dan PAMHUT (DBHDR) - Pengadaan mesin pompa air Tender Gagal spse 4.3"/>
    <hyperlink ref="D541" r:id="rId218" display="Tender Batal"/>
    <hyperlink ref="B546" r:id="rId219" display="Pembangunan SMAN Tebang Kacang Tender Gagal spse 4.3"/>
    <hyperlink ref="D546" r:id="rId220" display="Tender Batal"/>
    <hyperlink ref="B551" r:id="rId221" display="Pembangunan Gedung Kantor Gubernur 6 Lantai tahap I Tender Gagal spse 4.3"/>
    <hyperlink ref="D551" r:id="rId222" display="Tender Batal"/>
    <hyperlink ref="B556" r:id="rId223" display="Pembuatan emblem emas Anggota DPRD Provinsi Kalbar Tender Ulang spse 4.3"/>
    <hyperlink ref="D556" r:id="rId224" display="Tender Sudah Selesai"/>
    <hyperlink ref="B561" r:id="rId225" display="Belanja Modal Pengadaan Generator spse 4.3"/>
    <hyperlink ref="D561" r:id="rId226" display="Tender Sudah Selesai"/>
    <hyperlink ref="B566" r:id="rId227" display="Pekerjaan Pembuatan Jalan Desa Tanjung Balai, Kecamatan Kuala Behe, Kab. Landak spse 4.3"/>
    <hyperlink ref="D566" r:id="rId228" display="Tender Sudah Selesai"/>
    <hyperlink ref="B571" r:id="rId229" display="Peningkatan Jalan Ruas Jalan Dusun Tumbang Raeng ke Dusun Meroboh Desa Tumbang Raeng, Kec. Jelimpo. Kab. Landak spse 4.3"/>
    <hyperlink ref="D571" r:id="rId230" display="Tender Sudah Selesai"/>
    <hyperlink ref="B576" r:id="rId231" display="Belanja Modal Pengadaan Detektor Logam Tender Ulang spse 4.3"/>
    <hyperlink ref="D576" r:id="rId232" display="Tender Sudah Selesai"/>
    <hyperlink ref="B581" r:id="rId233" display="ZONA 2 BANTUAN SAPRODI PADI BEBAS RESIDU (PUPUK ORGANIK, PUPUK HAYATI, PESTISIDA HAYATI) Tender Gagal spse 4.3"/>
    <hyperlink ref="D581" r:id="rId234" display="Tender Batal"/>
    <hyperlink ref="B586" r:id="rId235" display="ZONA 1 BANTUAN SAPRODI PADI BEBAS RESIDU (PUPUK ORGANIK, PUPUK HAYATI, PESTISIDA HAYATI) Tender Batal spse 4.3"/>
    <hyperlink ref="D586" r:id="rId236" display="Tender Batal"/>
    <hyperlink ref="B591" r:id="rId237" display="Jalan Lingkungan Jl. Prt. Lintang Bujur Desa Peniti Besar Tender Gagal spse 4.3"/>
    <hyperlink ref="D591" r:id="rId238" display="Tender Batal"/>
    <hyperlink ref="B596" r:id="rId239" display="Jalan Lingkungan Jl. Amirudin Khatab Desa Nusapati Tender Gagal spse 4.3"/>
    <hyperlink ref="D596" r:id="rId240" display="Tender Batal"/>
    <hyperlink ref="B601" r:id="rId241" display="Jalan Lingkungan Jl. Baiturahman Sui. Bemban Peniti Dalam Tender Gagal spse 4.3"/>
    <hyperlink ref="D601" r:id="rId242" display="Tender Batal"/>
    <hyperlink ref="B606" r:id="rId243" display="Jalan Lingkungan Jl. Penepat Kanan Sri Medan Tender Gagal spse 4.3"/>
    <hyperlink ref="D606" r:id="rId244" display="Tender Batal"/>
    <hyperlink ref="B611" r:id="rId245" display="Jalan Lingkungan Jl. Garuda Desa Galang Tender Gagal spse 4.3"/>
    <hyperlink ref="D611" r:id="rId246" display="Tender Batal"/>
    <hyperlink ref="B616" r:id="rId247" display="Jalan Lingkungan Jl. Pelita Desa Purun Besar Tender Gagal spse 4.3"/>
    <hyperlink ref="D616" r:id="rId248" display="Tender Batal"/>
    <hyperlink ref="B621" r:id="rId249" display="Jalan Lingkungan Jl. Sungai Pandan Desa Wajok Hulu spse 4.3"/>
    <hyperlink ref="D621" r:id="rId250" display="Tender Sudah Selesai"/>
    <hyperlink ref="B626" r:id="rId251" display="Pemetaan Rantai Pasok Material Jasa Kontruksi Non Pabrik Seleksi Batal spse 4.3"/>
    <hyperlink ref="D626" r:id="rId252" display="Seleksi Batal"/>
    <hyperlink ref="B631" r:id="rId253" display="Pengadaan Genset Fakultas Pertanian Universitas Tanjungpura spse 4.3"/>
    <hyperlink ref="D631" r:id="rId254" display="Tender Sudah Selesai"/>
    <hyperlink ref="B636" r:id="rId255" display="Peningkatan Jalan Dusun Ngarak Ke Dusun Air Merah, Kec. Mandor, Kab. Landak spse 4.3"/>
    <hyperlink ref="D636" r:id="rId256" display="Tender Sudah Selesai"/>
    <hyperlink ref="B641" r:id="rId257" display="Peningkatan Jalan Dusun Basopa-Dusun Sompak, Desa Pahokng, Kec. Mempawah Hulu, Kab. Landak spse 4.3"/>
    <hyperlink ref="D641" r:id="rId258" display="Tender Sudah Selesai"/>
    <hyperlink ref="B646" r:id="rId259" display="Pembukaan Badan Jalan Dusun Jantaan-Desa Ongkol Padang, Kec. Menyuke, Kab. Landak spse 4.3"/>
    <hyperlink ref="D646" r:id="rId260" display="Tender Sudah Selesai"/>
    <hyperlink ref="B651" r:id="rId261" display="Peningkatan Badan Jalan Menggunakan LPC Jl. Dsn Meramun - Amang, Desa Amang Kec. Ngabang Kab. Landak spse 4.3"/>
    <hyperlink ref="D651" r:id="rId262" display="Tender Sudah Selesai"/>
    <hyperlink ref="B656" r:id="rId263" display="Sarana Air Bersih (Perpipaan) Dusun Suka Ramai Desa Salatiga Kecamatan Mandor Kabupaten Landak spse 4.3"/>
    <hyperlink ref="D656" r:id="rId264" display="Tender Sudah Selesai"/>
    <hyperlink ref="B661" r:id="rId265" display="Rehabilitasi / peningkatan mess / asrama rahadi oesman malang spse 4.3"/>
    <hyperlink ref="D661" r:id="rId266" display="Tender Sudah Selesai"/>
    <hyperlink ref="B666" r:id="rId267" display="Rehabilitasi / peningkatan mess / asrama mahasiswa rahadi oesman solo Tender Gagal spse 4.3"/>
    <hyperlink ref="D666" r:id="rId268" display="Tender Batal"/>
    <hyperlink ref="B671" r:id="rId269" display="Rehabilitasi / peningkatan mess / asrama putra rahadi oesman yogyakarta spse 4.3"/>
    <hyperlink ref="D671" r:id="rId270" display="Tender Sudah Selesai"/>
    <hyperlink ref="B676" r:id="rId271" display="Rehabilitasi / peningkatan mess / asrama putra bogor rahadi oesman Tender Gagal spse 4.3"/>
    <hyperlink ref="D676" r:id="rId272" display="Tender Batal"/>
    <hyperlink ref="B681" r:id="rId273" display="Manajemen Konstruksi Pembangunan Gedung kantor Gubernur Kalimantan Barat Seleksi Ulang spse 4.3"/>
    <hyperlink ref="D681" r:id="rId274" display="Tender Sudah Selesai"/>
    <hyperlink ref="B686" r:id="rId275" display="Normalisasi Saluran/Sungai Dusun Bagan-Dusun Ladangan, Desa Amboyo Selatan, Kec. Ngabang, Kab. Landak spse 4.3"/>
    <hyperlink ref="D686" r:id="rId276" display="Tender Sudah Selesai"/>
    <hyperlink ref="B691" r:id="rId277" display="Pemeliharaan Saluran/Sungai Desa Teluk Bakung Kecamatan Ambawang Kabupaten Kubu Raya spse 4.3"/>
    <hyperlink ref="D691" r:id="rId278" display="Tender Sudah Selesai"/>
    <hyperlink ref="B696" r:id="rId279" display="Pemeliharaan Saluran/Sungai Desa Pancaroba Kecamatan Ambawang Kabupaten Kubu Raya spse 4.3"/>
    <hyperlink ref="D696" r:id="rId280" display="Tender Sudah Selesai"/>
    <hyperlink ref="B701" r:id="rId281" display="Pemeliharaan Saluran/Sungai Desa Bengkarek Kecamatan Ambawang Kabupaten Kubu raya spse 4.3"/>
    <hyperlink ref="D701" r:id="rId282" display="Tender Sudah Selesai"/>
    <hyperlink ref="B706" r:id="rId283" display="PENGGANTIAN JEMBATAN SUNGAI TEBAS RUAS JALAN LINGKAR TEBAS spse 4.3"/>
    <hyperlink ref="D706" r:id="rId284" display="Tender Sudah Selesai"/>
    <hyperlink ref="B711" r:id="rId285" display="PEMBANGUNAN JEMBATAN RIAM DANAU spse 4.3"/>
    <hyperlink ref="D711" r:id="rId286" display="Tender Sudah Selesai"/>
    <hyperlink ref="B716" r:id="rId287" display="Pengadaan Hewan Ternak / Bibit Ternak spse 4.3"/>
    <hyperlink ref="D716" r:id="rId288" display="Tender Sudah Selesai"/>
    <hyperlink ref="B721" r:id="rId289" display="PEMBANGUNAN JEMBATAN SUDARSO RUAS SEI. RAYA DALAM spse 4.3"/>
    <hyperlink ref="D721" r:id="rId290" display="Tender Sudah Selesai"/>
    <hyperlink ref="B726" r:id="rId291" display="Belanja Map Pengesahan / Perpanjangan Bea Balik Nama Mutasi Tender Ulang spse 4.3"/>
    <hyperlink ref="D726" r:id="rId292" display="Tender Sudah Selesai"/>
    <hyperlink ref="B731" r:id="rId293" display="Belanja Modal Pengadaan Detektor Logam Tender Gagal spse 4.3"/>
    <hyperlink ref="D731" r:id="rId294" display="Tender Batal"/>
    <hyperlink ref="B736" r:id="rId295" display="PENINGKATAN JALAN TEBIDAH - BUNYAU Tender Ulang spse 4.3"/>
    <hyperlink ref="D736" r:id="rId296" display="Tender Sudah Selesai"/>
    <hyperlink ref="B741" r:id="rId297" display="Pengkajian Kerusakan dan Rencana Penanganan Lanjutan Gedung Guest House Rumah Melayu Prov. Kalbar spse 4.3 Evaluasi Ulang"/>
    <hyperlink ref="D741" r:id="rId298" display="Tender Sudah Selesai"/>
    <hyperlink ref="B746" r:id="rId299" display="Review Design Perencanaan Pagar IPDN (Pagar + Saluran) spse 4.3 Evaluasi Ulang"/>
    <hyperlink ref="D746" r:id="rId300" display="Tender Sudah Selesai"/>
    <hyperlink ref="B751" r:id="rId301" display="Perencanaan Peningkatan Halaman Kantor Gubernur Seleksi Batal spse 4.3 Menyampaikan Penawaran Ulang"/>
    <hyperlink ref="D751" r:id="rId302" display="Seleksi Batal"/>
    <hyperlink ref="B756" r:id="rId303" display="Jasa konsultansi penataan kawasan zona/blok pengelolaan Tahura Pandan Puloh spse 4.3"/>
    <hyperlink ref="D756" r:id="rId304" display="Tender Sudah Selesai"/>
    <hyperlink ref="B761" r:id="rId305" display="PENINGKATAN JALAN SIMPANG MEDANG - NANGA MAU Tender Ulang spse 4.3"/>
    <hyperlink ref="D761" r:id="rId306" display="Tender Sudah Selesai"/>
    <hyperlink ref="B766" r:id="rId307" display="PENGGANTIAN/PEMBANGUNAN JEMBATAN RAWAK KECIL CS Tender Ulang spse 4.3"/>
    <hyperlink ref="D766" r:id="rId308" display="Tender Sudah Selesai"/>
    <hyperlink ref="B771" r:id="rId309" display="Belanja jasa konsultasi Perencanaan Rehab Gedung Bulu Tangkis Seleksi Ulang spse 4.3"/>
    <hyperlink ref="D771" r:id="rId310" display="Tender Sudah Selesai"/>
    <hyperlink ref="B776" r:id="rId311" display="Belanja Modal Pengadaan Generator Tender Gagal spse 4.3"/>
    <hyperlink ref="D776" r:id="rId312" display="Tender Batal"/>
    <hyperlink ref="B781" r:id="rId313" display="Pembangunan Gedung SMA Kecil di Ng. Sokan- Kota baru spse 4.3"/>
    <hyperlink ref="D781" r:id="rId314" display="Tender Sudah Selesai"/>
    <hyperlink ref="B786" r:id="rId315" display="Belanja Modal Pengadaan Generator Tender Gagal spse 4.3"/>
    <hyperlink ref="D786" r:id="rId316" display="Tender Batal"/>
    <hyperlink ref="B791" r:id="rId317" display="PEMBANGUNAN TURAP BETON RUAS SEI. RAYA DALAM spse 4.3 Menyampaikan Penawaran Ulang"/>
    <hyperlink ref="D791" r:id="rId318" display="Tender Sudah Selesai"/>
    <hyperlink ref="B796" r:id="rId319" display="Renovasi Rumah Jabatan Wakil Gubernur Tender Gagal spse 4.3"/>
    <hyperlink ref="D796" r:id="rId320" display="Tender Batal"/>
    <hyperlink ref="B801" r:id="rId321" display="Revitalisasi PLTS Komunal 15 kWp di Kabupaten Landak Tender Gagal Tender Ulang spse 4.3"/>
    <hyperlink ref="D801" r:id="rId322" display="Tender Batal"/>
    <hyperlink ref="B806" r:id="rId323" display="Pengadaan konsumsi penyelenggaraan Pelatihan Dasar CPNS sebanyak 14 Angkatan Tender Ulang spse 4.3"/>
    <hyperlink ref="D806" r:id="rId324" display="Tender Sudah Selesai"/>
    <hyperlink ref="B811" r:id="rId325" display="Pengadaan konsumsi penyelenggaraan Pelatihan Dasar CPNS sebanyak 14 Angkatan Tender Gagal Tender Ulang spse 4.3"/>
    <hyperlink ref="D811" r:id="rId326" display="Tender Batal"/>
    <hyperlink ref="B816" r:id="rId327" display="Belanja perlengkapan/peralatan Pelatihan Dasar CPNS Tender Ulang spse 4.3"/>
    <hyperlink ref="D816" r:id="rId328" display="Tender Sudah Selesai"/>
    <hyperlink ref="B821" r:id="rId329" display="Pengawasan Pembangunan Lanjutan Gedung Kuliah Prodi Seni Tari dan Musik Universitas Tanjungpura Seleksi Ulang spse 4.3"/>
    <hyperlink ref="D821" r:id="rId330" display="Tender Sudah Selesai"/>
    <hyperlink ref="B826" r:id="rId331" display="Pembangunan Lanjutan Gedung Kuliah Prodi Seni Tari dan Musik Universitas Tanjungpura spse 4.3"/>
    <hyperlink ref="D826" r:id="rId332" display="Tender Sudah Selesai"/>
    <hyperlink ref="B831" r:id="rId333" display="Pembangunan Gedung Asrama RSK/RSJ Singkawang spse 4.3"/>
    <hyperlink ref="D831" r:id="rId334" display="Tender Sudah Selesai"/>
    <hyperlink ref="B836" r:id="rId335" display="Pengadaan Alat Musik Tradisional Tender Ulang spse 4.3"/>
    <hyperlink ref="D836" r:id="rId336" display="Tender Sudah Selesai"/>
    <hyperlink ref="B841" r:id="rId337" display="Peningkatan Fasilitas Umum spse 4.3"/>
    <hyperlink ref="D841" r:id="rId338" display="Tender Sudah Selesai"/>
    <hyperlink ref="B846" r:id="rId339" display="Rehabilitasi GOR Pangsuma spse 4.3 Evaluasi Ulang"/>
    <hyperlink ref="D846" r:id="rId340" display="Tender Sudah Selesai"/>
    <hyperlink ref="B851" r:id="rId341" display="Pembangunan Gedung RSUD Soedarso tahap I spse 4.3 Menyampaikan Penawaran Ulang"/>
    <hyperlink ref="D851" r:id="rId342" display="Tender Sudah Selesai"/>
    <hyperlink ref="B856" r:id="rId343" display="Pembangunan Gedung Kantor Dinas Perkebunan (lanjutan/Tahap VI) spse 4.3"/>
    <hyperlink ref="D856" r:id="rId344" display="Tender Sudah Selesai"/>
    <hyperlink ref="B861" r:id="rId345" display="Pembangunan Gedung Ditreskrimsus Polda Tahap II spse 4.3"/>
    <hyperlink ref="D861" r:id="rId346" display="Tender Sudah Selesai"/>
    <hyperlink ref="B866" r:id="rId347" display="Pengadaan konsumsi penyelenggaraan Pelatihan Dasar CPNS sebanyak 14 Angkatan Tender Gagal Tender Ulang spse 4.3"/>
    <hyperlink ref="D866" r:id="rId348" display="Tender Batal"/>
    <hyperlink ref="B871" r:id="rId349" display="PENGGANTIAN/PEMBANGUNAN JEMBATAN RAWAK KECIL CS Tender Gagal spse 4.3"/>
    <hyperlink ref="D871" r:id="rId350" display="Tender Batal"/>
    <hyperlink ref="B876" r:id="rId351" display="Pengadaan Alat Musik Tradisional Tender Gagal Tender Ulang spse 4.3"/>
    <hyperlink ref="D876" r:id="rId352" display="Tender Batal"/>
    <hyperlink ref="B881" r:id="rId353" display="Pengadaan konsumsi penyelenggaraan Pelatihan Dasar CPNS sebanyak 14 Angkatan Tender Gagal spse 4.3"/>
    <hyperlink ref="D881" r:id="rId354" display="Tender Batal"/>
    <hyperlink ref="B886" r:id="rId355" display="Belanja Pakaian Khusus Pelatihan dasar CPNS spse 4.3"/>
    <hyperlink ref="D886" r:id="rId356" display="Tender Sudah Selesai"/>
    <hyperlink ref="B891" r:id="rId357" display="Revitalisasi PLTS Komunal 15 kWp di Kabupaten Landak Tender Gagal spse 4.3"/>
    <hyperlink ref="D891" r:id="rId358" display="Tender Batal"/>
    <hyperlink ref="B896" r:id="rId359" display="Belanja perlengkapan/peralatan Pelatihan Dasar CPNS Tender Gagal spse 4.3"/>
    <hyperlink ref="D896" r:id="rId360" display="Tender Batal"/>
    <hyperlink ref="B901" r:id="rId361" display="Pengadaan Alat Musik Tradisional Tender Gagal spse 4.3"/>
    <hyperlink ref="D901" r:id="rId362" display="Tender Batal"/>
    <hyperlink ref="B906" r:id="rId363" display="Pengadaan Barang-barang Seni Budaya spse 4.3"/>
    <hyperlink ref="D906" r:id="rId364" display="Tender Sudah Selesai"/>
    <hyperlink ref="B911" r:id="rId365" display="Pengadaan sarana PJOK SMA (DAK) spse 4.3"/>
    <hyperlink ref="D911" r:id="rId366" display="Tender Sudah Selesai"/>
    <hyperlink ref="B916" r:id="rId367" display="Pengadaan Generator spse 4.3"/>
    <hyperlink ref="D916" r:id="rId368" display="Tender Sudah Selesai"/>
    <hyperlink ref="B921" r:id="rId369" display="Pengadaan peralatan/perlengkapan rumah tangga (Peralatan Kitchen Set) spse 4.3"/>
    <hyperlink ref="D921" r:id="rId370" display="Tender Sudah Selesai"/>
    <hyperlink ref="B926" r:id="rId371" display="Pengadaan dan Pemasangan Alat Pemberi Isyarat Lalu Lintas (APILL) di Jalan Adi Sucipto spse 4.3"/>
    <hyperlink ref="D926" r:id="rId372" display="Tender Sudah Selesai"/>
    <hyperlink ref="B931" r:id="rId373" display="Pengawasan Pembangunan Lanjutan Gedung Kuliah Prodi Seni Tari dan Musik Universitas Tanjungpura Seleksi Gagal Seleksi Ulang spse 4.3"/>
    <hyperlink ref="D931" r:id="rId374" display="Seleksi Batal"/>
    <hyperlink ref="B936" r:id="rId375" display="Pengawasan Pembangunan Lanjutan Gedung Kuliah Prodi Seni Tari dan Musik Universitas Tanjungpura Seleksi Gagal spse 4.3"/>
    <hyperlink ref="D936" r:id="rId376" display="Seleksi Batal"/>
    <hyperlink ref="B941" r:id="rId377" display="Rehabilitasi/Peningkatan Pagar Kantor spse 4.3"/>
    <hyperlink ref="D941" r:id="rId378" display="Tender Sudah Selesai"/>
    <hyperlink ref="B946" r:id="rId379" display="Pengadaan Pakaian Dinas IPDN Kampus Kalimantan Barat spse 4.3"/>
    <hyperlink ref="D946" r:id="rId380" display="Tender Sudah Selesai"/>
    <hyperlink ref="B951" r:id="rId381" display="Pembuatan emblem emas Anggota DPRD Provinsi Kalbar Tender Gagal spse 4.3"/>
    <hyperlink ref="D951" r:id="rId382" display="Tender Batal"/>
    <hyperlink ref="B956" r:id="rId383" display="Belanja Jasa konsultasi Penelitian Penyusunan ROADMAP Pengembangan Potensi Ekraf spse 4.3"/>
    <hyperlink ref="D956" r:id="rId384" display="Tender Sudah Selesai"/>
    <hyperlink ref="B961" r:id="rId385" display="BIaya Kontruksi Fisik spse 4.3"/>
    <hyperlink ref="D961" r:id="rId386" display="Tender Sudah Selesai"/>
    <hyperlink ref="B966" r:id="rId387" display="Pengadaan Benih Karet Dalam Polybag Siap Tanam untuk Kegiatan Peremajaan Tanaman Karet di Kabupaten Sekadau seluas 100 Hektar Tender Ulang spse 4.3"/>
    <hyperlink ref="D966" r:id="rId388" display="Tender Sudah Selesai"/>
    <hyperlink ref="B971" r:id="rId389" display="Belanja Modal Pengadaan Konstruksi Pembangunan Kantor Resort Pengelolaan Hutan UPT KPH Wilayah Kapuas Hulu Utara spse 4.3"/>
    <hyperlink ref="D971" r:id="rId390" display="Tender Sudah Selesai"/>
    <hyperlink ref="B976" r:id="rId391" display="Belanja Modal Peningkatan Mess / Asrama spse 4.3"/>
    <hyperlink ref="D976" r:id="rId392" display="Tender Sudah Selesai"/>
    <hyperlink ref="B981" r:id="rId393" display="Pembangunan Gedung Kantor RPH Bunut Hilir spse 4.3"/>
    <hyperlink ref="D981" r:id="rId394" display="Tender Sudah Selesai"/>
    <hyperlink ref="B986" r:id="rId395" display="Pembangunan Gedung Kantor RPH Seberuang Tender Batal spse 4.3 Menyampaikan Penawaran Ulang"/>
    <hyperlink ref="D986" r:id="rId396" display="Tender Batal"/>
    <hyperlink ref="B991" r:id="rId397" display="Pembangunan gedung kantor Tender Batal spse 4.3"/>
    <hyperlink ref="D991" r:id="rId398" display="Tender Batal"/>
    <hyperlink ref="B996" r:id="rId399" display="Pembangunan Gedung Kantor RPH Kalis spse 4.3 Menyampaikan Penawaran Ulang"/>
    <hyperlink ref="D996" r:id="rId400" display="Tender Sudah Selesai"/>
    <hyperlink ref="B1001" r:id="rId401" display="PENINGKATAN / PELEBARAN STRUKTUR JALAN SIDUK - SUKADANA Tender Ulang spse 4.3"/>
    <hyperlink ref="D1001" r:id="rId402" display="Tender Sudah Selesai"/>
    <hyperlink ref="B1006" r:id="rId403" display="Pembangunan gedung kantor spse 4.3"/>
    <hyperlink ref="D1006" r:id="rId404" display="Tender Sudah Selesai"/>
    <hyperlink ref="B1011" r:id="rId405" display="Belanja modal Pengadaan alat-alat laboratorium peternakan (DAK) spse 4.3"/>
    <hyperlink ref="D1011" r:id="rId406" display="Tender Sudah Selesai"/>
    <hyperlink ref="B1016" r:id="rId407" display="Pembangunan Gedung Khusus (Workshop Kemasan) spse 4.3"/>
    <hyperlink ref="D1016" r:id="rId408" display="Tender Sudah Selesai"/>
    <hyperlink ref="B1021" r:id="rId409" display="Belanja jasa konsultasi Perencanaan Rehab Gedung Bulu Tangkis Seleksi Gagal spse 4.3"/>
    <hyperlink ref="D1021" r:id="rId410" display="Seleksi Batal"/>
    <hyperlink ref="B1026" r:id="rId411" display="Belanja Jasa Konsultasi Penelitian Pembuatan Neraca Satelit Pariwisata Daerah Kalbar spse 4.3 Evaluasi Ulang"/>
    <hyperlink ref="D1026" r:id="rId412" display="Tender Sudah Selesai"/>
    <hyperlink ref="B1031" r:id="rId413" display="Belanja modal Pengadaan konstruksi/pembelian gedung kantor Tender Batal spse 4.3"/>
    <hyperlink ref="D1031" r:id="rId414" display="Tender Batal"/>
    <hyperlink ref="B1036" r:id="rId415" display="Pembangunan Gedung Rehabilitasi NAPZA spse 4.3"/>
    <hyperlink ref="D1036" r:id="rId416" display="Tender Sudah Selesai"/>
    <hyperlink ref="B1041" r:id="rId417" display="Pembangunan Gedung IPSRS spse 4.3"/>
    <hyperlink ref="D1041" r:id="rId418" display="Tender Sudah Selesai"/>
    <hyperlink ref="B1046" r:id="rId419" display="Pembangunan Gedung Instalasi Gizi spse 4.3"/>
    <hyperlink ref="D1046" r:id="rId420" display="Tender Sudah Selesai"/>
    <hyperlink ref="B1051" r:id="rId421" display="Pembangunan Gedung Loundry spse 4.3"/>
    <hyperlink ref="D1051" r:id="rId422" display="Tender Sudah Selesai"/>
    <hyperlink ref="B1056" r:id="rId423" display="Pembangunan Gedung Rawat Inap spse 4.3"/>
    <hyperlink ref="D1056" r:id="rId424" display="Tender Sudah Selesai"/>
    <hyperlink ref="B1061" r:id="rId425" display="Belanja modal pembangunan gedung rawat inap (Bangsal Psikogeriatri) spse 4.3"/>
    <hyperlink ref="D1061" r:id="rId426" display="Tender Sudah Selesai"/>
    <hyperlink ref="B1066" r:id="rId427" display="Pembangunan gedung kantor Resort UPT KPH Wilayah Landak spse 4.3"/>
    <hyperlink ref="D1066" r:id="rId428" display="Tender Sudah Selesai"/>
    <hyperlink ref="B1071" r:id="rId429" display="Belanja Modal Pengadaan Buku/Kepustakaan (DAK) spse 4.3"/>
    <hyperlink ref="D1071" r:id="rId430" display="Tender Sudah Selesai"/>
    <hyperlink ref="B1076" r:id="rId431" display="Penyusunan Master Plan Pembangunan Dermaga Penyeberangan Parit Raja Kab. Sambas Seleksi Ulang spse 4.3"/>
    <hyperlink ref="D1076" r:id="rId432" display="Tender Sudah Selesai"/>
    <hyperlink ref="B1081" r:id="rId433" display="Penyusunan Master Plan Pembangunan Dermaga Penyeberangan Sejangkung Kab. Sambas Seleksi Ulang spse 4.3"/>
    <hyperlink ref="D1081" r:id="rId434" display="Tender Sudah Selesai"/>
    <hyperlink ref="B1086" r:id="rId435" display="Belanja modal pengadaan konstruksi/pembelian rumah dinas/mess/asrama Tender Ulang spse 4.3"/>
    <hyperlink ref="D1086" r:id="rId436" display="Tender Sudah Selesai"/>
    <hyperlink ref="B1091" r:id="rId437" display="Renovasi/Rehabilitasi Gedung laboratroium Kesmas Tender Ulang spse 4.3"/>
    <hyperlink ref="D1091" r:id="rId438" display="Tender Sudah Selesai"/>
    <hyperlink ref="B1096" r:id="rId439" display="Penyusunan Kajian UKL - UPL Pembangunan Dermaga Penyeberangan Belitang Kab. Sekadau Seleksi Ulang spse 4.3"/>
    <hyperlink ref="D1096" r:id="rId440" display="Tender Sudah Selesai"/>
    <hyperlink ref="B1101" r:id="rId441" display="Penyusunan Kajian UKL-UPL Pembangunan Dermaga Penyeberangan Sepauk Kab. Sekadau Seleksi Ulang spse 4.3"/>
    <hyperlink ref="D1101" r:id="rId442" display="Tender Sudah Selesai"/>
    <hyperlink ref="B1106" r:id="rId443" display="Penyusunan Kajian UKL-UPL Pembangunan Dermaga Sungai di Desa Gudang Hulu Kec. Selimbau Kab. Hulu Seleksi Ulang spse 4.3"/>
    <hyperlink ref="D1106" r:id="rId444" display="Tender Sudah Selesai"/>
    <hyperlink ref="B1111" r:id="rId445" display="Penyusunan Kajian UKL - UPL Pembangunan Dermaga Sungai di Desa Sungai Mayam Kec. Meliau Kab. Sanggau Seleksi Ulang spse 4.3 Evaluasi Ulang"/>
    <hyperlink ref="D1111" r:id="rId446" display="Tender Sudah Selesai"/>
    <hyperlink ref="B1116" r:id="rId447" display="Penyusunan Kajian UKL - UPL Pembangunan Dermaga Sungai di Desa Sumber Agung Kecamatan Batu Ampar Kab. Kubu Raya Seleksi Ulang spse 4.3"/>
    <hyperlink ref="D1116" r:id="rId448" display="Tender Sudah Selesai"/>
    <hyperlink ref="B1121" r:id="rId449" display="Pembangunan Pagar Area lahan Lingkungan Kantor Sisi Kanan spse 4.3"/>
    <hyperlink ref="D1121" r:id="rId450" display="Tender Sudah Selesai"/>
    <hyperlink ref="B1126" r:id="rId451" display="Pembangunan Gedung Kantor Resort Pengelolaan Hutan Lumar UPT KPH Wilayah Bengkayang spse 4.3 Menyampaikan Penawaran Ulang"/>
    <hyperlink ref="D1126" r:id="rId452" display="Tender Sudah Selesai"/>
    <hyperlink ref="B1131" r:id="rId453" display="Belanja Modal Pengadaan Konstruksi/Pembelian Gedung Kantor (Instalasi Farmasi) spse 4.3"/>
    <hyperlink ref="D1131" r:id="rId454" display="Tender Sudah Selesai"/>
    <hyperlink ref="B1136" r:id="rId455" display="Pembangunan Saluran Air spse 4.3"/>
    <hyperlink ref="D1136" r:id="rId456" display="Tender Sudah Selesai"/>
    <hyperlink ref="B1141" r:id="rId457" display="Belanja Modal Pengadaan Konstruksi/Pembelian Gedung Kantor (Instalasi Laboratorium) spse 4.3"/>
    <hyperlink ref="D1141" r:id="rId458" display="Tender Sudah Selesai"/>
    <hyperlink ref="B1146" r:id="rId459" display="Manajemen Konstruksi Pembangunan Gedung kantor Gubernur Kalimantan Barat Seleksi Gagal spse 4.3"/>
    <hyperlink ref="D1146" r:id="rId460" display="Seleksi Batal"/>
    <hyperlink ref="B1151" r:id="rId461" display="Pelaksanaan Perkuatan Tebing ( Turap Beton ) Ds. Suka Baru Kec. Benua Kayong Kab. Ketapang spse 4.3"/>
    <hyperlink ref="D1151" r:id="rId462" display="Tender Sudah Selesai"/>
    <hyperlink ref="B1156" r:id="rId463" display="Pelaksanaan Perkuatan Tebing Sungai Mendalam Desa Paduan Mendalam Kab. Kapuas Hulu spse 4.3"/>
    <hyperlink ref="D1156" r:id="rId464" display="Tender Sudah Selesai"/>
    <hyperlink ref="B1161" r:id="rId465" display="Pengamanan Abrasi Pantai Desa Suka Baru Kab. Ketapang spse 4.3"/>
    <hyperlink ref="D1161" r:id="rId466" display="Tender Sudah Selesai"/>
    <hyperlink ref="B1166" r:id="rId467" display="Pembangunan Sarana Air Baku Pulau Maya Kab. Kayong Utara spse 4.3"/>
    <hyperlink ref="D1166" r:id="rId468" display="Tender Sudah Selesai"/>
    <hyperlink ref="B1171" r:id="rId469" display="Belanja modal pembangunan gedung rawat inap (Bangsal Psikogeriatri) Tender Gagal Tender Ulang spse 4.3"/>
    <hyperlink ref="D1171" r:id="rId470" display="Tender Batal"/>
    <hyperlink ref="B1176" r:id="rId471" display="Pengadaan Pupuk Organik Pabrikan (Rehabilitasi Tanaman Lada) spse 4.3"/>
    <hyperlink ref="D1176" r:id="rId472" display="Tender Sudah Selesai"/>
    <hyperlink ref="B1181" r:id="rId473" display="Pengadaan Pupuk NPK dan Herbisida untuk Kegiatan Peremajaan Tanaman Karet spse 4.3"/>
    <hyperlink ref="D1181" r:id="rId474" display="Tender Sudah Selesai"/>
    <hyperlink ref="B1186" r:id="rId475" display="Belanja Map Pengesahan / Perpanjangan Bea Balik Nama Mutasi Tender Gagal spse 4.3"/>
    <hyperlink ref="D1186" r:id="rId476" display="Tender Batal"/>
    <hyperlink ref="B1191" r:id="rId477" display="Pembangunan gedung kantor Tender Ulang spse 4.3"/>
    <hyperlink ref="D1191" r:id="rId478" display="Tender Sudah Selesai"/>
    <hyperlink ref="B1196" r:id="rId479" display="Pembangunan gedung kantor resort UPT KPH Wilayah Kayong Tender Ulang spse 4.3 Menyampaikan Penawaran Ulang"/>
    <hyperlink ref="D1196" r:id="rId480" display="Tender Sudah Selesai"/>
    <hyperlink ref="B1201" r:id="rId481" display="Belanja Plastik Surat Ketetapan Pajak Daerah spse 4.3 Menyampaikan Penawaran Ulang"/>
    <hyperlink ref="D1201" r:id="rId482" display="Tender Sudah Selesai"/>
    <hyperlink ref="B1206" r:id="rId483" display="Pembangunan Jalan Kantor UPT-PPD Wilayah II spse 4.3"/>
    <hyperlink ref="D1206" r:id="rId484" display="Tender Sudah Selesai"/>
    <hyperlink ref="B1211" r:id="rId485" display="Pengadaan Obat - Obatan Tender Ulang spse 4.3"/>
    <hyperlink ref="D1211" r:id="rId486" display="Tender Sudah Selesai"/>
    <hyperlink ref="B1216" r:id="rId487" display="Belanja Pakaian Dinas Harian (PDH) Tender Batal spse 4.3"/>
    <hyperlink ref="D1216" r:id="rId488" display="Tender Batal"/>
    <hyperlink ref="B1221" r:id="rId489" display="Penggantian Atap Kantor BPKPD Provinsi Kalimantan Barat spse 4.3"/>
    <hyperlink ref="D1221" r:id="rId490" display="Tender Sudah Selesai"/>
    <hyperlink ref="B1226" r:id="rId491" display="Belanja Modal Pengadaan Konstruksi Gedung Tempat Ibadah spse 4.3"/>
    <hyperlink ref="D1226" r:id="rId492" display="Tender Sudah Selesai"/>
    <hyperlink ref="B1231" r:id="rId493" display="Pengadaan Pakaian dinas / kerja dan perlengkapannya spse 4.3"/>
    <hyperlink ref="D1231" r:id="rId494" display="Tender Sudah Selesai"/>
    <hyperlink ref="B1236" r:id="rId495" display="Pembangunan Gedung Kantor Resort Pengelolaan Hutan Sokan spse 4.3"/>
    <hyperlink ref="D1236" r:id="rId496" display="Tender Sudah Selesai"/>
    <hyperlink ref="B1241" r:id="rId497" display="Pembangunan Shading Net spse 4.3"/>
    <hyperlink ref="D1241" r:id="rId498" display="Tender Sudah Selesai"/>
    <hyperlink ref="B1246" r:id="rId499" display="Pembangunan Saluran Air spse 4.3"/>
    <hyperlink ref="D1246" r:id="rId500" display="Tender Sudah Selesai"/>
    <hyperlink ref="B1251" r:id="rId501" display="Penyusunan Rencana Pengelolaan Zonasi Kawasan Konservasi Seleksi Ulang spse 4.3"/>
    <hyperlink ref="D1251" r:id="rId502" display="Tender Sudah Selesai"/>
    <hyperlink ref="B1256" r:id="rId503" display="Pembangunan gedung kantor Tender Gagal spse 4.3"/>
    <hyperlink ref="D1256" r:id="rId504" display="Tender Batal"/>
    <hyperlink ref="B1261" r:id="rId505" display="Rehabilitasi/Peningkatan Gedung Kantor UPSBP Provinsi Kalimantan Barat spse 4.3"/>
    <hyperlink ref="D1261" r:id="rId506" display="Tender Sudah Selesai"/>
    <hyperlink ref="B1266" r:id="rId507" display="Pengadaan Obat - Obatan Tender Gagal spse 4.3"/>
    <hyperlink ref="D1266" r:id="rId508" display="Tender Batal"/>
    <hyperlink ref="B1271" r:id="rId509" display="Belanja modal pengadaan konstruksi pembanguanan jalan cor beton rabat blok kebun buah Tender Ulang spse 4.3"/>
    <hyperlink ref="D1271" r:id="rId510" display="Tender Sudah Selesai"/>
    <hyperlink ref="B1276" r:id="rId511" display="pengadaan pemasangan batu kali tebing waduk penampungan air Tender Ulang spse 4.3"/>
    <hyperlink ref="D1276" r:id="rId512" display="Tender Sudah Selesai"/>
    <hyperlink ref="B1281" r:id="rId513" display="PEMELIHARAAN BERKALA JEMBATAN PROVINSI TERSEBAR spse 4.3"/>
    <hyperlink ref="D1281" r:id="rId514" display="Tender Sudah Selesai"/>
    <hyperlink ref="B1286" r:id="rId515" display="Belanja Modal Perangkat Command Centre spse 4.3"/>
    <hyperlink ref="D1286" r:id="rId516" display="Tender Sudah Selesai"/>
    <hyperlink ref="B1291" r:id="rId517" display="Pembangunan gedung kantor resort UPT KPH Wilayah Kayong Tender Gagal spse 4.3"/>
    <hyperlink ref="D1291" r:id="rId518" display="Tender Batal"/>
    <hyperlink ref="B1296" r:id="rId519" display="Pembangunan gedung kantor spse 4.3"/>
    <hyperlink ref="D1296" r:id="rId520" display="Tender Sudah Selesai"/>
    <hyperlink ref="B1301" r:id="rId521" display="pengadaan pemasangan batu kali tebing waduk penampungan air Tender Gagal spse 4.3"/>
    <hyperlink ref="D1301" r:id="rId522" display="Tender Batal"/>
    <hyperlink ref="B1306" r:id="rId523" display="Belanja modal pengadaan konstruksi pembanguanan jalan cor beton rabat blok kebun buah Tender Gagal spse 4.3"/>
    <hyperlink ref="D1306" r:id="rId524" display="Tender Batal"/>
    <hyperlink ref="B1311" r:id="rId525" display="Penataan Halaman Gedung VIP Bandara (lanjutan/Taman/Tahap IV) spse 4.3"/>
    <hyperlink ref="D1311" r:id="rId526" display="Tender Sudah Selesai"/>
    <hyperlink ref="B1316" r:id="rId527" display="Belanja Modal Konsultansi Pengawasan Gedung Instalasi Laboratorium spse 4.3"/>
    <hyperlink ref="D1316" r:id="rId528" display="Tender Sudah Selesai"/>
    <hyperlink ref="B1321" r:id="rId529" display="Belanja Modal Konsultansi Pengawasan Gedung Instalasi Farmasi spse 4.3"/>
    <hyperlink ref="D1321" r:id="rId530" display="Tender Sudah Selesai"/>
    <hyperlink ref="B1326" r:id="rId531" display="Pembangunan Gedung Kantor Dinas Perkebunan (lanjutan/Tahap VI) Tender Batal spse 4.3"/>
    <hyperlink ref="D1326" r:id="rId532" display="Tender Batal"/>
    <hyperlink ref="B1331" r:id="rId533" display="Pengadaan Pakan untuk Budidaya Air Payau spse 4.3 Menyampaikan Penawaran Ulang"/>
    <hyperlink ref="D1331" r:id="rId534" display="Tender Sudah Selesai"/>
    <hyperlink ref="B1336" r:id="rId535" display="Rehabilitasi Jembatan Dagan Lari Desa Pesaguan Kanan Kec. Matan Hilir Selatan Kab. Ketapang spse 4.3"/>
    <hyperlink ref="D1336" r:id="rId536" display="Tender Sudah Selesai"/>
    <hyperlink ref="B1341" r:id="rId537" display="Belanja perlengkapan/peralatan rumah tangga Tender Ulang spse 4.3"/>
    <hyperlink ref="D1341" r:id="rId538" display="Tender Sudah Selesai"/>
    <hyperlink ref="B1346" r:id="rId539" display="Pengadaan Benih Karet Dalam Polybag Siap Tanam untuk Kegiatan Peremajaan Tanaman Karet di Kabupaten Sekadau seluas 100 Hektar Tender Gagal spse 4.3"/>
    <hyperlink ref="D1346" r:id="rId540" display="Tender Batal"/>
    <hyperlink ref="B1351" r:id="rId541" display="Pengadaan Benih Karet Dalam Polybag Siap Tanam untuk Kegiatan Peremajaan Tanaman Karet di Kabupaten Bengkayang seluas 300 Hektar spse 4.3"/>
    <hyperlink ref="D1351" r:id="rId542" display="Tender Sudah Selesai"/>
    <hyperlink ref="B1356" r:id="rId543" display="Penyusunan Feasibility Study Pembangunan Pelabuhan Laut di Buntar Kab. Ketapang spse 4.3"/>
    <hyperlink ref="D1356" r:id="rId544" display="Tender Sudah Selesai"/>
    <hyperlink ref="B1361" r:id="rId545" display="Penyusunan Feasibility Study Pembangunan Pelabuhan Penyeberangan Lintasan Perigi Kiri - Perigi Kanan Kab. Kapuas Hulu spse 4.3"/>
    <hyperlink ref="D1361" r:id="rId546" display="Tender Sudah Selesai"/>
    <hyperlink ref="B1366" r:id="rId547" display="Penyusunan Feasibility Study Pembangunan Pelabuhan Penyeberangan Lintasan Kendawangan Kota - Kendawangan Kanan Kab. Ketapang spse 4.3"/>
    <hyperlink ref="D1366" r:id="rId548" display="Tender Sudah Selesai"/>
    <hyperlink ref="B1371" r:id="rId549" display="Penyusunan Feasibility Study Pembangunan Pelabuhan Penyeberangan Lintasan Kelang - Padang Tikar Kab. Kubu Raya spse 4.3"/>
    <hyperlink ref="D1371" r:id="rId550" display="Tender Sudah Selesai"/>
    <hyperlink ref="B1376" r:id="rId551" display="Penyusunan Feasibility Study Pembangunan Pelabuhan Penyeberangan Lintasan Tanjung Harapan - Sukamaju Kab. Kubu Raya spse 4.3 Evaluasi Ulang"/>
    <hyperlink ref="D1376" r:id="rId552" display="Tender Sudah Selesai"/>
    <hyperlink ref="B1381" r:id="rId553" display="Study Identifikasi Desain Potensi Air Baku Kabupaten Kayong Utara Seleksi Ulang spse 4.3"/>
    <hyperlink ref="D1381" r:id="rId554" display="Tender Sudah Selesai"/>
    <hyperlink ref="B1386" r:id="rId555" display="Pengadaan Benih Karet Siap Tanam (Kegiatan Pengembangan Kebun Karet Rakyat di Kabupaten Melawi),Pengadaan Benih Karet Siap Tanam (Kegiatan Pengembangan Kebun Karet Rakyat di Kabupaten Melawi, Sintang dan Mempawah),Pengadaan Benih Karet Opas Siap Tanam (Kegiatan Pengembangan Kebun Karet Rakyat di Kabupaten Melawi, Sintang dan Mempawah) Tender Ulang spse 4.3"/>
    <hyperlink ref="D1386" r:id="rId556" display="Tender Sudah Selesai"/>
    <hyperlink ref="B1391" r:id="rId557" display="Belanja Modal Peningkatan Gedung Khusus / Bangunan Khusus / Konstruksi Khusus - Peningkatan Laboratorium PHP (DAK) spse 4.3"/>
    <hyperlink ref="D1391" r:id="rId558" display="Tender Sudah Selesai"/>
    <hyperlink ref="B1396" r:id="rId559" display="Penyusunan Master Plan Pembangunan Dermaga Penyeberangan Sejangkung Kab. Sambas Seleksi Gagal spse 4.3"/>
    <hyperlink ref="D1396" r:id="rId560" display="Seleksi Batal"/>
    <hyperlink ref="B1401" r:id="rId561" display="Penyusunan Master Plan Pembangunan Dermaga Penyeberangan Parit Raja Kab. Sambas Seleksi Gagal spse 4.3"/>
    <hyperlink ref="D1401" r:id="rId562" display="Seleksi Batal"/>
    <hyperlink ref="B1406" r:id="rId563" display="Penyusunan Kajian UKL - UPL Pembangunan Dermaga Sungai di Desa Sumber Agung Kecamatan Batu Ampar Kab. Kubu Raya Seleksi Gagal spse 4.3"/>
    <hyperlink ref="D1406" r:id="rId564" display="Seleksi Batal"/>
    <hyperlink ref="B1411" r:id="rId565" display="Penyusunan Kajian UKL - UPL Pembangunan Dermaga Sungai di Desa Sungai Mayam Kec. Meliau Kab. Sanggau Seleksi Gagal spse 4.3"/>
    <hyperlink ref="D1411" r:id="rId566" display="Seleksi Batal"/>
    <hyperlink ref="B1416" r:id="rId567" display="Penyusunan Kajian UKL-UPL Pembangunan Dermaga Sungai di Desa Gudang Hulu Kec. Selimbau Kab. Hulu Seleksi Gagal spse 4.3"/>
    <hyperlink ref="D1416" r:id="rId568" display="Seleksi Batal"/>
    <hyperlink ref="B1421" r:id="rId569" display="Penyusunan Kajian UKL-UPL Pembangunan Dermaga Penyeberangan Sepauk Kab. Sekadau Seleksi Gagal spse 4.3"/>
    <hyperlink ref="D1421" r:id="rId570" display="Seleksi Batal"/>
    <hyperlink ref="B1426" r:id="rId571" display="Penyusunan Kajian UKL - UPL Pembangunan Dermaga Penyeberangan Belitang Kab. Sekadau Seleksi Gagal spse 4.3"/>
    <hyperlink ref="D1426" r:id="rId572" display="Seleksi Batal"/>
    <hyperlink ref="B1431" r:id="rId573" display="Pembangunan Dermaga di PPI Selakau Sambas (DAK) Tender Ulang spse 4.3"/>
    <hyperlink ref="D1431" r:id="rId574" display="Tender Sudah Selesai"/>
    <hyperlink ref="B1436" r:id="rId575" display="Rehabilitasi GOR Pangsuma Tender Batal spse 4.3"/>
    <hyperlink ref="D1436" r:id="rId576" display="Tender Batal"/>
    <hyperlink ref="B1441" r:id="rId577" display="Pengawasan Pembangunan Gedung Ditreskrimsus Polda Tahap II spse 4.3"/>
    <hyperlink ref="D1441" r:id="rId578" display="Tender Sudah Selesai"/>
    <hyperlink ref="B1446" r:id="rId579" display="Belanja modal pembangunan gedung rawat inap (Bangsal Psikogeriatri) Tender Gagal spse 4.3"/>
    <hyperlink ref="D1446" r:id="rId580" display="Tender Batal"/>
    <hyperlink ref="B1451" r:id="rId581" display="Belanja modal pengadaan konstruksi/pembelian rumah dinas/mess/asrama Tender Gagal spse 4.3"/>
    <hyperlink ref="D1451" r:id="rId582" display="Tender Batal"/>
    <hyperlink ref="B1456" r:id="rId583" display="KEGIATAN PENINGKATAN JALAN DALAM KOTA PONTIANAK CS spse 4.3 Evaluasi Ulang"/>
    <hyperlink ref="D1456" r:id="rId584" display="Tender Sudah Selesai"/>
    <hyperlink ref="B1461" r:id="rId585" display="Belanja modal pembangunan gedung instalasi farmasi spse 4.3"/>
    <hyperlink ref="D1461" r:id="rId586" display="Tender Sudah Selesai"/>
    <hyperlink ref="B1466" r:id="rId587" display="Belanja perlengkapan/peralatan rumah tangga Tender Gagal spse 4.3"/>
    <hyperlink ref="D1466" r:id="rId588" display="Tender Batal"/>
    <hyperlink ref="B1471" r:id="rId589" display="Inventarisasi dan Penyusunan Database Pengembangan Kinerja Air Minum spse 4.3"/>
    <hyperlink ref="D1471" r:id="rId590" display="Tender Sudah Selesai"/>
    <hyperlink ref="B1476" r:id="rId591" display="Inventarisasi dan Penyusunan Database Pengembangan Penyehatan Lingkungan spse 4.3"/>
    <hyperlink ref="D1476" r:id="rId592" display="Tender Sudah Selesai"/>
    <hyperlink ref="B1481" r:id="rId593" display="Belanja modal pengadaan alat-alat laboratorium fisika/geologi/geodesi spse 4.3"/>
    <hyperlink ref="D1481" r:id="rId594" display="Tender Sudah Selesai"/>
    <hyperlink ref="B1486" r:id="rId595" display="Renovasi/Rehabilitasi Gedung laboratroium Kesmas Tender Gagal spse 4.3"/>
    <hyperlink ref="D1486" r:id="rId596" display="Tender Batal"/>
    <hyperlink ref="B1491" r:id="rId597" display="Perencanaan Studi Gedung Kantor Gubernur Kapuas Raya (DED, Masterplan, dan FS) Seleksi Ulang spse 4.3"/>
    <hyperlink ref="D1491" r:id="rId598" display="Tender Sudah Selesai"/>
    <hyperlink ref="B1496" r:id="rId599" display="Perencanaan Studi Gedung Kantor DPRD Kapuas Raya (DED, Masterplan, dan FS) Seleksi Ulang spse 4.3"/>
    <hyperlink ref="D1496" r:id="rId600" display="Tender Sudah Selesai"/>
    <hyperlink ref="B1501" r:id="rId601" display="Pengadaan Konsumsi Atlet Pusat Pendidikan dan latihan Olahraga Pelajar (PPLP) spse 4.3"/>
    <hyperlink ref="D1501" r:id="rId602" display="Tender Sudah Selesai"/>
    <hyperlink ref="B1506" r:id="rId603" display="PAKET 30, PENGAWASAN TEKNIS PEMBANGUNAN JEMBATAN DAN TURAP BETON DI RUAS JALAN SEI. RAYA DALAM (SUDARSO) spse 4.3"/>
    <hyperlink ref="D1506" r:id="rId604" display="Tender Sudah Selesai"/>
    <hyperlink ref="B1511" r:id="rId605" display="PAKET 27, PENGAWASAN TEKNIS PEMBANGUNAN JEMBATAN RIAM DANAU spse 4.3"/>
    <hyperlink ref="D1511" r:id="rId606" display="Tender Sudah Selesai"/>
    <hyperlink ref="B1516" r:id="rId607" display="PAKET 26, PENGAWASAN TEKNIS PENGGANTIAN JEMBATAN SUNGAI TEBAS RUAS JALAN LINGKAR TEBAS spse 4.3"/>
    <hyperlink ref="D1516" r:id="rId608" display="Tender Sudah Selesai"/>
    <hyperlink ref="B1521" r:id="rId609" display="PAKET 23, PENGAWASAN TEKNIS PEMBANGUNAN JEMBATAN DESA KOREK - PASAK spse 4.3"/>
    <hyperlink ref="D1521" r:id="rId610" display="Tender Sudah Selesai"/>
    <hyperlink ref="B1526" r:id="rId611" display="PAKET 15, PENGAWASAN TEKNIS PENGGANTIAN/ PEMBANGUNAN JEMBATAN RAWAK KECIL CS spse 4.3"/>
    <hyperlink ref="D1526" r:id="rId612" display="Tender Sudah Selesai"/>
    <hyperlink ref="B1531" r:id="rId613" display="Pembangunan Gedung Kantor Resort Pengelolaan Hutan UPT KPH Wilayah Bengkayang spse 4.3"/>
    <hyperlink ref="D1531" r:id="rId614" display="Tender Sudah Selesai"/>
    <hyperlink ref="B1536" r:id="rId615" display="Penyediaan Bahan Makanan dan Minuman harian siswa SPP-SPMA spse 4.3"/>
    <hyperlink ref="D1536" r:id="rId616" display="Tender Sudah Selesai"/>
    <hyperlink ref="B1541" r:id="rId617" display="Pengadaan dan Pemasangan Perlengkapan Jalan di Ruas Jalan Ketapang-Kendawangan spse 4.3"/>
    <hyperlink ref="D1541" r:id="rId618" display="Tender Sudah Selesai"/>
    <hyperlink ref="B1546" r:id="rId619" display="PENINGKATAN JALAN PASAR SEGEDONG Cs spse 4.3"/>
    <hyperlink ref="D1546" r:id="rId620" display="Tender Sudah Selesai"/>
    <hyperlink ref="B1551" r:id="rId621" display="PEMBANGUNAN JALAN PENIRAMAN - PURUN KECIL Cs spse 4.3 Evaluasi Ulang"/>
    <hyperlink ref="D1551" r:id="rId622" display="Tender Sudah Selesai"/>
    <hyperlink ref="B1556" r:id="rId623" display="Pengadaan Benih Lada Siap Tanam (Rehabilitasi Tanaman Lada) spse 4.3"/>
    <hyperlink ref="D1556" r:id="rId624" display="Tender Sudah Selesai"/>
    <hyperlink ref="B1561" r:id="rId625" display="Belanja Modal Peningkatan Interior Gedung Pertemuan / Aula Kantor Gubernur Kalimantan Barat spse 4.3"/>
    <hyperlink ref="D1561" r:id="rId626" display="Tender Sudah Selesai"/>
    <hyperlink ref="B1566" r:id="rId627" display="Belanja modal pengadaan tempat tidur Tender Ulang spse 4.3"/>
    <hyperlink ref="D1566" r:id="rId628" display="Tender Sudah Selesai"/>
    <hyperlink ref="B1571" r:id="rId629" display="PENINGKATAN JALAN H. RAIS A RAHMAN Tender Batal spse 4.3"/>
    <hyperlink ref="D1571" r:id="rId630" display="Tender Batal"/>
    <hyperlink ref="B1576" r:id="rId631" display="Pengadaan Vaksin Rabies dan Perlengkapannya Tender Ulang spse 4.3"/>
    <hyperlink ref="D1576" r:id="rId632" display="Tender Sudah Selesai"/>
    <hyperlink ref="B1581" r:id="rId633" display="Data Base Spasial Daerah Irigasi Kewenangan Provinsi di Lintas Kabupaten Mempawah- Landak dan Bengkayang spse 4.3"/>
    <hyperlink ref="D1581" r:id="rId634" display="Tender Sudah Selesai"/>
    <hyperlink ref="B1586" r:id="rId635" display="Data Base Spasial Daerah Irigasi Rawa Kewenangan Provinsi di Kabupaten Kubu Raya spse 4.3"/>
    <hyperlink ref="D1586" r:id="rId636" display="Tender Sudah Selesai"/>
    <hyperlink ref="B1591" r:id="rId637" display="Data Base Spasial Daerah Irigasi Rawa Kewenangan Provinsi di Kabupaten Mempawah spse 4.3"/>
    <hyperlink ref="D1591" r:id="rId638" display="Tender Sudah Selesai"/>
    <hyperlink ref="B1596" r:id="rId639" display="Peningkatan Jaringan Irigasi DI. Pak Bulu Tender Ulang spse 4.3"/>
    <hyperlink ref="D1596" r:id="rId640" display="Tender Sudah Selesai"/>
    <hyperlink ref="B1601" r:id="rId641" display="Perencanaan Studi Gedung Kantor DPRD Kapuas Raya (DED, Masterplan, dan FS) Seleksi Gagal spse 4.3"/>
    <hyperlink ref="D1601" r:id="rId642" display="Seleksi Batal"/>
    <hyperlink ref="B1606" r:id="rId643" display="Perencanaan Studi Gedung Kantor Gubernur Kapuas Raya (DED, Masterplan, dan FS) Seleksi Gagal spse 4.3"/>
    <hyperlink ref="D1606" r:id="rId644" display="Seleksi Batal"/>
    <hyperlink ref="B1611" r:id="rId645" display="PENINGKATAN / PELEBARAN STRUKTUR JALAN SIDUK - SUKADANA Tender Gagal spse 4.3"/>
    <hyperlink ref="D1611" r:id="rId646" display="Tender Batal"/>
    <hyperlink ref="B1616" r:id="rId647" display="Study Identifikasi Desain Potensi Air Baku Kabupaten Kayong Utara Seleksi Gagal spse 4.3"/>
    <hyperlink ref="D1616" r:id="rId648" display="Seleksi Batal"/>
    <hyperlink ref="B1621" r:id="rId649" display="Rehabilitasi Pondasi Monumen dan Lantai TMP Patria Jaya spse 4.3"/>
    <hyperlink ref="D1621" r:id="rId650" display="Tender Sudah Selesai"/>
    <hyperlink ref="B1626" r:id="rId651" display="Rehabilitasi Pagar TMP Patria Jaya spse 4.3"/>
    <hyperlink ref="D1626" r:id="rId652" display="Tender Sudah Selesai"/>
    <hyperlink ref="B1631" r:id="rId653" display="Belanja Bahan/Material (Bahan Kimia)/Tender Tender Ulang spse 4.3"/>
    <hyperlink ref="D1631" r:id="rId654" display="Tender Sudah Selesai"/>
    <hyperlink ref="B1636" r:id="rId655" display="PENINGKATAN JALAN TEBIDAH - BUNYAU Tender Gagal spse 4.3"/>
    <hyperlink ref="D1636" r:id="rId656" display="Tender Batal"/>
    <hyperlink ref="B1641" r:id="rId657" display="Penyusunan Rencana Pengelolaan Zonasi Kawasan Konservasi Seleksi Gagal spse 4.3"/>
    <hyperlink ref="D1641" r:id="rId658" display="Seleksi Batal"/>
    <hyperlink ref="B1646" r:id="rId659" display="Pengadaan Tambat Labuh Kapal Di Pulau Lemukutan (DAK) spse 4.3"/>
    <hyperlink ref="D1646" r:id="rId660" display="Tender Sudah Selesai"/>
    <hyperlink ref="B1651" r:id="rId661" display="Pengadaan Tambat Labuh Kapal Di Pulau Kabung (DAK) spse 4.3"/>
    <hyperlink ref="D1651" r:id="rId662" display="Tender Sudah Selesai"/>
    <hyperlink ref="B1656" r:id="rId663" display="Manajemen Konstruksi Pembangunan Gedung kantor Gubernur Kalimantan Barat Seleksi Gagal Seleksi Ulang spse 4.3"/>
    <hyperlink ref="D1656" r:id="rId664" display="Seleksi Batal"/>
    <hyperlink ref="B1661" r:id="rId665" display="Manajemen Konstruksi Pembangunan Gedung RSUD Soedarso Tahap I Seleksi Ulang spse 4.3"/>
    <hyperlink ref="D1661" r:id="rId666" display="Tender Sudah Selesai"/>
    <hyperlink ref="B1666" r:id="rId667" display="Belanja Bahan/Material (Bahan Kimia)/Tender Tender Gagal Tender Ulang spse 4.3"/>
    <hyperlink ref="D1666" r:id="rId668" display="Tender Batal"/>
    <hyperlink ref="B1671" r:id="rId669" display="PENINGKATAN JALAN NANGA MAU - TEBIDAH spse 4.3"/>
    <hyperlink ref="D1671" r:id="rId670" display="Tender Sudah Selesai"/>
    <hyperlink ref="B1676" r:id="rId671" display="PENGGANTIAN JEMBATAN RUAS JALAN NANGA ELLA - MENUKUNG spse 4.3"/>
    <hyperlink ref="D1676" r:id="rId672" display="Tender Sudah Selesai"/>
    <hyperlink ref="B1681" r:id="rId673" display="PENINGKATAN STRUKTUR JALAN SINTANG - SEMUBUK spse 4.3"/>
    <hyperlink ref="D1681" r:id="rId674" display="Tender Sudah Selesai"/>
    <hyperlink ref="B1686" r:id="rId675" display="PENINGKATAN JALAN SIMPANG MEDANG - NANGA MAU Tender Gagal spse 4.3"/>
    <hyperlink ref="D1686" r:id="rId676" display="Tender Batal"/>
    <hyperlink ref="B1691" r:id="rId677" display="Pengadaan Benih Lada Siap Tanam (Rehabilitasi Tanaman Lada) Tender Batal spse 4.3"/>
    <hyperlink ref="D1691" r:id="rId678" display="Tender Batal"/>
    <hyperlink ref="B1696" r:id="rId679" display="Peninjauan Kembali Perda Prov. Kalbar No. 10 Tahun 2014 tentang RTRWP Kalbar Tahun 2014-2034 spse 4.3"/>
    <hyperlink ref="D1696" r:id="rId680" display="Tender Sudah Selesai"/>
    <hyperlink ref="B1701" r:id="rId681" display="Konsultan Percepatan Proses Persetujuan Subtansi RTR KSP spse 4.3"/>
    <hyperlink ref="D1701" r:id="rId682" display="Tender Sudah Selesai"/>
    <hyperlink ref="B1706" r:id="rId683" display="Peningkatan Jalan Lingkungan Kantor UPT. Pelabuhan Perikanan Prov. Kalbar (DAK) Tender Ulang spse 4.3"/>
    <hyperlink ref="D1706" r:id="rId684" display="Tender Sudah Selesai"/>
    <hyperlink ref="B1711" r:id="rId685" display="Perencanaan Renovasi Kawasan Waterfront di Kab. Sanggau Seleksi Ulang spse 4.3"/>
    <hyperlink ref="D1711" r:id="rId686" display="Tender Sudah Selesai"/>
    <hyperlink ref="B1716" r:id="rId687" display="Perencanaan Pembangunan Kantor BPSDM (Perencanaan Teknis dan Dok. Lingkungan) Seleksi Ulang spse 4.3 Evaluasi Ulang"/>
    <hyperlink ref="D1716" r:id="rId688" display="Tender Sudah Selesai"/>
    <hyperlink ref="B1721" r:id="rId689" display="Perencanaan Pembangunan SMK Terpadu Kab. Sambas (Perencanaan Teknis dan Dok. Lingkungan) Seleksi Ulang spse 4.3"/>
    <hyperlink ref="D1721" r:id="rId690" display="Tender Sudah Selesai"/>
    <hyperlink ref="B1726" r:id="rId691" display="Perencanaan Pembangunan SMA Terpadu Kab. Mempawah Seleksi Ulang spse 4.3 Menyampaikan Penawaran Ulang"/>
    <hyperlink ref="D1726" r:id="rId692" display="Tender Sudah Selesai"/>
    <hyperlink ref="B1731" r:id="rId693" display="PENINGKATAN JALAN SELUANG - MAYASOPA spse 4.3"/>
    <hyperlink ref="D1731" r:id="rId694" display="Tender Sudah Selesai"/>
    <hyperlink ref="B1736" r:id="rId695" display="PENINGKATAN JALAN SUDIRMAN spse 4.3"/>
    <hyperlink ref="D1736" r:id="rId696" display="Tender Sudah Selesai"/>
    <hyperlink ref="B1741" r:id="rId697" display="PENINGKATAN JALAN AUR KUNING – SUKA RAMAI - KENYAUK - KEPARI spse 4.3 Evaluasi Ulang"/>
    <hyperlink ref="D1741" r:id="rId698" display="Tender Sudah Selesai"/>
    <hyperlink ref="B1746" r:id="rId699" display="Pembangunan Dermaga di PPI Selakau Sambas (DAK) Tender Gagal spse 4.3"/>
    <hyperlink ref="D1746" r:id="rId700" display="Tender Batal"/>
    <hyperlink ref="B1751" r:id="rId701" display="PEMBANGUNAN JALAN SIMPANG BANTANAN I - SIMPANG BANTANAN II (SANGE) spse 4.3"/>
    <hyperlink ref="D1751" r:id="rId702" display="Tender Sudah Selesai"/>
    <hyperlink ref="B1756" r:id="rId703" display="PENINGKATAN JALAN BALAI SEBUT - BALAI SEPUAK - SEMUBUK spse 4.3"/>
    <hyperlink ref="D1756" r:id="rId704" display="Tender Sudah Selesai"/>
    <hyperlink ref="B1761" r:id="rId705" display="PENINGKATAN JALAN SIMPANG TANJUNG HARAPAN - TANAH HITAM spse 4.3"/>
    <hyperlink ref="D1761" r:id="rId706" display="Tender Sudah Selesai"/>
    <hyperlink ref="B1766" r:id="rId707" display="PEMBANGUNAN JEMBATAN RUAS SIMPANG BATANAN I - SIMPANG BANTANAN II (JEMBATAN SABING (JEMBATAN SABING CS) spse 4.3"/>
    <hyperlink ref="D1766" r:id="rId708" display="Tender Sudah Selesai"/>
    <hyperlink ref="B1771" r:id="rId709" display="PENINGKATAN JALAN DAN JEMBATAN TUMBANG TITI - TANJUNG spse 4.3"/>
    <hyperlink ref="D1771" r:id="rId710" display="Tender Sudah Selesai"/>
    <hyperlink ref="B1776" r:id="rId711" display="PENINGKATAN STRUKTUR JALAN NGABANG - SERIMBU spse 4.3"/>
    <hyperlink ref="D1776" r:id="rId712" display="Tender Sudah Selesai"/>
    <hyperlink ref="B1781" r:id="rId713" display="PEMBANGUNAN JALAN DAN JEMBATAN BENGKAYANG - SUTI SEMARANG - SERIMBU spse 4.3"/>
    <hyperlink ref="D1781" r:id="rId714" display="Tender Sudah Selesai"/>
    <hyperlink ref="B1786" r:id="rId715" display="PENINGKATAN JALAN SUHAID - MENSUSAI spse 4.3"/>
    <hyperlink ref="D1786" r:id="rId716" display="Tender Sudah Selesai"/>
    <hyperlink ref="B1791" r:id="rId717" display="RELOKASI JALAN DI PASAR SEMITAU spse 4.3"/>
    <hyperlink ref="D1791" r:id="rId718" display="Tender Sudah Selesai"/>
    <hyperlink ref="B1796" r:id="rId719" display="PEMBANGUNAN JALAN NYARI - SEMPATUNG LAWEK spse 4.3"/>
    <hyperlink ref="D1796" r:id="rId720" display="Tender Sudah Selesai"/>
    <hyperlink ref="B1801" r:id="rId721" display="PENINGKATAN STRUKTUR JALAN DAN JEMBATAN SIDAS - SIMPANG TIGA spse 4.3"/>
    <hyperlink ref="D1801" r:id="rId722" display="Tender Sudah Selesai"/>
    <hyperlink ref="B1806" r:id="rId723" display="PENINGKATAN JALAN TEBAS - JAWAI (SENTEBANG) - TANAH HITAM spse 4.3"/>
    <hyperlink ref="D1806" r:id="rId724" display="Tender Sudah Selesai"/>
    <hyperlink ref="B1811" r:id="rId725" display="Pembelian Gedung dan Bangunan (Selasar Kelas III) spse 4.3"/>
    <hyperlink ref="D1811" r:id="rId726" display="Tender Sudah Selesai"/>
    <hyperlink ref="B1816" r:id="rId727" display="PENINGKATAN STRUKTUR JALAN SEKADAU - RAWAK spse 4.3"/>
    <hyperlink ref="D1816" r:id="rId728" display="Tender Sudah Selesai"/>
    <hyperlink ref="B1821" r:id="rId729" display="PENINGKATAN STRUKTUR JALAN DAN JEMBATA SAYAN - KOTA BARU spse 4.3"/>
    <hyperlink ref="D1821" r:id="rId730" display="Tender Sudah Selesai"/>
    <hyperlink ref="B1826" r:id="rId731" display="PENINGKATAN STRUKTUR JALAN PONTIANAK - SEI KAKAP spse 4.3"/>
    <hyperlink ref="D1826" r:id="rId732" display="Tender Sudah Selesai"/>
    <hyperlink ref="B1831" r:id="rId733" display="Belanja Perlengkapan Kantor (Lift) spse 4.3"/>
    <hyperlink ref="D1831" r:id="rId734" display="Tender Sudah Selesai"/>
    <hyperlink ref="B1836" r:id="rId735" display="Penyusunan Inventarisasi Database Jalan Desa Kawasan Permukiman Wilayah III (Kab. Sanggau, Kab. Sekadau, Kab. Melawi, Kab. Kapuas Hulu, Kab. Sintang) spse 4.3 Menyampaikan Penawaran Ulang"/>
    <hyperlink ref="D1836" r:id="rId736" display="Tender Sudah Selesai"/>
    <hyperlink ref="B1841" r:id="rId737" display="Penyusunan Inventarisasi Database Jalan Desa Kawasan Permukiman Wilayah II (Kab. Mempawah, Kab. Bengkayang, Kab. Sambas, Kab. Landak) spse 4.3 Menyampaikan Penawaran Ulang"/>
    <hyperlink ref="D1841" r:id="rId738" display="Tender Sudah Selesai"/>
    <hyperlink ref="B1846" r:id="rId739" display="Perencanaan Peningkatan Halaman Kantor Gubernur Seleksi Gagal Seleksi Ulang spse 4.3"/>
    <hyperlink ref="D1846" r:id="rId740" display="Seleksi Batal"/>
    <hyperlink ref="B1851" r:id="rId741" display="Penyusunan Inventarisasi Database Jalan Desa Kawasan Permukiman Wilayah I (Kab, Kayong Utara, Kab. Ketapang, Kab. Kubu Raya) spse 4.3 Menyampaikan Penawaran Ulang"/>
    <hyperlink ref="D1851" r:id="rId742" display="Tender Sudah Selesai"/>
    <hyperlink ref="B1856" r:id="rId743" display="Data Base Spasial Daerah Irigasi Rawa Kewenangan Provinsi di Kabupaten Sambas spse 4.3"/>
    <hyperlink ref="D1856" r:id="rId744" display="Tender Sudah Selesai"/>
    <hyperlink ref="B1861" r:id="rId745" display="DED Daerah Irigasi Tambak Sambas (Sebangkau, Sei. Batang, Sarang Burung Nilam, Sarang Burung Danau) Kabupaten Sambas spse 4.3 Menyampaikan Penawaran Ulang"/>
    <hyperlink ref="D1861" r:id="rId746" display="Tender Sudah Selesai"/>
    <hyperlink ref="B1866" r:id="rId747" display="Pengadaan Vaksin Rabies dan Perlengkapannya Tender Gagal spse 4.3"/>
    <hyperlink ref="D1866" r:id="rId748" display="Tender Batal"/>
    <hyperlink ref="B1871" r:id="rId749" display="Review Design Perencanaan Pagar IPDN (Pagar + Saluran) Seleksi Gagal spse 4.3"/>
    <hyperlink ref="D1871" r:id="rId750" display="Seleksi Batal"/>
    <hyperlink ref="B1876" r:id="rId751" display="Pengawasan Pembangunan Gedung Kantor Dinas Perkebunan (lanjutan/Tahap VI) spse 4.3"/>
    <hyperlink ref="D1876" r:id="rId752" display="Tender Sudah Selesai"/>
    <hyperlink ref="B1881" r:id="rId753" display="Konsultan penyusunan rapergub database dan inventarisasi bangunan gedung negara dan rumah negara (beserta juklak/juknis) spse 4.3 Evaluasi Ulang"/>
    <hyperlink ref="D1881" r:id="rId754" display="Tender Sudah Selesai"/>
    <hyperlink ref="B1886" r:id="rId755" display="Perencanaan Gedung Barak SPN di Singkawang spse 4.3"/>
    <hyperlink ref="D1886" r:id="rId756" display="Tender Sudah Selesai"/>
    <hyperlink ref="B1891" r:id="rId757" display="Belanja Modal Pengadaan Alat-alat Angkutan Darat Bermotor Sedan Tender Batal spse 4.3"/>
    <hyperlink ref="D1891" r:id="rId758" display="Tender Batal"/>
    <hyperlink ref="B1896" r:id="rId759" display="Peningkatan Jaringan Irigasi DI. Pak Bulu Tender Gagal spse 4.3"/>
    <hyperlink ref="D1896" r:id="rId760" display="Tender Batal"/>
    <hyperlink ref="B1901" r:id="rId761" display="Perencanaan Renovasi Pendopo/Rumah Jabatan Gubernur Kalimantan Barat spse 4.3"/>
    <hyperlink ref="D1901" r:id="rId762" display="Tender Sudah Selesai"/>
    <hyperlink ref="B1906" r:id="rId763" display="Perencanaan Renovasi Kawasan Pendopo/Rumah Jabatan Gubernur (Landscape) spse 4.3"/>
    <hyperlink ref="D1906" r:id="rId764" display="Tender Sudah Selesai"/>
    <hyperlink ref="B1911" r:id="rId765" display="Pengkajian Kerusakan dan Rencana Penanganan Lanjutan Gedung Guest House Rumah Melayu Prov. Kalbar Seleksi Gagal spse 4.3"/>
    <hyperlink ref="D1911" r:id="rId766" display="Seleksi Batal"/>
    <hyperlink ref="B1916" r:id="rId767" display="Belanja Surat Ketetapan Pajak Daerah spse 4.3"/>
    <hyperlink ref="D1916" r:id="rId768" display="Tender Sudah Selesai"/>
    <hyperlink ref="B1921" r:id="rId769" display="Perencanaan Pembangunan Kantor BPSDM (Perencanaan Teknis dan Dok. Lingkungan) Seleksi Gagal spse 4.3"/>
    <hyperlink ref="D1921" r:id="rId770" display="Seleksi Batal"/>
    <hyperlink ref="B1926" r:id="rId771" display="Perencanaan Pembangunan SMK Terpadu Kab. Sambas (Perencanaan Teknis dan Dok. Lingkungan) Seleksi Gagal spse 4.3"/>
    <hyperlink ref="D1926" r:id="rId772" display="Seleksi Batal"/>
    <hyperlink ref="B1931" r:id="rId773" display="Perencanaan Pembangunan SMA Terpadu Kab. Mempawah Seleksi Gagal spse 4.3"/>
    <hyperlink ref="D1931" r:id="rId774" display="Seleksi Batal"/>
    <hyperlink ref="B1936" r:id="rId775" display="PAKET 13, PENGAWASAN TEKNIS PENINGKATAN STRUKTUR JALAN SINTANG SEMUBUK spse 4.3"/>
    <hyperlink ref="D1936" r:id="rId776" display="Tender Sudah Selesai"/>
    <hyperlink ref="B1941" r:id="rId777" display="Belanja Bahan/Material (Bahan Kimia)/Tender Tender Gagal spse 4.3"/>
    <hyperlink ref="D1941" r:id="rId778" display="Tender Batal"/>
    <hyperlink ref="B1946" r:id="rId779" display="Perencanaan Renovasi Kawasan Waterfront di Kab. Sanggau Seleksi Gagal spse 4.3"/>
    <hyperlink ref="D1946" r:id="rId780" display="Seleksi Batal"/>
    <hyperlink ref="B1951" r:id="rId781" display="Pengadaan Bahan Kimia Rumah Sakit spse 4.3"/>
    <hyperlink ref="D1951" r:id="rId782" display="Tender Sudah Selesai"/>
    <hyperlink ref="B1956" r:id="rId783" display="Perencanaan Studi Gedung Kantor Gubernur Kapuas Raya (DED, Masterplan, dan FS) Seleksi Batal spse 4.3"/>
    <hyperlink ref="D1956" r:id="rId784" display="Seleksi Batal"/>
    <hyperlink ref="B1961" r:id="rId785" display="Perencanaan Studi Gedung Kantor DPRD Kapuas Raya (DED, Masterplan, dan FS) Seleksi Batal spse 4.3"/>
    <hyperlink ref="D1961" r:id="rId786" display="Seleksi Batal"/>
    <hyperlink ref="B1966" r:id="rId787" display="PAKET 29, PENGAWASAN TEKNIS PENINGKATAN JALAN DI KAB. MEMPAWAH spse 4.3"/>
    <hyperlink ref="D1966" r:id="rId788" display="Tender Sudah Selesai"/>
    <hyperlink ref="B1971" r:id="rId789" display="PAKET 28, PENGAWASAN TEKNIS PEMBANGUNAN JALAN SIMPANG BANTANAN I - SIMPANG BANTANAN II (SANGE) spse 4.3"/>
    <hyperlink ref="D1971" r:id="rId790" display="Tender Sudah Selesai"/>
    <hyperlink ref="B1976" r:id="rId791" display="PAKET 25, PENGAWASAN TEKNIS PENINGKATAN JALAN AUR KUNING - SUKARAMAI - KENYAUK - KEPARI spse 4.3"/>
    <hyperlink ref="D1976" r:id="rId792" display="Tender Sudah Selesai"/>
    <hyperlink ref="B1981" r:id="rId793" display="PAKET 24, PENGAWASAN TEKNIS PENINGKATAN JALAN TEBAS - JAWAI (SENTEBANG) - TANAH HITAM spse 4.3"/>
    <hyperlink ref="D1981" r:id="rId794" display="Tender Sudah Selesai"/>
    <hyperlink ref="B1986" r:id="rId795" display="PAKET 22, PENGAWASAN TEKNIS PENINGKATAN JALAN SELUANG - MAYASOPA spse 4.3"/>
    <hyperlink ref="D1986" r:id="rId796" display="Tender Sudah Selesai"/>
    <hyperlink ref="B1991" r:id="rId797" display="PAKET 21, PENGAWASAN TEKNIS PENINGKATAN JALAN TEBIDAH - BUNYAU spse 4.3"/>
    <hyperlink ref="D1991" r:id="rId798" display="Tender Sudah Selesai"/>
    <hyperlink ref="B1996" r:id="rId799" display="PAKET 20, PENGAWASAN TEKNIS PENINGKATAN JALAN NANGA MAU - TEBIDAH spse 4.3"/>
    <hyperlink ref="D1996" r:id="rId800" display="Tender Sudah Selesai"/>
    <hyperlink ref="B2001" r:id="rId801" display="PAKET 19, PENGAWASAN TEKNIS PENINGKATAN JALAN DALAM KOTA PONTIANAK CS spse 4.3"/>
    <hyperlink ref="D2001" r:id="rId802" display="Tender Sudah Selesai"/>
    <hyperlink ref="B2006" r:id="rId803" display="PAKET 18, PENGAWASAN TEKNIS PENINGKATAN STRUKTUR JALAN PONTIANAK - SEI. KAKAP spse 4.3"/>
    <hyperlink ref="D2006" r:id="rId804" display="Tender Sudah Selesai"/>
    <hyperlink ref="B2011" r:id="rId805" display="PAKET 17, PENGAWASAN TEKNIS PENINGKATAN JALAN BALAI SEBUT - BALAI SEPUAK - SEMUBUK spse 4.3"/>
    <hyperlink ref="D2011" r:id="rId806" display="Tender Sudah Selesai"/>
    <hyperlink ref="B2016" r:id="rId807" display="PAKET 16, PENGAWASAN TEKNIS PEMBANGUNAN / PENGGANTIAN JEMBATAN SABING CS spse 4.3"/>
    <hyperlink ref="D2016" r:id="rId808" display="Tender Sudah Selesai"/>
    <hyperlink ref="B2021" r:id="rId809" display="PAKET 14, PENGAWASAN TEKNIS PENINGKATAN STRUKTUR JALAN SEKADAU - RAWAK spse 4.3"/>
    <hyperlink ref="D2021" r:id="rId810" display="Tender Sudah Selesai"/>
    <hyperlink ref="B2026" r:id="rId811" display="PAKET 12, PENGAWASAN TEKNIS PENINGKATAN STRUKTUR JALAN DAN JEMBATAN SIDAS - SIMPANG TIGA spse 4.3"/>
    <hyperlink ref="D2026" r:id="rId812" display="Tender Sudah Selesai"/>
    <hyperlink ref="B2031" r:id="rId813" display="PAKET 11, PENGAWASAN TEKNIS PENINGKATAN / PELEBARAN STRUKTUR JALAN SIDUK - SUKADANA spse 4.3"/>
    <hyperlink ref="D2031" r:id="rId814" display="Tender Sudah Selesai"/>
    <hyperlink ref="B2036" r:id="rId815" display="PAKET 10, PENGAWASAN TEKNIS RELOKASI JALAN DI PASAR SEMITAU spse 4.3"/>
    <hyperlink ref="D2036" r:id="rId816" display="Tender Sudah Selesai"/>
    <hyperlink ref="B2041" r:id="rId817" display="PAKET 9, PENGAWASAN TEKNIS PENINGKATAN JALAN JALAN SUHAID - MENSUSAI spse 4.3"/>
    <hyperlink ref="D2041" r:id="rId818" display="Tender Sudah Selesai"/>
    <hyperlink ref="B2046" r:id="rId819" display="PAKET 8, PENGAWASAN TEKNIS PEMBANGUNAN JALAN DAN JEMBATAN BENGKAYANG - SUTI SEMARANG - SERIMBU spse 4.3"/>
    <hyperlink ref="D2046" r:id="rId820" display="Tender Sudah Selesai"/>
    <hyperlink ref="B2051" r:id="rId821" display="PAKET 7, PENGAWASAN TEKNIS PENINGKATAN STRUKTUR JALAN NGABANG - SERIMBU spse 4.3"/>
    <hyperlink ref="D2051" r:id="rId822" display="Tender Sudah Selesai"/>
    <hyperlink ref="B2056" r:id="rId823" display="PAKET 6, PENGAWASAN TEKNIS PENINGKATAN JALAN SIMPANG MEDANG - NANGA MAU spse 4.3"/>
    <hyperlink ref="D2056" r:id="rId824" display="Tender Sudah Selesai"/>
    <hyperlink ref="B2061" r:id="rId825" display="Rehabilitasi Bangunan Panti Benih/Bangsal/Hatchery spse 4.3"/>
    <hyperlink ref="D2061" r:id="rId826" display="Tender Sudah Selesai"/>
    <hyperlink ref="B2066" r:id="rId827" display="PAKET 5, PENGAWASAN TEKNIS PENINGKATAN JALAN SAYAN - KOTA BARU spse 4.3"/>
    <hyperlink ref="D2066" r:id="rId828" display="Tender Sudah Selesai"/>
    <hyperlink ref="B2071" r:id="rId829" display="PAKET 4, PENGAWASAN TEKNIS PENINGKATAN JALAN SIMPANG TANJUNG HARAPAN - TANAH HITAM spse 4.3"/>
    <hyperlink ref="D2071" r:id="rId830" display="Tender Sudah Selesai"/>
    <hyperlink ref="B2076" r:id="rId831" display="PAKET 3, PENGAWASAN TEKNIS PENINGKATAN JALAN DAN JEMBATAN TUMBANG TITI - TANJUNG spse 4.3"/>
    <hyperlink ref="D2076" r:id="rId832" display="Tender Sudah Selesai"/>
    <hyperlink ref="B2081" r:id="rId833" display="Rehabilitasi Kolam atau Bak Induk/Calon Induk spse 4.3"/>
    <hyperlink ref="D2081" r:id="rId834" display="Tender Sudah Selesai"/>
    <hyperlink ref="B2086" r:id="rId835" display="PAKET 2, PENGAWASAN TEKNIS PENINGKATAN JALAN SUDIRMAN spse 4.3"/>
    <hyperlink ref="D2086" r:id="rId836" display="Tender Sudah Selesai"/>
    <hyperlink ref="B2091" r:id="rId837" display="Rehabilitasi Jaringan Rawa DIR. Sei. Awan (DAK) Tender Ulang spse 4.3"/>
    <hyperlink ref="D2091" r:id="rId838" display="Tender Sudah Selesai"/>
    <hyperlink ref="B2096" r:id="rId839" display="Rehabilitasi Jaringan Rawa DIR. Punggur Selat Kering (DAK) Tender Ulang spse 4.3"/>
    <hyperlink ref="D2096" r:id="rId840" display="Tender Sudah Selesai"/>
    <hyperlink ref="B2101" r:id="rId841" display="Manajemen Konstruksi Pembangunan Gedung kantor Gubernur Kalimantan Barat Seleksi Gagal spse 4.3"/>
    <hyperlink ref="D2101" r:id="rId842" display="Seleksi Batal"/>
    <hyperlink ref="B2106" r:id="rId843" display="Perencanaan Peningkatan Halaman Kantor Gubernur Seleksi Gagal spse 4.3"/>
    <hyperlink ref="D2106" r:id="rId844" display="Seleksi Batal"/>
    <hyperlink ref="B2111" r:id="rId845" display="Perencanaan Rehabilitasi Kantor Gubernur Eksisting Kalimantan Barat spse 4.3"/>
    <hyperlink ref="D2111" r:id="rId846" display="Tender Sudah Selesai"/>
    <hyperlink ref="B2116" r:id="rId847" display="Manajemen Konstruksi Pembangunan Gedung RSUD Soedarso Tahap I Seleksi Gagal spse 4.3"/>
    <hyperlink ref="D2116" r:id="rId848" display="Seleksi Batal"/>
    <hyperlink ref="B2121" r:id="rId849" display="Pengadaan Benih Karet Siap Tanam (Kegiatan Pengembangan Kebun Karet Rakyat di Kabupaten Melawi),Pengadaan Benih Karet Siap Tanam (Kegiatan Pengembangan Kebun Karet Rakyat di Kabupaten Melawi, Sintang dan Mempawah),Pengadaan Benih Karet Opas Siap Tanam (Kegiatan Pengembangan Kebun Karet Rakyat di Kabupaten Melawi, Sintang dan Mempawah) Tender Gagal spse 4.3"/>
    <hyperlink ref="D2121" r:id="rId850" display="Tender Batal"/>
    <hyperlink ref="B2126" r:id="rId851" display="Perencanaan Peningkatan Kawasan RSJ/RSK Singkawang spse 4.3"/>
    <hyperlink ref="D2126" r:id="rId852" display="Tender Sudah Selesai"/>
    <hyperlink ref="B2131" r:id="rId853" display="Peningkatan Jalan Lingkungan Kantor UPT. Pelabuhan Perikanan Prov. Kalbar (DAK) Tender Gagal spse 4.3"/>
    <hyperlink ref="D2131" r:id="rId854" display="Tender Batal"/>
    <hyperlink ref="B2136" r:id="rId855" display="Perencanaan Pembangunan Gedung Kantor Gubernur Prov. Kalbar spse 4.3"/>
    <hyperlink ref="D2136" r:id="rId856" display="Tender Sudah Selesai"/>
    <hyperlink ref="B2141" r:id="rId857" display="Perencanaan Pembangunan Gedung RSUD Soedarso spse 4.3"/>
    <hyperlink ref="D2141" r:id="rId858" display="Tender Sudah Selesai"/>
    <hyperlink ref="B2146" r:id="rId859" display="Belanja Modal Pengadaan Alat-alat Angkutan Darat Bermotor Sedan Tender Batal spse 4.3"/>
    <hyperlink ref="D2146" r:id="rId860" display="Tender Batal"/>
    <hyperlink ref="B2151" r:id="rId861" display="Pengadaan konsumsi penyelenggaraan pelatihan dasar CPNS sebanyak 10 angkatan Tender Ulang spse 4.3"/>
    <hyperlink ref="D2151" r:id="rId862" display="Tender Sudah Selesai"/>
    <hyperlink ref="B2156" r:id="rId863" display="Belanja modal pengadaan tempat tidur Tender Gagal spse 4.3 Menyampaikan Penawaran Ulang"/>
    <hyperlink ref="D2156" r:id="rId864" display="Tender Batal"/>
    <hyperlink ref="B2161" r:id="rId865" display="PAKET 9A, DATA BASE JALAN DAN JEMBATAN PROVINSI BERBASIS GIS spse 4.3"/>
    <hyperlink ref="D2161" r:id="rId866" display="Tender Sudah Selesai"/>
    <hyperlink ref="B2166" r:id="rId867" display="PAKET 8A, LEGER RUAS JALAN BENGKAYANG - SUTI SEMARANG spse 4.3"/>
    <hyperlink ref="D2166" r:id="rId868" display="Tender Sudah Selesai"/>
    <hyperlink ref="B2171" r:id="rId869" display="PAKET 7A, PERENCANAAN TEKNIS JEMBATAN SEJIRAM - SEMITAU spse 4.3"/>
    <hyperlink ref="D2171" r:id="rId870" display="Tender Sudah Selesai"/>
    <hyperlink ref="B2176" r:id="rId871" display="PAKET 6A, PERENCANAAN JEMBATAN RAWAK KECIL spse 4.3"/>
    <hyperlink ref="D2176" r:id="rId872" display="Tender Sudah Selesai"/>
    <hyperlink ref="B2181" r:id="rId873" display="Belanja Modal Konsultansi Perencanaan Gedung Instalasi Farmasi spse 4.3"/>
    <hyperlink ref="D2181" r:id="rId874" display="Tender Sudah Selesai"/>
    <hyperlink ref="B2186" r:id="rId875" display="PAKET 5A, PERENCANAAN JEMBATAN MENYEBAR PROVINSI KALIMANTAN BARAT spse 4.3"/>
    <hyperlink ref="D2186" r:id="rId876" display="Tender Sudah Selesai"/>
    <hyperlink ref="B2191" r:id="rId877" display="Penyedia Jasa Kebersihan Kantor Tender Ulang spse 4.3"/>
    <hyperlink ref="D2191" r:id="rId878" display="Tender Sudah Selesai"/>
    <hyperlink ref="B2196" r:id="rId879" display="Belanja Modal Konsultansi Perencanaan Gedung Instalasi Laboratorium spse 4.3"/>
    <hyperlink ref="D2196" r:id="rId880" display="Tender Sudah Selesai"/>
    <hyperlink ref="B2201" r:id="rId881" display="Pengadaan Jasa Kebersihan Kantor spse 4.3"/>
    <hyperlink ref="D2201" r:id="rId882" display="Tender Sudah Selesai"/>
    <hyperlink ref="B2206" r:id="rId883" display="Belanja Modal Pengadaan Alat-Alat Laboratorium Peternakan (DAK) spse 4.3"/>
    <hyperlink ref="D2206" r:id="rId884" display="Tender Sudah Selesai"/>
    <hyperlink ref="B2211" r:id="rId885" display="Belanja modal pengadaan lemari pakaian spse 4.3"/>
    <hyperlink ref="D2211" r:id="rId886" display="Tender Sudah Selesai"/>
    <hyperlink ref="B2216" r:id="rId887" display="Belanja Bahan Makanan Dan Minuman Ternak Babi spse 4.3"/>
    <hyperlink ref="D2216" r:id="rId888" display="Tender Sudah Selesai"/>
    <hyperlink ref="B2221" r:id="rId889" display="Belanja Bahan Makanan dan Minuman Ternak Itik spse 4.3"/>
    <hyperlink ref="D2221" r:id="rId890" display="Tender Sudah Selesai"/>
    <hyperlink ref="B2226" r:id="rId891" display="PAKET 4A, SURVEY INVENTARISASI JEMBATAN PROVINSI WILAYAH II (KAB. SANGGAU, SEKADAU , SINTANG , MELAWI DAN KAPUAS HULU) spse 4.3"/>
    <hyperlink ref="D2226" r:id="rId892" display="Tender Sudah Selesai"/>
    <hyperlink ref="B2231" r:id="rId893" display="PAKET 3A, SURVEY INVENTARISASI JEMBATAN PROVINSI WILAYAH I (KOTA PONTIANAK, KAB. KUBU RAYA, KAB. MEMPAWAH , KOTA SINGKAWANG , KAB. SAMBAS) spse 4.3"/>
    <hyperlink ref="D2231" r:id="rId894" display="Tender Sudah Selesai"/>
    <hyperlink ref="B2236" r:id="rId895" display="PAKET 2A, SURVEY KONDISI JALAN PROVINSI WILAYAH II (KAB. SANGGAU, SEKADAU , SINTANG , MELAWI DAN KAPUAS HULU) spse 4.3"/>
    <hyperlink ref="D2236" r:id="rId896" display="Tender Sudah Selesai"/>
    <hyperlink ref="B2241" r:id="rId897" display="PAKET 1A, SURVEY KONDISI JALAN PROVINSI WILAYAH I (KOTA PONTIANAK, KAB. KUBU RAYA, KAB. MEMPAWAH, KOTA SINGKAWANG, KAB. SAMBAS) spse 4.3"/>
    <hyperlink ref="D2241" r:id="rId898" display="Tender Sudah Selesai"/>
    <hyperlink ref="B2246" r:id="rId899" display="PAKET 1, CORE TEAM PENGAWASAN BIDANG KE-BINA MARGA-AN spse 4.3"/>
    <hyperlink ref="D2246" r:id="rId900" display="Tender Sudah Selesai"/>
    <hyperlink ref="B2251" r:id="rId901" display="Pengadaan Benih Kopi Robusta (Pengembangan Kebun Kopi Rakyat) spse 4.3"/>
    <hyperlink ref="D2251" r:id="rId902" display="Tender Sudah Selesai"/>
    <hyperlink ref="B2256" r:id="rId903" display="Pengadaan konsumsi penyelenggaraan pelatihan dasar CPNS sebanyak 10 angkatan Tender Gagal spse 4.3"/>
    <hyperlink ref="D2256" r:id="rId904" display="Tender Batal"/>
    <hyperlink ref="B2261" r:id="rId905" display="Pengadaan Bahan Makanan dan Minuman Pasien spse 4.3"/>
    <hyperlink ref="D2261" r:id="rId906" display="Tender Sudah Selesai"/>
    <hyperlink ref="B2266" r:id="rId907" display="Rehabilitasi Jaringan Rawa DIR. Punggur Selat Kering (DAK) Tender Gagal spse 4.3"/>
    <hyperlink ref="D2266" r:id="rId908" display="Tender Batal"/>
    <hyperlink ref="B2271" r:id="rId909" display="Belanja Modal Pengadaan Alat-alat Angkutan Darat Bermotor Jeep spse 4.3"/>
    <hyperlink ref="D2271" r:id="rId910" display="Tender Sudah Selesai"/>
    <hyperlink ref="B2276" r:id="rId911" display="Pengadaan Air Bersih spse 4.3"/>
    <hyperlink ref="D2276" r:id="rId912" display="Tender Sudah Selesai"/>
    <hyperlink ref="B2281" r:id="rId913" display="Rehabilitasi Jaringan Rawa DIR. Sei. Awan (DAK) Tender Gagal spse 4.3"/>
    <hyperlink ref="D2281" r:id="rId914" display="Tender Batal"/>
    <hyperlink ref="B2286" r:id="rId915" display="Belanja Bahan Makanan dan Minuman Tender Batal spse 4.3"/>
    <hyperlink ref="D2286" r:id="rId916" display="Tender Batal"/>
    <hyperlink ref="B2291" r:id="rId917" display="Belanja Kebersihan Kantor/ Cleaning Service spse 4.3"/>
    <hyperlink ref="D2291" r:id="rId918" display="Tender Sudah Selesai"/>
    <hyperlink ref="B2296" r:id="rId919" display="Cleaning Service Kantor Tender Ulang spse 4.3"/>
    <hyperlink ref="D2296" r:id="rId920" display="Tender Sudah Selesai"/>
    <hyperlink ref="B2301" r:id="rId921" display="Penyediaan jasa kebersihan kantor spse 4.3"/>
    <hyperlink ref="D2301" r:id="rId922" display="Tender Sudah Selesai"/>
    <hyperlink ref="B2306" r:id="rId923" display="Belanja Makanan dan Minuman Mahasiswa spse 4.3"/>
    <hyperlink ref="D2306" r:id="rId924" display="Tender Sudah Selesai"/>
    <hyperlink ref="B2311" r:id="rId925" display="Pemeliharaan Kebersihan Gedung Sekretariat Daerah spse 4.3 Menyampaikan Penawaran Ulang"/>
    <hyperlink ref="D2311" r:id="rId926" display="Tender Sudah Selesai"/>
    <hyperlink ref="B2316" r:id="rId927" display="Pemeliharaan Kebersihan Halaman dan Taman Kantor Gubernur spse 4.3"/>
    <hyperlink ref="D2316" r:id="rId928" display="Tender Sudah Selesai"/>
    <hyperlink ref="B2321" r:id="rId929" display="Belanja Bahan Makanan dan Minuman Tender Batal spse 4.3"/>
    <hyperlink ref="D2321" r:id="rId930" display="Tender Batal"/>
    <hyperlink ref="B2326" r:id="rId931" display="Belanja Bahan Makan dan Minum Lansia / Klien Tender Gagal Tender Ulang spse 4.3"/>
    <hyperlink ref="D2326" r:id="rId932" display="Tender Batal"/>
    <hyperlink ref="B2331" r:id="rId933" display="Penyedia Jasa Kebersihan Kantor Tender Gagal spse 4.3 Menyampaikan Penawaran Ulang"/>
    <hyperlink ref="D2331" r:id="rId934" display="Tender Batal"/>
    <hyperlink ref="B2336" r:id="rId935" display="Cleaning Service Kantor Tender Gagal spse 4.3"/>
    <hyperlink ref="D2336" r:id="rId936" display="Tender Batal"/>
    <hyperlink ref="B2341" r:id="rId937" display="Pengadaan Makanan dan Minuman Anak Asuh Tender Ulang spse 4.3"/>
    <hyperlink ref="D2341" r:id="rId938" display="Tender Sudah Selesai"/>
    <hyperlink ref="B2346" r:id="rId939" display="Pengadaan Makanan dan Minuman Anak Asuh Tender Gagal spse 4.3"/>
    <hyperlink ref="D2346" r:id="rId940" display="Tender Batal"/>
    <hyperlink ref="B2351" r:id="rId941" display="Penyedia Jasa Kebersihan Kantor Tender Gagal Tender Ulang spse 4.3"/>
    <hyperlink ref="D2351" r:id="rId942" display="Tender Batal"/>
    <hyperlink ref="B2356" r:id="rId943" display="Belanja Bahan Makan dan Minum Lansia / Klien Tender Gagal spse 4.3"/>
    <hyperlink ref="D2356" r:id="rId944" display="Tender Batal"/>
    <hyperlink ref="B2361" r:id="rId945" display="Belanja Bahan Makanan dan Minuman Tender Batal spse 4.3"/>
    <hyperlink ref="D2361" r:id="rId946" display="Tender Batal"/>
    <hyperlink ref="B2366" r:id="rId947" display="Penyedia Jasa Kebersihan Kantor Tender Gagal Tender Ulang spse 4.3"/>
    <hyperlink ref="D2366" r:id="rId948" display="Tender Batal"/>
    <hyperlink ref="B2371" r:id="rId949" display="Pengadaan Bahan Makanan dan Minuman Pasien Tender Batal spse 4.3"/>
    <hyperlink ref="D2371" r:id="rId950" display="Tender Batal"/>
    <hyperlink ref="B2376" r:id="rId951" display="Penyedia Jasa Kebersihan Kantor Tender Gagal spse 4.3"/>
    <hyperlink ref="D2376" r:id="rId952" display="Tender Batal"/>
    <hyperlink ref="B2381" r:id="rId953" display="Pengadaan Makanan dan Minuman Anak Asuh Tender Gagal spse 4.3"/>
    <hyperlink ref="D2381" r:id="rId954" display="Tender Batal"/>
    <hyperlink ref="B2386" r:id="rId955" display="Belanja Jasa Kebersihan / Cleaning Service spse 4.3"/>
    <hyperlink ref="D2386" r:id="rId956" display="Tender Sudah Selesai"/>
    <hyperlink ref="B2391" r:id="rId957" display="Belanja Pemeliharaan Lahan / Taman / Halaman Rumah Sakitr Jiwa Provinsi Kalimantan Barat spse 4.3"/>
    <hyperlink ref="D2391" r:id="rId958" display="Tender Sudah Selesai"/>
    <hyperlink ref="B2396" r:id="rId959" display="Penyediaan Makan dan Minuman Pasien Rumah Sakit spse 4.3"/>
    <hyperlink ref="D2396" r:id="rId960" display="Tender Sudah Selesai"/>
    <hyperlink ref="B2401" r:id="rId961" display="Belanja Pengadaan Makanan spse 4.3"/>
    <hyperlink ref="D2401" r:id="rId962" display="Tender Sudah Selesai"/>
  </hyperlinks>
  <pageMargins left="0.7" right="0.7" top="0.75" bottom="0.75" header="0.3" footer="0.3"/>
  <pageSetup paperSize="9"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P2405"/>
  <sheetViews>
    <sheetView zoomScale="40" zoomScaleNormal="40" workbookViewId="0">
      <selection activeCell="J5" sqref="J5"/>
    </sheetView>
  </sheetViews>
  <sheetFormatPr defaultColWidth="9" defaultRowHeight="15"/>
  <cols>
    <col min="1" max="1" width="11.2666666666667" customWidth="1"/>
    <col min="2" max="2" width="17.8190476190476" customWidth="1"/>
    <col min="3" max="3" width="12.7238095238095" customWidth="1"/>
    <col min="4" max="4" width="24.9047619047619" customWidth="1"/>
    <col min="6" max="6" width="19.1809523809524" customWidth="1"/>
    <col min="7" max="7" width="13" customWidth="1"/>
    <col min="8" max="8" width="17.8190476190476" customWidth="1"/>
    <col min="9" max="9" width="19.0857142857143" customWidth="1"/>
    <col min="10" max="10" width="72.9047619047619" customWidth="1"/>
    <col min="12" max="12" width="20.7238095238095" customWidth="1"/>
    <col min="13" max="13" width="16" customWidth="1"/>
    <col min="14" max="14" width="12" customWidth="1"/>
    <col min="15" max="15" width="23.6285714285714" customWidth="1"/>
    <col min="16" max="16" width="30.0857142857143" customWidth="1"/>
  </cols>
  <sheetData>
    <row r="1" spans="1:10">
      <c r="A1" s="6" t="s">
        <v>858</v>
      </c>
      <c r="B1" s="6" t="s">
        <v>859</v>
      </c>
      <c r="C1" s="6" t="s">
        <v>860</v>
      </c>
      <c r="D1" s="6" t="s">
        <v>861</v>
      </c>
      <c r="E1" s="6" t="s">
        <v>862</v>
      </c>
      <c r="F1" s="6" t="s">
        <v>863</v>
      </c>
      <c r="G1" s="6" t="s">
        <v>864</v>
      </c>
      <c r="H1" s="6" t="s">
        <v>865</v>
      </c>
      <c r="I1" s="6" t="s">
        <v>866</v>
      </c>
      <c r="J1" s="6" t="s">
        <v>867</v>
      </c>
    </row>
    <row r="2" spans="1:16">
      <c r="A2" s="2">
        <v>5671097</v>
      </c>
      <c r="B2" s="3" t="s">
        <v>0</v>
      </c>
      <c r="C2" s="3" t="s">
        <v>1</v>
      </c>
      <c r="D2" s="3" t="s">
        <v>2</v>
      </c>
      <c r="E2" s="3" t="s">
        <v>3</v>
      </c>
      <c r="F2" s="3" t="s">
        <v>868</v>
      </c>
      <c r="G2" s="3" t="s">
        <v>869</v>
      </c>
      <c r="H2" s="3" t="s">
        <v>870</v>
      </c>
      <c r="I2" s="3" t="s">
        <v>871</v>
      </c>
      <c r="J2" s="3" t="s">
        <v>872</v>
      </c>
      <c r="L2" s="3" t="s">
        <v>873</v>
      </c>
      <c r="M2" s="3"/>
      <c r="N2" s="3" t="s">
        <v>874</v>
      </c>
      <c r="O2" s="3" t="s">
        <v>875</v>
      </c>
      <c r="P2" s="3" t="s">
        <v>876</v>
      </c>
    </row>
    <row r="3" spans="1:16">
      <c r="A3" s="2">
        <v>5670097</v>
      </c>
      <c r="B3" s="3" t="s">
        <v>6</v>
      </c>
      <c r="C3" s="3" t="s">
        <v>1</v>
      </c>
      <c r="D3" s="3" t="s">
        <v>7</v>
      </c>
      <c r="E3" s="3" t="s">
        <v>8</v>
      </c>
      <c r="F3" s="3" t="s">
        <v>877</v>
      </c>
      <c r="G3" s="3" t="s">
        <v>878</v>
      </c>
      <c r="H3" s="3" t="s">
        <v>879</v>
      </c>
      <c r="I3" s="3" t="s">
        <v>880</v>
      </c>
      <c r="J3" s="3" t="s">
        <v>881</v>
      </c>
      <c r="K3" s="7" t="s">
        <v>882</v>
      </c>
      <c r="L3" s="3" t="s">
        <v>883</v>
      </c>
      <c r="M3" s="3"/>
      <c r="N3" s="3" t="s">
        <v>884</v>
      </c>
      <c r="O3" s="3" t="s">
        <v>875</v>
      </c>
      <c r="P3" s="3" t="s">
        <v>876</v>
      </c>
    </row>
    <row r="4" spans="1:16">
      <c r="A4" s="2">
        <v>5662097</v>
      </c>
      <c r="B4" s="3" t="s">
        <v>9</v>
      </c>
      <c r="C4" s="3" t="s">
        <v>1</v>
      </c>
      <c r="D4" s="3" t="s">
        <v>2</v>
      </c>
      <c r="E4" s="3" t="s">
        <v>10</v>
      </c>
      <c r="F4" s="3" t="s">
        <v>885</v>
      </c>
      <c r="G4" s="3" t="s">
        <v>886</v>
      </c>
      <c r="H4" s="3" t="s">
        <v>887</v>
      </c>
      <c r="I4" s="3" t="s">
        <v>888</v>
      </c>
      <c r="J4" s="3" t="s">
        <v>889</v>
      </c>
      <c r="L4" s="3" t="s">
        <v>890</v>
      </c>
      <c r="M4" s="3"/>
      <c r="N4" s="3" t="s">
        <v>884</v>
      </c>
      <c r="O4" s="3" t="s">
        <v>875</v>
      </c>
      <c r="P4" s="3" t="s">
        <v>891</v>
      </c>
    </row>
    <row r="5" spans="1:16">
      <c r="A5" s="2">
        <v>5657097</v>
      </c>
      <c r="B5" s="3" t="s">
        <v>11</v>
      </c>
      <c r="C5" s="3" t="s">
        <v>1</v>
      </c>
      <c r="D5" s="3" t="s">
        <v>2</v>
      </c>
      <c r="E5" s="3" t="s">
        <v>12</v>
      </c>
      <c r="F5" s="3" t="s">
        <v>892</v>
      </c>
      <c r="G5" s="3" t="s">
        <v>893</v>
      </c>
      <c r="H5" s="3" t="s">
        <v>894</v>
      </c>
      <c r="I5" s="3" t="s">
        <v>895</v>
      </c>
      <c r="J5" s="3" t="s">
        <v>896</v>
      </c>
      <c r="L5" s="3" t="s">
        <v>897</v>
      </c>
      <c r="M5" s="3"/>
      <c r="N5" s="3" t="s">
        <v>898</v>
      </c>
      <c r="O5" s="3" t="s">
        <v>875</v>
      </c>
      <c r="P5" s="3" t="s">
        <v>876</v>
      </c>
    </row>
    <row r="6" spans="1:16">
      <c r="A6" s="2">
        <v>5643097</v>
      </c>
      <c r="B6" s="3" t="s">
        <v>14</v>
      </c>
      <c r="C6" s="3" t="s">
        <v>1</v>
      </c>
      <c r="D6" s="3" t="s">
        <v>2</v>
      </c>
      <c r="E6" s="3" t="s">
        <v>15</v>
      </c>
      <c r="F6" s="3" t="s">
        <v>899</v>
      </c>
      <c r="G6" s="3" t="s">
        <v>900</v>
      </c>
      <c r="H6" s="3" t="s">
        <v>901</v>
      </c>
      <c r="I6" s="3" t="s">
        <v>902</v>
      </c>
      <c r="J6" s="3" t="s">
        <v>903</v>
      </c>
      <c r="L6" s="3" t="s">
        <v>904</v>
      </c>
      <c r="M6" s="3"/>
      <c r="N6" s="3" t="s">
        <v>905</v>
      </c>
      <c r="O6" s="3" t="s">
        <v>875</v>
      </c>
      <c r="P6" s="3" t="s">
        <v>876</v>
      </c>
    </row>
    <row r="7" spans="1:16">
      <c r="A7" s="2">
        <v>5639097</v>
      </c>
      <c r="B7" s="3" t="s">
        <v>18</v>
      </c>
      <c r="C7" s="3" t="s">
        <v>1</v>
      </c>
      <c r="D7" s="3" t="s">
        <v>7</v>
      </c>
      <c r="E7" s="3" t="s">
        <v>10</v>
      </c>
      <c r="F7" s="3" t="s">
        <v>906</v>
      </c>
      <c r="G7" s="3" t="s">
        <v>907</v>
      </c>
      <c r="H7" s="3" t="s">
        <v>908</v>
      </c>
      <c r="I7" s="3" t="s">
        <v>909</v>
      </c>
      <c r="J7" s="3" t="s">
        <v>910</v>
      </c>
      <c r="L7" s="3" t="s">
        <v>890</v>
      </c>
      <c r="M7" s="3"/>
      <c r="N7" s="3" t="s">
        <v>911</v>
      </c>
      <c r="O7" s="3" t="s">
        <v>875</v>
      </c>
      <c r="P7" s="3" t="s">
        <v>891</v>
      </c>
    </row>
    <row r="8" spans="1:16">
      <c r="A8" s="2">
        <v>5636097</v>
      </c>
      <c r="B8" s="3" t="s">
        <v>19</v>
      </c>
      <c r="C8" s="3" t="s">
        <v>1</v>
      </c>
      <c r="D8" s="3" t="s">
        <v>2</v>
      </c>
      <c r="E8" s="3" t="s">
        <v>20</v>
      </c>
      <c r="F8" s="3" t="s">
        <v>912</v>
      </c>
      <c r="G8" s="3" t="s">
        <v>913</v>
      </c>
      <c r="H8" s="3" t="s">
        <v>914</v>
      </c>
      <c r="I8" s="3" t="s">
        <v>915</v>
      </c>
      <c r="J8" s="3" t="s">
        <v>916</v>
      </c>
      <c r="L8" s="3" t="s">
        <v>917</v>
      </c>
      <c r="M8" s="3"/>
      <c r="N8" s="3" t="s">
        <v>918</v>
      </c>
      <c r="O8" s="3" t="s">
        <v>919</v>
      </c>
      <c r="P8" s="3" t="s">
        <v>876</v>
      </c>
    </row>
    <row r="9" spans="1:16">
      <c r="A9" s="2">
        <v>5635097</v>
      </c>
      <c r="B9" s="3" t="s">
        <v>22</v>
      </c>
      <c r="C9" s="3" t="s">
        <v>1</v>
      </c>
      <c r="D9" s="3" t="s">
        <v>7</v>
      </c>
      <c r="E9" s="3" t="s">
        <v>12</v>
      </c>
      <c r="F9" s="3" t="s">
        <v>920</v>
      </c>
      <c r="G9" s="3" t="s">
        <v>921</v>
      </c>
      <c r="H9" s="3" t="s">
        <v>922</v>
      </c>
      <c r="I9" s="3" t="s">
        <v>923</v>
      </c>
      <c r="J9" s="3" t="s">
        <v>924</v>
      </c>
      <c r="L9" s="3" t="s">
        <v>897</v>
      </c>
      <c r="M9" s="3"/>
      <c r="N9" s="3" t="s">
        <v>925</v>
      </c>
      <c r="O9" s="3" t="s">
        <v>875</v>
      </c>
      <c r="P9" s="3" t="s">
        <v>876</v>
      </c>
    </row>
    <row r="10" spans="1:16">
      <c r="A10" s="2">
        <v>5634097</v>
      </c>
      <c r="B10" s="3" t="s">
        <v>23</v>
      </c>
      <c r="C10" s="3" t="s">
        <v>1</v>
      </c>
      <c r="D10" s="3" t="s">
        <v>2</v>
      </c>
      <c r="E10" s="3" t="s">
        <v>24</v>
      </c>
      <c r="F10" s="3" t="s">
        <v>926</v>
      </c>
      <c r="G10" s="3" t="s">
        <v>927</v>
      </c>
      <c r="H10" s="3" t="s">
        <v>928</v>
      </c>
      <c r="I10" s="3" t="s">
        <v>929</v>
      </c>
      <c r="J10" s="3" t="s">
        <v>930</v>
      </c>
      <c r="L10" s="3" t="s">
        <v>931</v>
      </c>
      <c r="M10" s="3"/>
      <c r="N10" s="3" t="s">
        <v>932</v>
      </c>
      <c r="O10" s="3" t="s">
        <v>919</v>
      </c>
      <c r="P10" s="3" t="s">
        <v>933</v>
      </c>
    </row>
    <row r="11" spans="1:16">
      <c r="A11" s="2">
        <v>5631097</v>
      </c>
      <c r="B11" s="3" t="s">
        <v>25</v>
      </c>
      <c r="C11" s="3" t="s">
        <v>1</v>
      </c>
      <c r="D11" s="3" t="s">
        <v>2</v>
      </c>
      <c r="E11" s="3" t="s">
        <v>26</v>
      </c>
      <c r="F11" s="3" t="s">
        <v>934</v>
      </c>
      <c r="G11" s="3" t="s">
        <v>935</v>
      </c>
      <c r="H11" s="3" t="s">
        <v>936</v>
      </c>
      <c r="I11" s="3" t="s">
        <v>937</v>
      </c>
      <c r="J11" s="3" t="s">
        <v>938</v>
      </c>
      <c r="L11" s="3" t="s">
        <v>939</v>
      </c>
      <c r="M11" s="3"/>
      <c r="N11" s="3" t="s">
        <v>940</v>
      </c>
      <c r="O11" s="3" t="s">
        <v>919</v>
      </c>
      <c r="P11" s="3" t="s">
        <v>876</v>
      </c>
    </row>
    <row r="12" spans="1:16">
      <c r="A12" s="2">
        <v>5628097</v>
      </c>
      <c r="B12" s="3" t="s">
        <v>27</v>
      </c>
      <c r="C12" s="3" t="s">
        <v>1</v>
      </c>
      <c r="D12" s="3" t="s">
        <v>2</v>
      </c>
      <c r="E12" s="3" t="s">
        <v>28</v>
      </c>
      <c r="F12" s="3" t="s">
        <v>941</v>
      </c>
      <c r="G12" s="3" t="s">
        <v>942</v>
      </c>
      <c r="H12" s="3" t="s">
        <v>943</v>
      </c>
      <c r="I12" s="3" t="s">
        <v>944</v>
      </c>
      <c r="J12" s="3" t="s">
        <v>945</v>
      </c>
      <c r="L12" s="3" t="s">
        <v>946</v>
      </c>
      <c r="M12" s="3"/>
      <c r="N12" s="3" t="s">
        <v>947</v>
      </c>
      <c r="O12" s="3" t="s">
        <v>919</v>
      </c>
      <c r="P12" s="3" t="s">
        <v>891</v>
      </c>
    </row>
    <row r="13" spans="1:16">
      <c r="A13" s="2">
        <v>5624097</v>
      </c>
      <c r="B13" s="3" t="s">
        <v>30</v>
      </c>
      <c r="C13" s="3" t="s">
        <v>1</v>
      </c>
      <c r="D13" s="3" t="s">
        <v>7</v>
      </c>
      <c r="E13" s="3" t="s">
        <v>15</v>
      </c>
      <c r="F13" s="3" t="s">
        <v>948</v>
      </c>
      <c r="G13" s="3" t="s">
        <v>949</v>
      </c>
      <c r="H13" s="3" t="s">
        <v>950</v>
      </c>
      <c r="I13" s="3" t="s">
        <v>951</v>
      </c>
      <c r="J13" s="3" t="s">
        <v>952</v>
      </c>
      <c r="L13" s="3" t="s">
        <v>904</v>
      </c>
      <c r="M13" s="3"/>
      <c r="N13" s="3" t="s">
        <v>953</v>
      </c>
      <c r="O13" s="3" t="s">
        <v>875</v>
      </c>
      <c r="P13" s="3" t="s">
        <v>876</v>
      </c>
    </row>
    <row r="14" spans="1:16">
      <c r="A14" s="2">
        <v>5623097</v>
      </c>
      <c r="B14" s="3" t="s">
        <v>31</v>
      </c>
      <c r="C14" s="3" t="s">
        <v>1</v>
      </c>
      <c r="D14" s="3" t="s">
        <v>2</v>
      </c>
      <c r="E14" s="3" t="s">
        <v>32</v>
      </c>
      <c r="F14" s="3" t="s">
        <v>954</v>
      </c>
      <c r="G14" s="3" t="s">
        <v>955</v>
      </c>
      <c r="H14" s="3" t="s">
        <v>956</v>
      </c>
      <c r="I14" s="3" t="s">
        <v>957</v>
      </c>
      <c r="J14" s="3" t="s">
        <v>958</v>
      </c>
      <c r="L14" s="3" t="s">
        <v>959</v>
      </c>
      <c r="M14" s="3"/>
      <c r="N14" s="3" t="s">
        <v>905</v>
      </c>
      <c r="O14" s="3" t="s">
        <v>875</v>
      </c>
      <c r="P14" s="3" t="s">
        <v>876</v>
      </c>
    </row>
    <row r="15" spans="1:16">
      <c r="A15" s="2">
        <v>5619097</v>
      </c>
      <c r="B15" s="3" t="s">
        <v>34</v>
      </c>
      <c r="C15" s="3" t="s">
        <v>1</v>
      </c>
      <c r="D15" s="3" t="s">
        <v>2</v>
      </c>
      <c r="E15" s="3" t="s">
        <v>35</v>
      </c>
      <c r="F15" s="3" t="s">
        <v>960</v>
      </c>
      <c r="G15" s="3" t="s">
        <v>961</v>
      </c>
      <c r="H15" s="3" t="s">
        <v>962</v>
      </c>
      <c r="I15" s="3" t="s">
        <v>963</v>
      </c>
      <c r="J15" s="3" t="s">
        <v>964</v>
      </c>
      <c r="L15" s="3" t="s">
        <v>965</v>
      </c>
      <c r="M15" s="3"/>
      <c r="N15" s="3" t="s">
        <v>966</v>
      </c>
      <c r="O15" s="3" t="s">
        <v>875</v>
      </c>
      <c r="P15" s="3" t="s">
        <v>876</v>
      </c>
    </row>
    <row r="16" spans="1:16">
      <c r="A16" s="2">
        <v>5618097</v>
      </c>
      <c r="B16" s="3" t="s">
        <v>37</v>
      </c>
      <c r="C16" s="3" t="s">
        <v>1</v>
      </c>
      <c r="D16" s="3" t="s">
        <v>7</v>
      </c>
      <c r="E16" s="3" t="s">
        <v>10</v>
      </c>
      <c r="F16" s="3" t="s">
        <v>967</v>
      </c>
      <c r="G16" s="3" t="s">
        <v>968</v>
      </c>
      <c r="H16" s="3" t="s">
        <v>969</v>
      </c>
      <c r="I16" s="3" t="s">
        <v>970</v>
      </c>
      <c r="J16" s="3" t="s">
        <v>971</v>
      </c>
      <c r="L16" s="3" t="s">
        <v>890</v>
      </c>
      <c r="M16" s="3"/>
      <c r="N16" s="3" t="s">
        <v>972</v>
      </c>
      <c r="O16" s="3" t="s">
        <v>875</v>
      </c>
      <c r="P16" s="3" t="s">
        <v>876</v>
      </c>
    </row>
    <row r="17" spans="1:16">
      <c r="A17" s="2">
        <v>5611097</v>
      </c>
      <c r="B17" s="3" t="s">
        <v>38</v>
      </c>
      <c r="C17" s="3" t="s">
        <v>1</v>
      </c>
      <c r="D17" s="3" t="s">
        <v>7</v>
      </c>
      <c r="E17" s="3" t="s">
        <v>39</v>
      </c>
      <c r="F17" s="3" t="s">
        <v>973</v>
      </c>
      <c r="G17" s="3" t="s">
        <v>974</v>
      </c>
      <c r="H17" s="3" t="s">
        <v>975</v>
      </c>
      <c r="I17" s="3" t="s">
        <v>976</v>
      </c>
      <c r="J17" s="3" t="s">
        <v>977</v>
      </c>
      <c r="L17" s="3" t="s">
        <v>883</v>
      </c>
      <c r="M17" s="3"/>
      <c r="N17" s="3" t="s">
        <v>874</v>
      </c>
      <c r="O17" s="3" t="s">
        <v>875</v>
      </c>
      <c r="P17" s="3" t="s">
        <v>876</v>
      </c>
    </row>
    <row r="18" spans="1:16">
      <c r="A18" s="2">
        <v>5610097</v>
      </c>
      <c r="B18" s="3" t="s">
        <v>40</v>
      </c>
      <c r="C18" s="3" t="s">
        <v>1</v>
      </c>
      <c r="D18" s="3" t="s">
        <v>7</v>
      </c>
      <c r="E18" s="3" t="s">
        <v>3</v>
      </c>
      <c r="F18" s="3" t="s">
        <v>978</v>
      </c>
      <c r="G18" s="3" t="s">
        <v>979</v>
      </c>
      <c r="H18" s="3" t="s">
        <v>980</v>
      </c>
      <c r="I18" s="3" t="s">
        <v>981</v>
      </c>
      <c r="J18" s="3" t="s">
        <v>982</v>
      </c>
      <c r="L18" s="3" t="s">
        <v>873</v>
      </c>
      <c r="M18" s="3"/>
      <c r="N18" s="3" t="s">
        <v>874</v>
      </c>
      <c r="O18" s="3" t="s">
        <v>875</v>
      </c>
      <c r="P18" s="3" t="s">
        <v>876</v>
      </c>
    </row>
    <row r="19" spans="1:16">
      <c r="A19" s="2">
        <v>5609097</v>
      </c>
      <c r="B19" s="3" t="s">
        <v>41</v>
      </c>
      <c r="C19" s="3" t="s">
        <v>1</v>
      </c>
      <c r="D19" s="3" t="s">
        <v>2</v>
      </c>
      <c r="E19" s="3" t="s">
        <v>42</v>
      </c>
      <c r="F19" s="3" t="s">
        <v>983</v>
      </c>
      <c r="G19" s="3" t="s">
        <v>984</v>
      </c>
      <c r="H19" s="3" t="s">
        <v>985</v>
      </c>
      <c r="I19" s="3" t="s">
        <v>986</v>
      </c>
      <c r="J19" s="3" t="s">
        <v>987</v>
      </c>
      <c r="L19" s="3" t="s">
        <v>988</v>
      </c>
      <c r="M19" s="3"/>
      <c r="N19" s="3" t="s">
        <v>874</v>
      </c>
      <c r="O19" s="3" t="s">
        <v>875</v>
      </c>
      <c r="P19" s="3" t="s">
        <v>876</v>
      </c>
    </row>
    <row r="20" spans="1:16">
      <c r="A20" s="2">
        <v>5607097</v>
      </c>
      <c r="B20" s="3" t="s">
        <v>44</v>
      </c>
      <c r="C20" s="3" t="s">
        <v>1</v>
      </c>
      <c r="D20" s="3" t="s">
        <v>7</v>
      </c>
      <c r="E20" s="3" t="s">
        <v>20</v>
      </c>
      <c r="F20" s="3" t="s">
        <v>989</v>
      </c>
      <c r="G20" s="3" t="s">
        <v>990</v>
      </c>
      <c r="H20" s="3" t="s">
        <v>991</v>
      </c>
      <c r="I20" s="3" t="s">
        <v>992</v>
      </c>
      <c r="J20" s="3" t="s">
        <v>993</v>
      </c>
      <c r="L20" s="3" t="s">
        <v>917</v>
      </c>
      <c r="M20" s="3"/>
      <c r="N20" s="3" t="s">
        <v>994</v>
      </c>
      <c r="O20" s="3" t="s">
        <v>919</v>
      </c>
      <c r="P20" s="3" t="s">
        <v>876</v>
      </c>
    </row>
    <row r="21" spans="1:16">
      <c r="A21" s="2">
        <v>5606097</v>
      </c>
      <c r="B21" s="3" t="s">
        <v>45</v>
      </c>
      <c r="C21" s="3" t="s">
        <v>1</v>
      </c>
      <c r="D21" s="3" t="s">
        <v>2</v>
      </c>
      <c r="E21" s="3" t="s">
        <v>46</v>
      </c>
      <c r="F21" s="3" t="s">
        <v>995</v>
      </c>
      <c r="G21" s="3" t="s">
        <v>996</v>
      </c>
      <c r="H21" s="3" t="s">
        <v>997</v>
      </c>
      <c r="I21" s="3" t="s">
        <v>998</v>
      </c>
      <c r="J21" s="3" t="s">
        <v>999</v>
      </c>
      <c r="L21" s="3" t="s">
        <v>1000</v>
      </c>
      <c r="M21" s="3"/>
      <c r="N21" s="3" t="s">
        <v>1001</v>
      </c>
      <c r="O21" s="3" t="s">
        <v>919</v>
      </c>
      <c r="P21" s="3" t="s">
        <v>876</v>
      </c>
    </row>
    <row r="22" spans="1:16">
      <c r="A22" s="2">
        <v>5605097</v>
      </c>
      <c r="B22" s="3" t="s">
        <v>47</v>
      </c>
      <c r="C22" s="3" t="s">
        <v>1</v>
      </c>
      <c r="D22" s="3" t="s">
        <v>7</v>
      </c>
      <c r="E22" s="3" t="s">
        <v>48</v>
      </c>
      <c r="F22" s="3" t="s">
        <v>1002</v>
      </c>
      <c r="G22" s="3" t="s">
        <v>1003</v>
      </c>
      <c r="H22" s="3" t="s">
        <v>1004</v>
      </c>
      <c r="I22" s="3" t="s">
        <v>1005</v>
      </c>
      <c r="J22" s="3" t="s">
        <v>1006</v>
      </c>
      <c r="L22" s="3" t="s">
        <v>1007</v>
      </c>
      <c r="M22" s="3"/>
      <c r="N22" s="3" t="s">
        <v>1001</v>
      </c>
      <c r="O22" s="3" t="s">
        <v>919</v>
      </c>
      <c r="P22" s="3" t="s">
        <v>876</v>
      </c>
    </row>
    <row r="23" spans="1:16">
      <c r="A23" s="2">
        <v>5604097</v>
      </c>
      <c r="B23" s="3" t="s">
        <v>49</v>
      </c>
      <c r="C23" s="3" t="s">
        <v>1</v>
      </c>
      <c r="D23" s="3" t="s">
        <v>7</v>
      </c>
      <c r="E23" s="3" t="s">
        <v>48</v>
      </c>
      <c r="F23" s="3" t="s">
        <v>1008</v>
      </c>
      <c r="G23" s="3" t="s">
        <v>1009</v>
      </c>
      <c r="H23" s="3" t="s">
        <v>1010</v>
      </c>
      <c r="I23" s="3" t="s">
        <v>1011</v>
      </c>
      <c r="J23" s="3" t="s">
        <v>1012</v>
      </c>
      <c r="L23" s="3" t="s">
        <v>1007</v>
      </c>
      <c r="M23" s="3"/>
      <c r="N23" s="3" t="s">
        <v>905</v>
      </c>
      <c r="O23" s="3" t="s">
        <v>919</v>
      </c>
      <c r="P23" s="3" t="s">
        <v>876</v>
      </c>
    </row>
    <row r="24" spans="1:16">
      <c r="A24" s="2">
        <v>5603097</v>
      </c>
      <c r="B24" s="3" t="s">
        <v>50</v>
      </c>
      <c r="C24" s="3" t="s">
        <v>1</v>
      </c>
      <c r="D24" s="3" t="s">
        <v>2</v>
      </c>
      <c r="E24" s="3" t="s">
        <v>51</v>
      </c>
      <c r="F24" s="3" t="s">
        <v>1013</v>
      </c>
      <c r="G24" s="3" t="s">
        <v>1014</v>
      </c>
      <c r="H24" s="3" t="s">
        <v>1015</v>
      </c>
      <c r="I24" s="3" t="s">
        <v>1016</v>
      </c>
      <c r="J24" s="3" t="s">
        <v>1017</v>
      </c>
      <c r="L24" s="3" t="s">
        <v>1018</v>
      </c>
      <c r="M24" s="3"/>
      <c r="N24" s="3" t="s">
        <v>884</v>
      </c>
      <c r="O24" s="3" t="s">
        <v>919</v>
      </c>
      <c r="P24" s="3" t="s">
        <v>876</v>
      </c>
    </row>
    <row r="25" spans="1:16">
      <c r="A25" s="2">
        <v>5597097</v>
      </c>
      <c r="B25" s="3" t="s">
        <v>52</v>
      </c>
      <c r="C25" s="3" t="s">
        <v>1</v>
      </c>
      <c r="D25" s="3" t="s">
        <v>7</v>
      </c>
      <c r="E25" s="3" t="s">
        <v>53</v>
      </c>
      <c r="F25" s="3" t="s">
        <v>1019</v>
      </c>
      <c r="G25" s="3" t="s">
        <v>1020</v>
      </c>
      <c r="H25" s="3" t="s">
        <v>1021</v>
      </c>
      <c r="I25" s="3" t="s">
        <v>1022</v>
      </c>
      <c r="J25" s="3" t="s">
        <v>1023</v>
      </c>
      <c r="L25" s="3" t="s">
        <v>1024</v>
      </c>
      <c r="M25" s="3"/>
      <c r="N25" s="3" t="s">
        <v>1025</v>
      </c>
      <c r="O25" s="3" t="s">
        <v>1026</v>
      </c>
      <c r="P25" s="3" t="s">
        <v>891</v>
      </c>
    </row>
    <row r="26" spans="1:16">
      <c r="A26" s="2">
        <v>5588097</v>
      </c>
      <c r="B26" s="3" t="s">
        <v>55</v>
      </c>
      <c r="C26" s="3" t="s">
        <v>1</v>
      </c>
      <c r="D26" s="3" t="s">
        <v>2</v>
      </c>
      <c r="E26" s="3" t="s">
        <v>56</v>
      </c>
      <c r="F26" s="3" t="s">
        <v>1027</v>
      </c>
      <c r="G26" s="3" t="s">
        <v>1028</v>
      </c>
      <c r="H26" s="3" t="s">
        <v>1029</v>
      </c>
      <c r="I26" s="3" t="s">
        <v>1030</v>
      </c>
      <c r="J26" s="3" t="s">
        <v>1031</v>
      </c>
      <c r="L26" s="3" t="s">
        <v>1032</v>
      </c>
      <c r="M26" s="3"/>
      <c r="N26" s="3" t="s">
        <v>918</v>
      </c>
      <c r="O26" s="3" t="s">
        <v>875</v>
      </c>
      <c r="P26" s="3" t="s">
        <v>1033</v>
      </c>
    </row>
    <row r="27" spans="1:16">
      <c r="A27" s="2">
        <v>5585097</v>
      </c>
      <c r="B27" s="3" t="s">
        <v>58</v>
      </c>
      <c r="C27" s="3" t="s">
        <v>1</v>
      </c>
      <c r="D27" s="3" t="s">
        <v>2</v>
      </c>
      <c r="E27" s="3" t="s">
        <v>59</v>
      </c>
      <c r="F27" s="3" t="s">
        <v>1034</v>
      </c>
      <c r="G27" s="3" t="s">
        <v>1035</v>
      </c>
      <c r="H27" s="3" t="s">
        <v>1036</v>
      </c>
      <c r="I27" s="3" t="s">
        <v>1037</v>
      </c>
      <c r="J27" s="3" t="s">
        <v>1038</v>
      </c>
      <c r="L27" s="3" t="s">
        <v>1039</v>
      </c>
      <c r="M27" s="3"/>
      <c r="N27" s="3" t="s">
        <v>918</v>
      </c>
      <c r="O27" s="3" t="s">
        <v>875</v>
      </c>
      <c r="P27" s="3" t="s">
        <v>1033</v>
      </c>
    </row>
    <row r="28" spans="1:16">
      <c r="A28" s="2">
        <v>5584097</v>
      </c>
      <c r="B28" s="3" t="s">
        <v>61</v>
      </c>
      <c r="C28" s="3" t="s">
        <v>1</v>
      </c>
      <c r="D28" s="3" t="s">
        <v>2</v>
      </c>
      <c r="E28" s="3" t="s">
        <v>62</v>
      </c>
      <c r="F28" s="3" t="s">
        <v>1040</v>
      </c>
      <c r="G28" s="3" t="s">
        <v>1041</v>
      </c>
      <c r="H28" s="3" t="s">
        <v>1042</v>
      </c>
      <c r="I28" s="3" t="s">
        <v>1043</v>
      </c>
      <c r="J28" s="3" t="s">
        <v>1044</v>
      </c>
      <c r="L28" s="3" t="s">
        <v>1045</v>
      </c>
      <c r="M28" s="3"/>
      <c r="N28" s="3" t="s">
        <v>1001</v>
      </c>
      <c r="O28" s="3" t="s">
        <v>875</v>
      </c>
      <c r="P28" s="3" t="s">
        <v>1033</v>
      </c>
    </row>
    <row r="29" spans="1:16">
      <c r="A29" s="2">
        <v>5583097</v>
      </c>
      <c r="B29" s="3" t="s">
        <v>64</v>
      </c>
      <c r="C29" s="3" t="s">
        <v>1</v>
      </c>
      <c r="D29" s="3" t="s">
        <v>7</v>
      </c>
      <c r="E29" s="3" t="s">
        <v>35</v>
      </c>
      <c r="F29" s="3" t="s">
        <v>1046</v>
      </c>
      <c r="G29" s="3" t="s">
        <v>1047</v>
      </c>
      <c r="H29" s="3" t="s">
        <v>1048</v>
      </c>
      <c r="I29" s="3" t="s">
        <v>1049</v>
      </c>
      <c r="J29" s="3" t="s">
        <v>1050</v>
      </c>
      <c r="L29" s="3" t="s">
        <v>965</v>
      </c>
      <c r="M29" s="3"/>
      <c r="N29" s="3" t="s">
        <v>918</v>
      </c>
      <c r="O29" s="3" t="s">
        <v>875</v>
      </c>
      <c r="P29" s="3" t="s">
        <v>876</v>
      </c>
    </row>
    <row r="30" spans="1:16">
      <c r="A30" s="2">
        <v>5582097</v>
      </c>
      <c r="B30" s="3" t="s">
        <v>65</v>
      </c>
      <c r="C30" s="3" t="s">
        <v>1</v>
      </c>
      <c r="D30" s="3" t="s">
        <v>7</v>
      </c>
      <c r="E30" s="3" t="s">
        <v>3</v>
      </c>
      <c r="F30" s="3" t="s">
        <v>1051</v>
      </c>
      <c r="G30" s="3" t="s">
        <v>1052</v>
      </c>
      <c r="H30" s="3" t="s">
        <v>1053</v>
      </c>
      <c r="I30" s="3" t="s">
        <v>1054</v>
      </c>
      <c r="J30" s="3" t="s">
        <v>1055</v>
      </c>
      <c r="L30" s="3" t="s">
        <v>873</v>
      </c>
      <c r="M30" s="3"/>
      <c r="N30" s="3" t="s">
        <v>1056</v>
      </c>
      <c r="O30" s="3" t="s">
        <v>875</v>
      </c>
      <c r="P30" s="3" t="s">
        <v>876</v>
      </c>
    </row>
    <row r="31" spans="1:16">
      <c r="A31" s="2">
        <v>5567097</v>
      </c>
      <c r="B31" s="3" t="s">
        <v>66</v>
      </c>
      <c r="C31" s="3" t="s">
        <v>1</v>
      </c>
      <c r="D31" s="3" t="s">
        <v>2</v>
      </c>
      <c r="E31" s="3" t="s">
        <v>67</v>
      </c>
      <c r="F31" s="3" t="s">
        <v>1057</v>
      </c>
      <c r="G31" s="3" t="s">
        <v>1058</v>
      </c>
      <c r="H31" s="3" t="s">
        <v>1059</v>
      </c>
      <c r="I31" s="3" t="s">
        <v>1060</v>
      </c>
      <c r="J31" s="3" t="s">
        <v>1061</v>
      </c>
      <c r="L31" s="3" t="s">
        <v>1062</v>
      </c>
      <c r="M31" s="3"/>
      <c r="N31" s="3" t="s">
        <v>1063</v>
      </c>
      <c r="O31" s="3" t="s">
        <v>919</v>
      </c>
      <c r="P31" s="3" t="s">
        <v>876</v>
      </c>
    </row>
    <row r="32" spans="1:16">
      <c r="A32" s="2">
        <v>5564097</v>
      </c>
      <c r="B32" s="3" t="s">
        <v>68</v>
      </c>
      <c r="C32" s="3" t="s">
        <v>1</v>
      </c>
      <c r="D32" s="3" t="s">
        <v>7</v>
      </c>
      <c r="E32" s="3" t="s">
        <v>53</v>
      </c>
      <c r="F32" s="3" t="s">
        <v>1064</v>
      </c>
      <c r="G32" s="3" t="s">
        <v>1065</v>
      </c>
      <c r="H32" s="3" t="s">
        <v>1066</v>
      </c>
      <c r="I32" s="3" t="s">
        <v>1067</v>
      </c>
      <c r="J32" s="3" t="s">
        <v>1068</v>
      </c>
      <c r="L32" s="3" t="s">
        <v>1024</v>
      </c>
      <c r="M32" s="3"/>
      <c r="N32" s="3" t="s">
        <v>953</v>
      </c>
      <c r="O32" s="3" t="s">
        <v>1026</v>
      </c>
      <c r="P32" s="3" t="s">
        <v>891</v>
      </c>
    </row>
    <row r="33" spans="1:16">
      <c r="A33" s="2">
        <v>5563097</v>
      </c>
      <c r="B33" s="3" t="s">
        <v>69</v>
      </c>
      <c r="C33" s="3" t="s">
        <v>1</v>
      </c>
      <c r="D33" s="3" t="s">
        <v>2</v>
      </c>
      <c r="E33" s="3" t="s">
        <v>70</v>
      </c>
      <c r="F33" s="3" t="s">
        <v>1069</v>
      </c>
      <c r="G33" s="3" t="s">
        <v>1070</v>
      </c>
      <c r="H33" s="3" t="s">
        <v>1071</v>
      </c>
      <c r="I33" s="3" t="s">
        <v>1072</v>
      </c>
      <c r="J33" s="3" t="s">
        <v>1073</v>
      </c>
      <c r="L33" s="3" t="s">
        <v>1074</v>
      </c>
      <c r="M33" s="3"/>
      <c r="N33" s="3" t="s">
        <v>1075</v>
      </c>
      <c r="O33" s="3" t="s">
        <v>875</v>
      </c>
      <c r="P33" s="3" t="s">
        <v>876</v>
      </c>
    </row>
    <row r="34" spans="1:16">
      <c r="A34" s="2">
        <v>5558097</v>
      </c>
      <c r="B34" s="3" t="s">
        <v>71</v>
      </c>
      <c r="C34" s="3" t="s">
        <v>1</v>
      </c>
      <c r="D34" s="3" t="s">
        <v>2</v>
      </c>
      <c r="E34" s="3" t="s">
        <v>72</v>
      </c>
      <c r="F34" s="3" t="s">
        <v>1076</v>
      </c>
      <c r="G34" s="3" t="s">
        <v>1077</v>
      </c>
      <c r="H34" s="3" t="s">
        <v>1078</v>
      </c>
      <c r="I34" s="3" t="s">
        <v>1079</v>
      </c>
      <c r="J34" s="3" t="s">
        <v>1080</v>
      </c>
      <c r="L34" s="3" t="s">
        <v>1081</v>
      </c>
      <c r="M34" s="3"/>
      <c r="N34" s="3" t="s">
        <v>1082</v>
      </c>
      <c r="O34" s="3" t="s">
        <v>875</v>
      </c>
      <c r="P34" s="3" t="s">
        <v>876</v>
      </c>
    </row>
    <row r="35" spans="1:16">
      <c r="A35" s="2">
        <v>5553097</v>
      </c>
      <c r="B35" s="3" t="s">
        <v>73</v>
      </c>
      <c r="C35" s="3" t="s">
        <v>1</v>
      </c>
      <c r="D35" s="3" t="s">
        <v>7</v>
      </c>
      <c r="E35" s="3" t="s">
        <v>74</v>
      </c>
      <c r="F35" s="3" t="s">
        <v>1083</v>
      </c>
      <c r="G35" s="3" t="s">
        <v>1084</v>
      </c>
      <c r="H35" s="3" t="s">
        <v>1085</v>
      </c>
      <c r="I35" s="3" t="s">
        <v>1086</v>
      </c>
      <c r="J35" s="3" t="s">
        <v>1087</v>
      </c>
      <c r="L35" s="3" t="s">
        <v>1088</v>
      </c>
      <c r="M35" s="3"/>
      <c r="N35" s="3" t="s">
        <v>1089</v>
      </c>
      <c r="O35" s="3" t="s">
        <v>875</v>
      </c>
      <c r="P35" s="3" t="s">
        <v>876</v>
      </c>
    </row>
    <row r="36" spans="1:16">
      <c r="A36" s="2">
        <v>5549097</v>
      </c>
      <c r="B36" s="3" t="s">
        <v>75</v>
      </c>
      <c r="C36" s="3" t="s">
        <v>1</v>
      </c>
      <c r="D36" s="3" t="s">
        <v>76</v>
      </c>
      <c r="E36" s="3" t="s">
        <v>77</v>
      </c>
      <c r="F36" s="3" t="s">
        <v>1090</v>
      </c>
      <c r="G36" s="3" t="s">
        <v>1091</v>
      </c>
      <c r="H36" s="3" t="s">
        <v>1092</v>
      </c>
      <c r="I36" s="3" t="s">
        <v>1093</v>
      </c>
      <c r="J36" s="3" t="s">
        <v>1094</v>
      </c>
      <c r="L36" s="3" t="s">
        <v>1095</v>
      </c>
      <c r="M36" s="3"/>
      <c r="N36" s="3" t="s">
        <v>1096</v>
      </c>
      <c r="O36" s="3" t="s">
        <v>1097</v>
      </c>
      <c r="P36" s="3" t="s">
        <v>891</v>
      </c>
    </row>
    <row r="37" spans="1:16">
      <c r="A37" s="2">
        <v>5547097</v>
      </c>
      <c r="B37" s="3" t="s">
        <v>79</v>
      </c>
      <c r="C37" s="3" t="s">
        <v>1</v>
      </c>
      <c r="D37" s="3" t="s">
        <v>76</v>
      </c>
      <c r="E37" s="3" t="s">
        <v>80</v>
      </c>
      <c r="F37" s="3" t="s">
        <v>1098</v>
      </c>
      <c r="G37" s="3" t="s">
        <v>1099</v>
      </c>
      <c r="H37" s="3" t="s">
        <v>1100</v>
      </c>
      <c r="I37" s="3" t="s">
        <v>1101</v>
      </c>
      <c r="J37" s="3" t="s">
        <v>1102</v>
      </c>
      <c r="L37" s="3" t="s">
        <v>1103</v>
      </c>
      <c r="M37" s="3"/>
      <c r="N37" s="3" t="s">
        <v>966</v>
      </c>
      <c r="O37" s="3" t="s">
        <v>1097</v>
      </c>
      <c r="P37" s="3" t="s">
        <v>891</v>
      </c>
    </row>
    <row r="38" spans="1:16">
      <c r="A38" s="2">
        <v>5546097</v>
      </c>
      <c r="B38" s="3" t="s">
        <v>81</v>
      </c>
      <c r="C38" s="3" t="s">
        <v>1</v>
      </c>
      <c r="D38" s="3" t="s">
        <v>76</v>
      </c>
      <c r="E38" s="3" t="s">
        <v>80</v>
      </c>
      <c r="F38" s="3" t="s">
        <v>1104</v>
      </c>
      <c r="G38" s="3" t="s">
        <v>1105</v>
      </c>
      <c r="H38" s="3" t="s">
        <v>1106</v>
      </c>
      <c r="I38" s="3" t="s">
        <v>1107</v>
      </c>
      <c r="J38" s="3" t="s">
        <v>1108</v>
      </c>
      <c r="L38" s="3" t="s">
        <v>1103</v>
      </c>
      <c r="M38" s="3"/>
      <c r="N38" s="3" t="s">
        <v>1096</v>
      </c>
      <c r="O38" s="3" t="s">
        <v>1097</v>
      </c>
      <c r="P38" s="3" t="s">
        <v>891</v>
      </c>
    </row>
    <row r="39" spans="1:16">
      <c r="A39" s="2">
        <v>5545097</v>
      </c>
      <c r="B39" s="3" t="s">
        <v>82</v>
      </c>
      <c r="C39" s="3" t="s">
        <v>1</v>
      </c>
      <c r="D39" s="3" t="s">
        <v>76</v>
      </c>
      <c r="E39" s="3" t="s">
        <v>83</v>
      </c>
      <c r="F39" s="3" t="s">
        <v>1109</v>
      </c>
      <c r="G39" s="3" t="s">
        <v>1110</v>
      </c>
      <c r="H39" s="3" t="s">
        <v>1111</v>
      </c>
      <c r="I39" s="3" t="s">
        <v>1112</v>
      </c>
      <c r="J39" s="3" t="s">
        <v>1113</v>
      </c>
      <c r="L39" s="3" t="s">
        <v>1114</v>
      </c>
      <c r="M39" s="3"/>
      <c r="N39" s="3" t="s">
        <v>1001</v>
      </c>
      <c r="O39" s="3" t="s">
        <v>1097</v>
      </c>
      <c r="P39" s="3" t="s">
        <v>891</v>
      </c>
    </row>
    <row r="40" spans="1:16">
      <c r="A40" s="2">
        <v>5544097</v>
      </c>
      <c r="B40" s="3" t="s">
        <v>84</v>
      </c>
      <c r="C40" s="3" t="s">
        <v>1</v>
      </c>
      <c r="D40" s="3" t="s">
        <v>76</v>
      </c>
      <c r="E40" s="3" t="s">
        <v>85</v>
      </c>
      <c r="F40" s="3" t="s">
        <v>1115</v>
      </c>
      <c r="G40" s="3" t="s">
        <v>1116</v>
      </c>
      <c r="H40" s="3" t="s">
        <v>1117</v>
      </c>
      <c r="I40" s="3" t="s">
        <v>1118</v>
      </c>
      <c r="J40" s="3" t="s">
        <v>1119</v>
      </c>
      <c r="L40" s="3" t="s">
        <v>1120</v>
      </c>
      <c r="M40" s="3"/>
      <c r="N40" s="3" t="s">
        <v>1001</v>
      </c>
      <c r="O40" s="3" t="s">
        <v>1097</v>
      </c>
      <c r="P40" s="3" t="s">
        <v>891</v>
      </c>
    </row>
    <row r="41" spans="1:16">
      <c r="A41" s="2">
        <v>5541097</v>
      </c>
      <c r="B41" s="3" t="s">
        <v>86</v>
      </c>
      <c r="C41" s="3" t="s">
        <v>1</v>
      </c>
      <c r="D41" s="3" t="s">
        <v>76</v>
      </c>
      <c r="E41" s="3" t="s">
        <v>85</v>
      </c>
      <c r="F41" s="3" t="s">
        <v>1121</v>
      </c>
      <c r="G41" s="3" t="s">
        <v>1122</v>
      </c>
      <c r="H41" s="3" t="s">
        <v>1123</v>
      </c>
      <c r="I41" s="3" t="s">
        <v>1124</v>
      </c>
      <c r="J41" s="3" t="s">
        <v>1125</v>
      </c>
      <c r="L41" s="3" t="s">
        <v>1120</v>
      </c>
      <c r="M41" s="3"/>
      <c r="N41" s="3" t="s">
        <v>1126</v>
      </c>
      <c r="O41" s="3" t="s">
        <v>1097</v>
      </c>
      <c r="P41" s="3" t="s">
        <v>891</v>
      </c>
    </row>
    <row r="42" spans="1:16">
      <c r="A42" s="2">
        <v>5540097</v>
      </c>
      <c r="B42" s="3" t="s">
        <v>87</v>
      </c>
      <c r="C42" s="3" t="s">
        <v>1</v>
      </c>
      <c r="D42" s="3" t="s">
        <v>2</v>
      </c>
      <c r="E42" s="3" t="s">
        <v>85</v>
      </c>
      <c r="F42" s="3" t="s">
        <v>1127</v>
      </c>
      <c r="G42" s="3" t="s">
        <v>1128</v>
      </c>
      <c r="H42" s="3" t="s">
        <v>1129</v>
      </c>
      <c r="I42" s="3" t="s">
        <v>1130</v>
      </c>
      <c r="J42" s="3" t="s">
        <v>1131</v>
      </c>
      <c r="L42" s="3" t="s">
        <v>1120</v>
      </c>
      <c r="M42" s="3"/>
      <c r="N42" s="3" t="s">
        <v>1132</v>
      </c>
      <c r="O42" s="3" t="s">
        <v>1097</v>
      </c>
      <c r="P42" s="3" t="s">
        <v>891</v>
      </c>
    </row>
    <row r="43" spans="1:16">
      <c r="A43" s="2">
        <v>5539097</v>
      </c>
      <c r="B43" s="3" t="s">
        <v>88</v>
      </c>
      <c r="C43" s="3" t="s">
        <v>1</v>
      </c>
      <c r="D43" s="3" t="s">
        <v>76</v>
      </c>
      <c r="E43" s="3" t="s">
        <v>89</v>
      </c>
      <c r="F43" s="3" t="s">
        <v>1133</v>
      </c>
      <c r="G43" s="3" t="s">
        <v>1134</v>
      </c>
      <c r="H43" s="3" t="s">
        <v>1135</v>
      </c>
      <c r="I43" s="3" t="s">
        <v>1136</v>
      </c>
      <c r="J43" s="3" t="s">
        <v>1137</v>
      </c>
      <c r="L43" s="3" t="s">
        <v>1095</v>
      </c>
      <c r="M43" s="3"/>
      <c r="N43" s="3" t="s">
        <v>1138</v>
      </c>
      <c r="O43" s="3" t="s">
        <v>1097</v>
      </c>
      <c r="P43" s="3" t="s">
        <v>891</v>
      </c>
    </row>
    <row r="44" spans="1:16">
      <c r="A44" s="2">
        <v>5537097</v>
      </c>
      <c r="B44" s="3" t="s">
        <v>90</v>
      </c>
      <c r="C44" s="3" t="s">
        <v>1</v>
      </c>
      <c r="D44" s="3" t="s">
        <v>2</v>
      </c>
      <c r="E44" s="3" t="s">
        <v>91</v>
      </c>
      <c r="F44" s="3" t="s">
        <v>1139</v>
      </c>
      <c r="G44" s="3" t="s">
        <v>1140</v>
      </c>
      <c r="H44" s="3" t="s">
        <v>1141</v>
      </c>
      <c r="I44" s="3" t="s">
        <v>1142</v>
      </c>
      <c r="J44" s="3" t="s">
        <v>1143</v>
      </c>
      <c r="L44" s="3" t="s">
        <v>1144</v>
      </c>
      <c r="M44" s="3"/>
      <c r="N44" s="3" t="s">
        <v>966</v>
      </c>
      <c r="O44" s="3" t="s">
        <v>919</v>
      </c>
      <c r="P44" s="3" t="s">
        <v>876</v>
      </c>
    </row>
    <row r="45" spans="1:16">
      <c r="A45" s="2">
        <v>5536097</v>
      </c>
      <c r="B45" s="3" t="s">
        <v>92</v>
      </c>
      <c r="C45" s="3" t="s">
        <v>1</v>
      </c>
      <c r="D45" s="3" t="s">
        <v>2</v>
      </c>
      <c r="E45" s="3" t="s">
        <v>93</v>
      </c>
      <c r="F45" s="3" t="s">
        <v>1145</v>
      </c>
      <c r="G45" s="3" t="s">
        <v>1146</v>
      </c>
      <c r="H45" s="3" t="s">
        <v>1147</v>
      </c>
      <c r="I45" s="3" t="s">
        <v>1148</v>
      </c>
      <c r="J45" s="3" t="s">
        <v>1149</v>
      </c>
      <c r="L45" s="3" t="s">
        <v>1150</v>
      </c>
      <c r="M45" s="3"/>
      <c r="N45" s="3" t="s">
        <v>1151</v>
      </c>
      <c r="O45" s="3" t="s">
        <v>1097</v>
      </c>
      <c r="P45" s="3" t="s">
        <v>891</v>
      </c>
    </row>
    <row r="46" spans="1:16">
      <c r="A46" s="2">
        <v>5535097</v>
      </c>
      <c r="B46" s="3" t="s">
        <v>94</v>
      </c>
      <c r="C46" s="3" t="s">
        <v>1</v>
      </c>
      <c r="D46" s="3" t="s">
        <v>2</v>
      </c>
      <c r="E46" s="3" t="s">
        <v>95</v>
      </c>
      <c r="F46" s="3" t="s">
        <v>1152</v>
      </c>
      <c r="G46" s="3" t="s">
        <v>1153</v>
      </c>
      <c r="H46" s="3" t="s">
        <v>1154</v>
      </c>
      <c r="I46" s="3" t="s">
        <v>1155</v>
      </c>
      <c r="J46" s="3" t="s">
        <v>1156</v>
      </c>
      <c r="L46" s="3" t="s">
        <v>1157</v>
      </c>
      <c r="M46" s="3"/>
      <c r="N46" s="3" t="s">
        <v>1158</v>
      </c>
      <c r="O46" s="3" t="s">
        <v>1097</v>
      </c>
      <c r="P46" s="3" t="s">
        <v>891</v>
      </c>
    </row>
    <row r="47" spans="1:16">
      <c r="A47" s="2">
        <v>5534097</v>
      </c>
      <c r="B47" s="3" t="s">
        <v>96</v>
      </c>
      <c r="C47" s="3" t="s">
        <v>1</v>
      </c>
      <c r="D47" s="3" t="s">
        <v>2</v>
      </c>
      <c r="E47" s="3" t="s">
        <v>97</v>
      </c>
      <c r="F47" s="3" t="s">
        <v>1159</v>
      </c>
      <c r="G47" s="3" t="s">
        <v>1160</v>
      </c>
      <c r="H47" s="3" t="s">
        <v>1161</v>
      </c>
      <c r="I47" s="3" t="s">
        <v>1162</v>
      </c>
      <c r="J47" s="3" t="s">
        <v>1163</v>
      </c>
      <c r="L47" s="3" t="s">
        <v>1164</v>
      </c>
      <c r="M47" s="3"/>
      <c r="N47" s="3" t="s">
        <v>1126</v>
      </c>
      <c r="O47" s="3" t="s">
        <v>1097</v>
      </c>
      <c r="P47" s="3" t="s">
        <v>891</v>
      </c>
    </row>
    <row r="48" spans="1:16">
      <c r="A48" s="2">
        <v>5531097</v>
      </c>
      <c r="B48" s="3" t="s">
        <v>98</v>
      </c>
      <c r="C48" s="3" t="s">
        <v>1</v>
      </c>
      <c r="D48" s="3" t="s">
        <v>2</v>
      </c>
      <c r="E48" s="3" t="s">
        <v>93</v>
      </c>
      <c r="F48" s="3" t="s">
        <v>1165</v>
      </c>
      <c r="G48" s="3" t="s">
        <v>1166</v>
      </c>
      <c r="H48" s="3" t="s">
        <v>1167</v>
      </c>
      <c r="I48" s="3" t="s">
        <v>1168</v>
      </c>
      <c r="J48" s="3" t="s">
        <v>1169</v>
      </c>
      <c r="L48" s="3" t="s">
        <v>1170</v>
      </c>
      <c r="M48" s="3"/>
      <c r="N48" s="3" t="s">
        <v>932</v>
      </c>
      <c r="O48" s="3" t="s">
        <v>875</v>
      </c>
      <c r="P48" s="3" t="s">
        <v>1033</v>
      </c>
    </row>
    <row r="49" spans="1:16">
      <c r="A49" s="2">
        <v>5530097</v>
      </c>
      <c r="B49" s="3" t="s">
        <v>100</v>
      </c>
      <c r="C49" s="3" t="s">
        <v>1</v>
      </c>
      <c r="D49" s="3" t="s">
        <v>2</v>
      </c>
      <c r="E49" s="3" t="s">
        <v>101</v>
      </c>
      <c r="F49" s="3" t="s">
        <v>1171</v>
      </c>
      <c r="G49" s="3" t="s">
        <v>1172</v>
      </c>
      <c r="H49" s="3" t="s">
        <v>1173</v>
      </c>
      <c r="I49" s="3" t="s">
        <v>1174</v>
      </c>
      <c r="J49" s="3" t="s">
        <v>1175</v>
      </c>
      <c r="L49" s="3" t="s">
        <v>1176</v>
      </c>
      <c r="M49" s="3"/>
      <c r="N49" s="3" t="s">
        <v>1177</v>
      </c>
      <c r="O49" s="3" t="s">
        <v>875</v>
      </c>
      <c r="P49" s="3" t="s">
        <v>1033</v>
      </c>
    </row>
    <row r="50" spans="1:16">
      <c r="A50" s="2">
        <v>5529097</v>
      </c>
      <c r="B50" s="3" t="s">
        <v>103</v>
      </c>
      <c r="C50" s="3" t="s">
        <v>1</v>
      </c>
      <c r="D50" s="3" t="s">
        <v>2</v>
      </c>
      <c r="E50" s="3" t="s">
        <v>101</v>
      </c>
      <c r="F50" s="3" t="s">
        <v>1178</v>
      </c>
      <c r="G50" s="3" t="s">
        <v>1179</v>
      </c>
      <c r="H50" s="3" t="s">
        <v>1180</v>
      </c>
      <c r="I50" s="3" t="s">
        <v>1181</v>
      </c>
      <c r="J50" s="3" t="s">
        <v>1182</v>
      </c>
      <c r="L50" s="3" t="s">
        <v>1183</v>
      </c>
      <c r="M50" s="3"/>
      <c r="N50" s="3" t="s">
        <v>932</v>
      </c>
      <c r="O50" s="3" t="s">
        <v>875</v>
      </c>
      <c r="P50" s="3" t="s">
        <v>1033</v>
      </c>
    </row>
    <row r="51" spans="1:16">
      <c r="A51" s="2">
        <v>5528097</v>
      </c>
      <c r="B51" s="3" t="s">
        <v>105</v>
      </c>
      <c r="C51" s="3" t="s">
        <v>1</v>
      </c>
      <c r="D51" s="3" t="s">
        <v>7</v>
      </c>
      <c r="E51" s="3" t="s">
        <v>59</v>
      </c>
      <c r="F51" s="3" t="s">
        <v>1184</v>
      </c>
      <c r="G51" s="3" t="s">
        <v>1185</v>
      </c>
      <c r="H51" s="3" t="s">
        <v>1186</v>
      </c>
      <c r="I51" s="3" t="s">
        <v>1187</v>
      </c>
      <c r="J51" s="3" t="s">
        <v>1188</v>
      </c>
      <c r="L51" s="3" t="s">
        <v>1039</v>
      </c>
      <c r="M51" s="3"/>
      <c r="N51" s="3" t="s">
        <v>1132</v>
      </c>
      <c r="O51" s="3" t="s">
        <v>875</v>
      </c>
      <c r="P51" s="3" t="s">
        <v>1033</v>
      </c>
    </row>
    <row r="52" spans="1:16">
      <c r="A52" s="2">
        <v>5527097</v>
      </c>
      <c r="B52" s="3" t="s">
        <v>106</v>
      </c>
      <c r="C52" s="3" t="s">
        <v>1</v>
      </c>
      <c r="D52" s="3" t="s">
        <v>2</v>
      </c>
      <c r="E52" s="3" t="s">
        <v>107</v>
      </c>
      <c r="F52" s="3" t="s">
        <v>1189</v>
      </c>
      <c r="G52" s="3" t="s">
        <v>1190</v>
      </c>
      <c r="H52" s="3" t="s">
        <v>1191</v>
      </c>
      <c r="I52" s="3" t="s">
        <v>1192</v>
      </c>
      <c r="J52" s="3" t="s">
        <v>1193</v>
      </c>
      <c r="L52" s="3" t="s">
        <v>1194</v>
      </c>
      <c r="M52" s="3"/>
      <c r="N52" s="3" t="s">
        <v>1132</v>
      </c>
      <c r="O52" s="3" t="s">
        <v>875</v>
      </c>
      <c r="P52" s="3" t="s">
        <v>1033</v>
      </c>
    </row>
    <row r="53" spans="1:16">
      <c r="A53" s="2">
        <v>5526097</v>
      </c>
      <c r="B53" s="3" t="s">
        <v>109</v>
      </c>
      <c r="C53" s="3" t="s">
        <v>1</v>
      </c>
      <c r="D53" s="3" t="s">
        <v>7</v>
      </c>
      <c r="E53" s="3" t="s">
        <v>56</v>
      </c>
      <c r="F53" s="3" t="s">
        <v>1195</v>
      </c>
      <c r="G53" s="3" t="s">
        <v>1196</v>
      </c>
      <c r="H53" s="3" t="s">
        <v>1197</v>
      </c>
      <c r="I53" s="3" t="s">
        <v>1198</v>
      </c>
      <c r="J53" s="3" t="s">
        <v>1199</v>
      </c>
      <c r="L53" s="3" t="s">
        <v>1032</v>
      </c>
      <c r="M53" s="3"/>
      <c r="N53" s="3" t="s">
        <v>1177</v>
      </c>
      <c r="O53" s="3" t="s">
        <v>875</v>
      </c>
      <c r="P53" s="3" t="s">
        <v>1033</v>
      </c>
    </row>
    <row r="54" spans="1:16">
      <c r="A54" s="2">
        <v>5525097</v>
      </c>
      <c r="B54" s="3" t="s">
        <v>110</v>
      </c>
      <c r="C54" s="3" t="s">
        <v>1</v>
      </c>
      <c r="D54" s="3" t="s">
        <v>7</v>
      </c>
      <c r="E54" s="3" t="s">
        <v>62</v>
      </c>
      <c r="F54" s="3" t="s">
        <v>1200</v>
      </c>
      <c r="G54" s="3" t="s">
        <v>1201</v>
      </c>
      <c r="H54" s="3" t="s">
        <v>1202</v>
      </c>
      <c r="I54" s="3" t="s">
        <v>1203</v>
      </c>
      <c r="J54" s="3" t="s">
        <v>1204</v>
      </c>
      <c r="L54" s="3" t="s">
        <v>1045</v>
      </c>
      <c r="M54" s="3"/>
      <c r="N54" s="3" t="s">
        <v>1205</v>
      </c>
      <c r="O54" s="3" t="s">
        <v>875</v>
      </c>
      <c r="P54" s="3" t="s">
        <v>1033</v>
      </c>
    </row>
    <row r="55" spans="1:16">
      <c r="A55" s="2">
        <v>5524097</v>
      </c>
      <c r="B55" s="3" t="s">
        <v>111</v>
      </c>
      <c r="C55" s="3" t="s">
        <v>1</v>
      </c>
      <c r="D55" s="3" t="s">
        <v>2</v>
      </c>
      <c r="E55" s="3" t="s">
        <v>112</v>
      </c>
      <c r="F55" s="3" t="s">
        <v>1206</v>
      </c>
      <c r="G55" s="3" t="s">
        <v>1207</v>
      </c>
      <c r="H55" s="3" t="s">
        <v>1208</v>
      </c>
      <c r="I55" s="3" t="s">
        <v>1209</v>
      </c>
      <c r="J55" s="3" t="s">
        <v>1210</v>
      </c>
      <c r="L55" s="3" t="s">
        <v>1211</v>
      </c>
      <c r="M55" s="3"/>
      <c r="N55" s="3" t="s">
        <v>1158</v>
      </c>
      <c r="O55" s="3" t="s">
        <v>875</v>
      </c>
      <c r="P55" s="3" t="s">
        <v>1033</v>
      </c>
    </row>
    <row r="56" spans="1:16">
      <c r="A56" s="2">
        <v>5523097</v>
      </c>
      <c r="B56" s="3" t="s">
        <v>114</v>
      </c>
      <c r="C56" s="3" t="s">
        <v>1</v>
      </c>
      <c r="D56" s="3" t="s">
        <v>2</v>
      </c>
      <c r="E56" s="3" t="s">
        <v>115</v>
      </c>
      <c r="F56" s="3" t="s">
        <v>1212</v>
      </c>
      <c r="G56" s="3" t="s">
        <v>1213</v>
      </c>
      <c r="H56" s="3" t="s">
        <v>1214</v>
      </c>
      <c r="I56" s="3" t="s">
        <v>1215</v>
      </c>
      <c r="J56" s="3" t="s">
        <v>1216</v>
      </c>
      <c r="L56" s="3" t="s">
        <v>1217</v>
      </c>
      <c r="M56" s="3"/>
      <c r="N56" s="3" t="s">
        <v>1138</v>
      </c>
      <c r="O56" s="3" t="s">
        <v>875</v>
      </c>
      <c r="P56" s="3" t="s">
        <v>1033</v>
      </c>
    </row>
    <row r="57" spans="1:16">
      <c r="A57" s="2">
        <v>5522097</v>
      </c>
      <c r="B57" s="3" t="s">
        <v>117</v>
      </c>
      <c r="C57" s="3" t="s">
        <v>1</v>
      </c>
      <c r="D57" s="3" t="s">
        <v>2</v>
      </c>
      <c r="E57" s="3" t="s">
        <v>95</v>
      </c>
      <c r="F57" s="3" t="s">
        <v>1218</v>
      </c>
      <c r="G57" s="3" t="s">
        <v>1219</v>
      </c>
      <c r="H57" s="3" t="s">
        <v>1220</v>
      </c>
      <c r="I57" s="3" t="s">
        <v>1221</v>
      </c>
      <c r="J57" s="3" t="s">
        <v>1222</v>
      </c>
      <c r="L57" s="3" t="s">
        <v>1157</v>
      </c>
      <c r="M57" s="3"/>
      <c r="N57" s="3" t="s">
        <v>1138</v>
      </c>
      <c r="O57" s="3" t="s">
        <v>875</v>
      </c>
      <c r="P57" s="3" t="s">
        <v>1033</v>
      </c>
    </row>
    <row r="58" spans="1:16">
      <c r="A58" s="2">
        <v>5521097</v>
      </c>
      <c r="B58" s="3" t="s">
        <v>119</v>
      </c>
      <c r="C58" s="3" t="s">
        <v>1</v>
      </c>
      <c r="D58" s="3" t="s">
        <v>2</v>
      </c>
      <c r="E58" s="3" t="s">
        <v>120</v>
      </c>
      <c r="F58" s="3" t="s">
        <v>1223</v>
      </c>
      <c r="G58" s="3" t="s">
        <v>1224</v>
      </c>
      <c r="H58" s="3" t="s">
        <v>1225</v>
      </c>
      <c r="I58" s="3" t="s">
        <v>1226</v>
      </c>
      <c r="J58" s="3" t="s">
        <v>1227</v>
      </c>
      <c r="L58" s="3" t="s">
        <v>1228</v>
      </c>
      <c r="M58" s="3"/>
      <c r="N58" s="3" t="s">
        <v>1229</v>
      </c>
      <c r="O58" s="3" t="s">
        <v>875</v>
      </c>
      <c r="P58" s="3" t="s">
        <v>1033</v>
      </c>
    </row>
    <row r="59" spans="1:16">
      <c r="A59" s="2">
        <v>5520097</v>
      </c>
      <c r="B59" s="3" t="s">
        <v>122</v>
      </c>
      <c r="C59" s="3" t="s">
        <v>1</v>
      </c>
      <c r="D59" s="3" t="s">
        <v>2</v>
      </c>
      <c r="E59" s="3" t="s">
        <v>115</v>
      </c>
      <c r="F59" s="3" t="s">
        <v>1230</v>
      </c>
      <c r="G59" s="3" t="s">
        <v>1231</v>
      </c>
      <c r="H59" s="3" t="s">
        <v>1232</v>
      </c>
      <c r="I59" s="3" t="s">
        <v>1233</v>
      </c>
      <c r="J59" s="3" t="s">
        <v>1234</v>
      </c>
      <c r="L59" s="3" t="s">
        <v>1217</v>
      </c>
      <c r="M59" s="3"/>
      <c r="N59" s="3" t="s">
        <v>1235</v>
      </c>
      <c r="O59" s="3" t="s">
        <v>875</v>
      </c>
      <c r="P59" s="3" t="s">
        <v>1033</v>
      </c>
    </row>
    <row r="60" spans="1:16">
      <c r="A60" s="2">
        <v>5519097</v>
      </c>
      <c r="B60" s="3" t="s">
        <v>123</v>
      </c>
      <c r="C60" s="3" t="s">
        <v>1</v>
      </c>
      <c r="D60" s="3" t="s">
        <v>2</v>
      </c>
      <c r="E60" s="3" t="s">
        <v>124</v>
      </c>
      <c r="F60" s="3" t="s">
        <v>1236</v>
      </c>
      <c r="G60" s="3" t="s">
        <v>1237</v>
      </c>
      <c r="H60" s="3" t="s">
        <v>1238</v>
      </c>
      <c r="I60" s="3" t="s">
        <v>1239</v>
      </c>
      <c r="J60" s="3" t="s">
        <v>1240</v>
      </c>
      <c r="L60" s="3" t="s">
        <v>1241</v>
      </c>
      <c r="M60" s="3"/>
      <c r="N60" s="3" t="s">
        <v>1158</v>
      </c>
      <c r="O60" s="3" t="s">
        <v>875</v>
      </c>
      <c r="P60" s="3" t="s">
        <v>1033</v>
      </c>
    </row>
    <row r="61" spans="1:16">
      <c r="A61" s="2">
        <v>5518097</v>
      </c>
      <c r="B61" s="3" t="s">
        <v>126</v>
      </c>
      <c r="C61" s="3" t="s">
        <v>1</v>
      </c>
      <c r="D61" s="3" t="s">
        <v>7</v>
      </c>
      <c r="E61" s="3" t="s">
        <v>46</v>
      </c>
      <c r="F61" s="3" t="s">
        <v>1242</v>
      </c>
      <c r="G61" s="3" t="s">
        <v>1243</v>
      </c>
      <c r="H61" s="3" t="s">
        <v>1244</v>
      </c>
      <c r="I61" s="3" t="s">
        <v>1245</v>
      </c>
      <c r="J61" s="3" t="s">
        <v>1246</v>
      </c>
      <c r="L61" s="3" t="s">
        <v>1000</v>
      </c>
      <c r="M61" s="3"/>
      <c r="N61" s="3" t="s">
        <v>1205</v>
      </c>
      <c r="O61" s="3" t="s">
        <v>919</v>
      </c>
      <c r="P61" s="3" t="s">
        <v>876</v>
      </c>
    </row>
    <row r="62" spans="1:16">
      <c r="A62" s="2">
        <v>5517097</v>
      </c>
      <c r="B62" s="3" t="s">
        <v>127</v>
      </c>
      <c r="C62" s="3" t="s">
        <v>1</v>
      </c>
      <c r="D62" s="3" t="s">
        <v>2</v>
      </c>
      <c r="E62" s="3" t="s">
        <v>128</v>
      </c>
      <c r="F62" s="3" t="s">
        <v>1247</v>
      </c>
      <c r="G62" s="3" t="s">
        <v>1248</v>
      </c>
      <c r="H62" s="3" t="s">
        <v>1249</v>
      </c>
      <c r="I62" s="3" t="s">
        <v>1250</v>
      </c>
      <c r="J62" s="3" t="s">
        <v>1251</v>
      </c>
      <c r="L62" s="3" t="s">
        <v>1252</v>
      </c>
      <c r="M62" s="3"/>
      <c r="N62" s="3" t="s">
        <v>1126</v>
      </c>
      <c r="O62" s="3" t="s">
        <v>919</v>
      </c>
      <c r="P62" s="3" t="s">
        <v>876</v>
      </c>
    </row>
    <row r="63" spans="1:16">
      <c r="A63" s="2">
        <v>5516097</v>
      </c>
      <c r="B63" s="3" t="s">
        <v>129</v>
      </c>
      <c r="C63" s="3" t="s">
        <v>1</v>
      </c>
      <c r="D63" s="3" t="s">
        <v>7</v>
      </c>
      <c r="E63" s="3" t="s">
        <v>20</v>
      </c>
      <c r="F63" s="3" t="s">
        <v>1253</v>
      </c>
      <c r="G63" s="3" t="s">
        <v>1254</v>
      </c>
      <c r="H63" s="3" t="s">
        <v>1255</v>
      </c>
      <c r="I63" s="3" t="s">
        <v>1256</v>
      </c>
      <c r="J63" s="3" t="s">
        <v>1257</v>
      </c>
      <c r="L63" s="3" t="s">
        <v>917</v>
      </c>
      <c r="M63" s="3"/>
      <c r="N63" s="3" t="s">
        <v>994</v>
      </c>
      <c r="O63" s="3" t="s">
        <v>919</v>
      </c>
      <c r="P63" s="3" t="s">
        <v>876</v>
      </c>
    </row>
    <row r="64" spans="1:16">
      <c r="A64" s="2">
        <v>5514097</v>
      </c>
      <c r="B64" s="3" t="s">
        <v>130</v>
      </c>
      <c r="C64" s="3" t="s">
        <v>1</v>
      </c>
      <c r="D64" s="3" t="s">
        <v>2</v>
      </c>
      <c r="E64" s="3" t="s">
        <v>115</v>
      </c>
      <c r="F64" s="3" t="s">
        <v>1258</v>
      </c>
      <c r="G64" s="3" t="s">
        <v>1259</v>
      </c>
      <c r="H64" s="3" t="s">
        <v>1260</v>
      </c>
      <c r="I64" s="3" t="s">
        <v>1261</v>
      </c>
      <c r="J64" s="3" t="s">
        <v>1262</v>
      </c>
      <c r="L64" s="3" t="s">
        <v>1217</v>
      </c>
      <c r="M64" s="3"/>
      <c r="N64" s="3" t="s">
        <v>1235</v>
      </c>
      <c r="O64" s="3" t="s">
        <v>875</v>
      </c>
      <c r="P64" s="3" t="s">
        <v>1033</v>
      </c>
    </row>
    <row r="65" spans="1:16">
      <c r="A65" s="2">
        <v>5513097</v>
      </c>
      <c r="B65" s="3" t="s">
        <v>132</v>
      </c>
      <c r="C65" s="3" t="s">
        <v>1</v>
      </c>
      <c r="D65" s="3" t="s">
        <v>2</v>
      </c>
      <c r="E65" s="3" t="s">
        <v>120</v>
      </c>
      <c r="F65" s="3" t="s">
        <v>1263</v>
      </c>
      <c r="G65" s="3" t="s">
        <v>1264</v>
      </c>
      <c r="H65" s="3" t="s">
        <v>1265</v>
      </c>
      <c r="I65" s="3" t="s">
        <v>1266</v>
      </c>
      <c r="J65" s="3" t="s">
        <v>1267</v>
      </c>
      <c r="L65" s="3" t="s">
        <v>1228</v>
      </c>
      <c r="M65" s="3"/>
      <c r="N65" s="3" t="s">
        <v>1268</v>
      </c>
      <c r="O65" s="3" t="s">
        <v>875</v>
      </c>
      <c r="P65" s="3" t="s">
        <v>1033</v>
      </c>
    </row>
    <row r="66" spans="1:16">
      <c r="A66" s="2">
        <v>5512097</v>
      </c>
      <c r="B66" s="3" t="s">
        <v>134</v>
      </c>
      <c r="C66" s="3" t="s">
        <v>1</v>
      </c>
      <c r="D66" s="3" t="s">
        <v>2</v>
      </c>
      <c r="E66" s="3" t="s">
        <v>135</v>
      </c>
      <c r="F66" s="3" t="s">
        <v>1269</v>
      </c>
      <c r="G66" s="3" t="s">
        <v>1270</v>
      </c>
      <c r="H66" s="3" t="s">
        <v>1271</v>
      </c>
      <c r="I66" s="3" t="s">
        <v>1272</v>
      </c>
      <c r="J66" s="3" t="s">
        <v>1273</v>
      </c>
      <c r="L66" s="3" t="s">
        <v>1274</v>
      </c>
      <c r="M66" s="3"/>
      <c r="N66" s="3" t="s">
        <v>1056</v>
      </c>
      <c r="O66" s="3" t="s">
        <v>875</v>
      </c>
      <c r="P66" s="3" t="s">
        <v>1033</v>
      </c>
    </row>
    <row r="67" spans="1:16">
      <c r="A67" s="2">
        <v>5509097</v>
      </c>
      <c r="B67" s="3" t="s">
        <v>136</v>
      </c>
      <c r="C67" s="3" t="s">
        <v>1</v>
      </c>
      <c r="D67" s="3" t="s">
        <v>2</v>
      </c>
      <c r="E67" s="3" t="s">
        <v>137</v>
      </c>
      <c r="F67" s="3" t="s">
        <v>1275</v>
      </c>
      <c r="G67" s="3" t="s">
        <v>1276</v>
      </c>
      <c r="H67" s="3" t="s">
        <v>1277</v>
      </c>
      <c r="I67" s="3" t="s">
        <v>1278</v>
      </c>
      <c r="J67" s="3" t="s">
        <v>1279</v>
      </c>
      <c r="L67" s="3" t="s">
        <v>1095</v>
      </c>
      <c r="M67" s="3"/>
      <c r="N67" s="3" t="s">
        <v>972</v>
      </c>
      <c r="O67" s="3" t="s">
        <v>875</v>
      </c>
      <c r="P67" s="3" t="s">
        <v>1033</v>
      </c>
    </row>
    <row r="68" spans="1:16">
      <c r="A68" s="2">
        <v>5508097</v>
      </c>
      <c r="B68" s="3" t="s">
        <v>139</v>
      </c>
      <c r="C68" s="3" t="s">
        <v>1</v>
      </c>
      <c r="D68" s="3" t="s">
        <v>2</v>
      </c>
      <c r="E68" s="3" t="s">
        <v>140</v>
      </c>
      <c r="F68" s="3" t="s">
        <v>1280</v>
      </c>
      <c r="G68" s="3" t="s">
        <v>1281</v>
      </c>
      <c r="H68" s="3" t="s">
        <v>1282</v>
      </c>
      <c r="I68" s="3" t="s">
        <v>1283</v>
      </c>
      <c r="J68" s="3" t="s">
        <v>1284</v>
      </c>
      <c r="L68" s="3" t="s">
        <v>1285</v>
      </c>
      <c r="M68" s="3"/>
      <c r="N68" s="3" t="s">
        <v>898</v>
      </c>
      <c r="O68" s="3" t="s">
        <v>919</v>
      </c>
      <c r="P68" s="3" t="s">
        <v>876</v>
      </c>
    </row>
    <row r="69" spans="1:16">
      <c r="A69" s="2">
        <v>5507097</v>
      </c>
      <c r="B69" s="3" t="s">
        <v>141</v>
      </c>
      <c r="C69" s="3" t="s">
        <v>1</v>
      </c>
      <c r="D69" s="3" t="s">
        <v>2</v>
      </c>
      <c r="E69" s="3" t="s">
        <v>142</v>
      </c>
      <c r="F69" s="3" t="s">
        <v>1286</v>
      </c>
      <c r="G69" s="3" t="s">
        <v>1287</v>
      </c>
      <c r="H69" s="3" t="s">
        <v>1288</v>
      </c>
      <c r="I69" s="3" t="s">
        <v>1289</v>
      </c>
      <c r="J69" s="3" t="s">
        <v>1290</v>
      </c>
      <c r="L69" s="3" t="s">
        <v>1291</v>
      </c>
      <c r="M69" s="3"/>
      <c r="N69" s="3" t="s">
        <v>1235</v>
      </c>
      <c r="O69" s="3" t="s">
        <v>875</v>
      </c>
      <c r="P69" s="3" t="s">
        <v>1033</v>
      </c>
    </row>
    <row r="70" spans="1:16">
      <c r="A70" s="2">
        <v>5505097</v>
      </c>
      <c r="B70" s="3" t="s">
        <v>144</v>
      </c>
      <c r="C70" s="3" t="s">
        <v>1</v>
      </c>
      <c r="D70" s="3" t="s">
        <v>7</v>
      </c>
      <c r="E70" s="3" t="s">
        <v>145</v>
      </c>
      <c r="F70" s="3" t="s">
        <v>1292</v>
      </c>
      <c r="G70" s="3" t="s">
        <v>1293</v>
      </c>
      <c r="H70" s="3" t="s">
        <v>1294</v>
      </c>
      <c r="I70" s="3" t="s">
        <v>1295</v>
      </c>
      <c r="J70" s="3" t="s">
        <v>1296</v>
      </c>
      <c r="L70" s="3" t="s">
        <v>1297</v>
      </c>
      <c r="M70" s="3"/>
      <c r="N70" s="3" t="s">
        <v>1298</v>
      </c>
      <c r="O70" s="3" t="s">
        <v>919</v>
      </c>
      <c r="P70" s="3" t="s">
        <v>876</v>
      </c>
    </row>
    <row r="71" spans="1:16">
      <c r="A71" s="2">
        <v>5504097</v>
      </c>
      <c r="B71" s="3" t="s">
        <v>146</v>
      </c>
      <c r="C71" s="3" t="s">
        <v>1</v>
      </c>
      <c r="D71" s="3" t="s">
        <v>2</v>
      </c>
      <c r="E71" s="3" t="s">
        <v>147</v>
      </c>
      <c r="F71" s="3" t="s">
        <v>1299</v>
      </c>
      <c r="G71" s="3" t="s">
        <v>1300</v>
      </c>
      <c r="H71" s="3" t="s">
        <v>1301</v>
      </c>
      <c r="I71" s="3" t="s">
        <v>1302</v>
      </c>
      <c r="J71" s="3" t="s">
        <v>1303</v>
      </c>
      <c r="L71" s="3" t="s">
        <v>1304</v>
      </c>
      <c r="M71" s="3"/>
      <c r="N71" s="3" t="s">
        <v>1305</v>
      </c>
      <c r="O71" s="3" t="s">
        <v>1097</v>
      </c>
      <c r="P71" s="3" t="s">
        <v>1033</v>
      </c>
    </row>
    <row r="72" spans="1:16">
      <c r="A72" s="2">
        <v>5503097</v>
      </c>
      <c r="B72" s="3" t="s">
        <v>148</v>
      </c>
      <c r="C72" s="3" t="s">
        <v>149</v>
      </c>
      <c r="D72" s="3" t="s">
        <v>2</v>
      </c>
      <c r="E72" s="3" t="s">
        <v>150</v>
      </c>
      <c r="F72" s="3" t="s">
        <v>1306</v>
      </c>
      <c r="G72" s="3" t="s">
        <v>1307</v>
      </c>
      <c r="H72" s="3" t="s">
        <v>1308</v>
      </c>
      <c r="I72" s="3" t="s">
        <v>1309</v>
      </c>
      <c r="J72" s="3" t="s">
        <v>1310</v>
      </c>
      <c r="L72" s="3" t="s">
        <v>1311</v>
      </c>
      <c r="M72" s="3"/>
      <c r="N72" s="3" t="s">
        <v>905</v>
      </c>
      <c r="O72" s="3" t="s">
        <v>875</v>
      </c>
      <c r="P72" s="3" t="s">
        <v>1312</v>
      </c>
    </row>
    <row r="73" spans="1:16">
      <c r="A73" s="2">
        <v>5500097</v>
      </c>
      <c r="B73" s="3" t="s">
        <v>152</v>
      </c>
      <c r="C73" s="3" t="s">
        <v>1</v>
      </c>
      <c r="D73" s="3" t="s">
        <v>2</v>
      </c>
      <c r="E73" s="3" t="s">
        <v>140</v>
      </c>
      <c r="F73" s="3" t="s">
        <v>1313</v>
      </c>
      <c r="G73" s="3" t="s">
        <v>1314</v>
      </c>
      <c r="H73" s="3" t="s">
        <v>1315</v>
      </c>
      <c r="I73" s="3" t="s">
        <v>1316</v>
      </c>
      <c r="J73" s="3" t="s">
        <v>1317</v>
      </c>
      <c r="L73" s="3" t="s">
        <v>1285</v>
      </c>
      <c r="M73" s="3"/>
      <c r="N73" s="3" t="s">
        <v>1132</v>
      </c>
      <c r="O73" s="3" t="s">
        <v>919</v>
      </c>
      <c r="P73" s="3" t="s">
        <v>876</v>
      </c>
    </row>
    <row r="74" spans="1:16">
      <c r="A74" s="2">
        <v>5499097</v>
      </c>
      <c r="B74" s="3" t="s">
        <v>153</v>
      </c>
      <c r="C74" s="3" t="s">
        <v>1</v>
      </c>
      <c r="D74" s="3" t="s">
        <v>2</v>
      </c>
      <c r="E74" s="3" t="s">
        <v>154</v>
      </c>
      <c r="F74" s="3" t="s">
        <v>1318</v>
      </c>
      <c r="G74" s="3" t="s">
        <v>1319</v>
      </c>
      <c r="H74" s="3" t="s">
        <v>1320</v>
      </c>
      <c r="I74" s="3" t="s">
        <v>1321</v>
      </c>
      <c r="J74" s="3" t="s">
        <v>1322</v>
      </c>
      <c r="L74" s="3" t="s">
        <v>1323</v>
      </c>
      <c r="M74" s="3"/>
      <c r="N74" s="3" t="s">
        <v>1001</v>
      </c>
      <c r="O74" s="3" t="s">
        <v>919</v>
      </c>
      <c r="P74" s="3" t="s">
        <v>876</v>
      </c>
    </row>
    <row r="75" spans="1:16">
      <c r="A75" s="2">
        <v>5498097</v>
      </c>
      <c r="B75" s="3" t="s">
        <v>155</v>
      </c>
      <c r="C75" s="3" t="s">
        <v>149</v>
      </c>
      <c r="D75" s="3" t="s">
        <v>7</v>
      </c>
      <c r="E75" s="3" t="s">
        <v>156</v>
      </c>
      <c r="F75" s="3" t="s">
        <v>1324</v>
      </c>
      <c r="G75" s="3" t="s">
        <v>1325</v>
      </c>
      <c r="H75" s="3" t="s">
        <v>1326</v>
      </c>
      <c r="I75" s="3" t="s">
        <v>1327</v>
      </c>
      <c r="J75" s="3" t="s">
        <v>1328</v>
      </c>
      <c r="L75" s="3" t="s">
        <v>1329</v>
      </c>
      <c r="M75" s="3"/>
      <c r="N75" s="3" t="s">
        <v>1126</v>
      </c>
      <c r="O75" s="3" t="s">
        <v>875</v>
      </c>
      <c r="P75" s="3" t="s">
        <v>1312</v>
      </c>
    </row>
    <row r="76" spans="1:16">
      <c r="A76" s="2">
        <v>5496097</v>
      </c>
      <c r="B76" s="3" t="s">
        <v>157</v>
      </c>
      <c r="C76" s="3" t="s">
        <v>1</v>
      </c>
      <c r="D76" s="3" t="s">
        <v>2</v>
      </c>
      <c r="E76" s="3" t="s">
        <v>158</v>
      </c>
      <c r="F76" s="3" t="s">
        <v>1330</v>
      </c>
      <c r="G76" s="3" t="s">
        <v>1331</v>
      </c>
      <c r="H76" s="3" t="s">
        <v>1332</v>
      </c>
      <c r="I76" s="3" t="s">
        <v>1333</v>
      </c>
      <c r="J76" s="3" t="s">
        <v>1334</v>
      </c>
      <c r="L76" s="3" t="s">
        <v>1335</v>
      </c>
      <c r="M76" s="3"/>
      <c r="N76" s="3" t="s">
        <v>1132</v>
      </c>
      <c r="O76" s="3" t="s">
        <v>919</v>
      </c>
      <c r="P76" s="3" t="s">
        <v>1033</v>
      </c>
    </row>
    <row r="77" spans="1:16">
      <c r="A77" s="2">
        <v>5495097</v>
      </c>
      <c r="B77" s="3" t="s">
        <v>159</v>
      </c>
      <c r="C77" s="3" t="s">
        <v>1</v>
      </c>
      <c r="D77" s="3" t="s">
        <v>2</v>
      </c>
      <c r="E77" s="3" t="s">
        <v>53</v>
      </c>
      <c r="F77" s="3" t="s">
        <v>1336</v>
      </c>
      <c r="G77" s="3" t="s">
        <v>1337</v>
      </c>
      <c r="H77" s="3" t="s">
        <v>1338</v>
      </c>
      <c r="I77" s="3" t="s">
        <v>1339</v>
      </c>
      <c r="J77" s="3" t="s">
        <v>1340</v>
      </c>
      <c r="L77" s="3" t="s">
        <v>1341</v>
      </c>
      <c r="M77" s="3"/>
      <c r="N77" s="3" t="s">
        <v>1342</v>
      </c>
      <c r="O77" s="3" t="s">
        <v>919</v>
      </c>
      <c r="P77" s="3" t="s">
        <v>1033</v>
      </c>
    </row>
    <row r="78" spans="1:16">
      <c r="A78" s="2">
        <v>5494097</v>
      </c>
      <c r="B78" s="3" t="s">
        <v>160</v>
      </c>
      <c r="C78" s="3" t="s">
        <v>1</v>
      </c>
      <c r="D78" s="3" t="s">
        <v>2</v>
      </c>
      <c r="E78" s="3" t="s">
        <v>161</v>
      </c>
      <c r="F78" s="3" t="s">
        <v>1343</v>
      </c>
      <c r="G78" s="3" t="s">
        <v>1344</v>
      </c>
      <c r="H78" s="3" t="s">
        <v>1345</v>
      </c>
      <c r="I78" s="3" t="s">
        <v>1346</v>
      </c>
      <c r="J78" s="3" t="s">
        <v>1347</v>
      </c>
      <c r="L78" s="3" t="s">
        <v>1348</v>
      </c>
      <c r="M78" s="3"/>
      <c r="N78" s="3" t="s">
        <v>905</v>
      </c>
      <c r="O78" s="3" t="s">
        <v>919</v>
      </c>
      <c r="P78" s="3" t="s">
        <v>1033</v>
      </c>
    </row>
    <row r="79" spans="1:16">
      <c r="A79" s="2">
        <v>5493097</v>
      </c>
      <c r="B79" s="3" t="s">
        <v>162</v>
      </c>
      <c r="C79" s="3" t="s">
        <v>1</v>
      </c>
      <c r="D79" s="3" t="s">
        <v>2</v>
      </c>
      <c r="E79" s="3" t="s">
        <v>163</v>
      </c>
      <c r="F79" s="3" t="s">
        <v>1349</v>
      </c>
      <c r="G79" s="3" t="s">
        <v>1350</v>
      </c>
      <c r="H79" s="3" t="s">
        <v>1351</v>
      </c>
      <c r="I79" s="3" t="s">
        <v>1352</v>
      </c>
      <c r="J79" s="3" t="s">
        <v>1353</v>
      </c>
      <c r="L79" s="3" t="s">
        <v>1354</v>
      </c>
      <c r="M79" s="3"/>
      <c r="N79" s="3" t="s">
        <v>1075</v>
      </c>
      <c r="O79" s="3" t="s">
        <v>919</v>
      </c>
      <c r="P79" s="3" t="s">
        <v>1033</v>
      </c>
    </row>
    <row r="80" spans="1:16">
      <c r="A80" s="2">
        <v>5492097</v>
      </c>
      <c r="B80" s="3" t="s">
        <v>164</v>
      </c>
      <c r="C80" s="3" t="s">
        <v>1</v>
      </c>
      <c r="D80" s="3" t="s">
        <v>2</v>
      </c>
      <c r="E80" s="3" t="s">
        <v>165</v>
      </c>
      <c r="F80" s="3" t="s">
        <v>1355</v>
      </c>
      <c r="G80" s="3" t="s">
        <v>1356</v>
      </c>
      <c r="H80" s="3" t="s">
        <v>1357</v>
      </c>
      <c r="I80" s="3" t="s">
        <v>1358</v>
      </c>
      <c r="J80" s="3" t="s">
        <v>1359</v>
      </c>
      <c r="L80" s="3" t="s">
        <v>1360</v>
      </c>
      <c r="M80" s="3"/>
      <c r="N80" s="3" t="s">
        <v>1361</v>
      </c>
      <c r="O80" s="3" t="s">
        <v>919</v>
      </c>
      <c r="P80" s="3" t="s">
        <v>1033</v>
      </c>
    </row>
    <row r="81" spans="1:16">
      <c r="A81" s="2">
        <v>5491097</v>
      </c>
      <c r="B81" s="3" t="s">
        <v>166</v>
      </c>
      <c r="C81" s="3" t="s">
        <v>1</v>
      </c>
      <c r="D81" s="3" t="s">
        <v>2</v>
      </c>
      <c r="E81" s="3" t="s">
        <v>93</v>
      </c>
      <c r="F81" s="3" t="s">
        <v>1362</v>
      </c>
      <c r="G81" s="3" t="s">
        <v>1363</v>
      </c>
      <c r="H81" s="3" t="s">
        <v>1364</v>
      </c>
      <c r="I81" s="3" t="s">
        <v>1365</v>
      </c>
      <c r="J81" s="3" t="s">
        <v>1366</v>
      </c>
      <c r="L81" s="3" t="s">
        <v>1367</v>
      </c>
      <c r="M81" s="3"/>
      <c r="N81" s="3" t="s">
        <v>1342</v>
      </c>
      <c r="O81" s="3" t="s">
        <v>919</v>
      </c>
      <c r="P81" s="3" t="s">
        <v>1033</v>
      </c>
    </row>
    <row r="82" spans="1:16">
      <c r="A82" s="2">
        <v>5490097</v>
      </c>
      <c r="B82" s="3" t="s">
        <v>167</v>
      </c>
      <c r="C82" s="3" t="s">
        <v>1</v>
      </c>
      <c r="D82" s="3" t="s">
        <v>2</v>
      </c>
      <c r="E82" s="3" t="s">
        <v>168</v>
      </c>
      <c r="F82" s="3" t="s">
        <v>1368</v>
      </c>
      <c r="G82" s="3" t="s">
        <v>1369</v>
      </c>
      <c r="H82" s="3" t="s">
        <v>1370</v>
      </c>
      <c r="I82" s="3" t="s">
        <v>1371</v>
      </c>
      <c r="J82" s="3" t="s">
        <v>1372</v>
      </c>
      <c r="L82" s="3" t="s">
        <v>1373</v>
      </c>
      <c r="M82" s="3"/>
      <c r="N82" s="3" t="s">
        <v>1374</v>
      </c>
      <c r="O82" s="3" t="s">
        <v>919</v>
      </c>
      <c r="P82" s="3" t="s">
        <v>1033</v>
      </c>
    </row>
    <row r="83" spans="1:16">
      <c r="A83" s="2">
        <v>5488097</v>
      </c>
      <c r="B83" s="3" t="s">
        <v>169</v>
      </c>
      <c r="C83" s="3" t="s">
        <v>1</v>
      </c>
      <c r="D83" s="3" t="s">
        <v>2</v>
      </c>
      <c r="E83" s="3" t="s">
        <v>170</v>
      </c>
      <c r="F83" s="3" t="s">
        <v>1375</v>
      </c>
      <c r="G83" s="3" t="s">
        <v>1376</v>
      </c>
      <c r="H83" s="3" t="s">
        <v>1377</v>
      </c>
      <c r="I83" s="3" t="s">
        <v>1378</v>
      </c>
      <c r="J83" s="3" t="s">
        <v>1379</v>
      </c>
      <c r="L83" s="3" t="s">
        <v>1380</v>
      </c>
      <c r="M83" s="3"/>
      <c r="N83" s="3" t="s">
        <v>994</v>
      </c>
      <c r="O83" s="3" t="s">
        <v>919</v>
      </c>
      <c r="P83" s="3" t="s">
        <v>1033</v>
      </c>
    </row>
    <row r="84" spans="1:16">
      <c r="A84" s="2">
        <v>5487097</v>
      </c>
      <c r="B84" s="3" t="s">
        <v>171</v>
      </c>
      <c r="C84" s="3" t="s">
        <v>1</v>
      </c>
      <c r="D84" s="3" t="s">
        <v>2</v>
      </c>
      <c r="E84" s="3" t="s">
        <v>172</v>
      </c>
      <c r="F84" s="3" t="s">
        <v>1381</v>
      </c>
      <c r="G84" s="3" t="s">
        <v>1382</v>
      </c>
      <c r="H84" s="3" t="s">
        <v>1383</v>
      </c>
      <c r="I84" s="3" t="s">
        <v>1384</v>
      </c>
      <c r="J84" s="3" t="s">
        <v>1385</v>
      </c>
      <c r="L84" s="3" t="s">
        <v>1386</v>
      </c>
      <c r="M84" s="3"/>
      <c r="N84" s="3" t="s">
        <v>918</v>
      </c>
      <c r="O84" s="3" t="s">
        <v>919</v>
      </c>
      <c r="P84" s="3" t="s">
        <v>1033</v>
      </c>
    </row>
    <row r="85" spans="1:16">
      <c r="A85" s="2">
        <v>5486097</v>
      </c>
      <c r="B85" s="3" t="s">
        <v>173</v>
      </c>
      <c r="C85" s="3" t="s">
        <v>1</v>
      </c>
      <c r="D85" s="3" t="s">
        <v>2</v>
      </c>
      <c r="E85" s="3" t="s">
        <v>174</v>
      </c>
      <c r="F85" s="3" t="s">
        <v>1387</v>
      </c>
      <c r="G85" s="3" t="s">
        <v>1388</v>
      </c>
      <c r="H85" s="3" t="s">
        <v>1389</v>
      </c>
      <c r="I85" s="3" t="s">
        <v>1390</v>
      </c>
      <c r="J85" s="3" t="s">
        <v>1391</v>
      </c>
      <c r="L85" s="3" t="s">
        <v>1392</v>
      </c>
      <c r="M85" s="3"/>
      <c r="N85" s="3" t="s">
        <v>1096</v>
      </c>
      <c r="O85" s="3" t="s">
        <v>875</v>
      </c>
      <c r="P85" s="3" t="s">
        <v>876</v>
      </c>
    </row>
    <row r="86" spans="1:16">
      <c r="A86" s="2">
        <v>5484097</v>
      </c>
      <c r="B86" s="3" t="s">
        <v>176</v>
      </c>
      <c r="C86" s="3" t="s">
        <v>149</v>
      </c>
      <c r="D86" s="3" t="s">
        <v>2</v>
      </c>
      <c r="E86" s="3" t="s">
        <v>20</v>
      </c>
      <c r="F86" s="3" t="s">
        <v>1393</v>
      </c>
      <c r="G86" s="3" t="s">
        <v>1394</v>
      </c>
      <c r="H86" s="3" t="s">
        <v>1395</v>
      </c>
      <c r="I86" s="3" t="s">
        <v>1396</v>
      </c>
      <c r="J86" s="3" t="s">
        <v>1397</v>
      </c>
      <c r="L86" s="3" t="s">
        <v>1398</v>
      </c>
      <c r="M86" s="3"/>
      <c r="N86" s="3" t="s">
        <v>1399</v>
      </c>
      <c r="O86" s="3" t="s">
        <v>919</v>
      </c>
      <c r="P86" s="3" t="s">
        <v>1312</v>
      </c>
    </row>
    <row r="87" spans="1:16">
      <c r="A87" s="2">
        <v>5482097</v>
      </c>
      <c r="B87" s="3" t="s">
        <v>177</v>
      </c>
      <c r="C87" s="3" t="s">
        <v>1</v>
      </c>
      <c r="D87" s="3" t="s">
        <v>2</v>
      </c>
      <c r="E87" s="3" t="s">
        <v>20</v>
      </c>
      <c r="F87" s="3" t="s">
        <v>1400</v>
      </c>
      <c r="G87" s="3" t="s">
        <v>1401</v>
      </c>
      <c r="H87" s="3" t="s">
        <v>1402</v>
      </c>
      <c r="I87" s="3" t="s">
        <v>1403</v>
      </c>
      <c r="J87" s="3" t="s">
        <v>1404</v>
      </c>
      <c r="L87" s="3" t="s">
        <v>1405</v>
      </c>
      <c r="M87" s="3"/>
      <c r="N87" s="3" t="s">
        <v>1001</v>
      </c>
      <c r="O87" s="3" t="s">
        <v>875</v>
      </c>
      <c r="P87" s="3" t="s">
        <v>876</v>
      </c>
    </row>
    <row r="88" spans="1:16">
      <c r="A88" s="2">
        <v>5481097</v>
      </c>
      <c r="B88" s="3" t="s">
        <v>179</v>
      </c>
      <c r="C88" s="3" t="s">
        <v>1</v>
      </c>
      <c r="D88" s="3" t="s">
        <v>2</v>
      </c>
      <c r="E88" s="3" t="s">
        <v>180</v>
      </c>
      <c r="F88" s="3" t="s">
        <v>1406</v>
      </c>
      <c r="G88" s="3" t="s">
        <v>1407</v>
      </c>
      <c r="H88" s="3" t="s">
        <v>1408</v>
      </c>
      <c r="I88" s="3" t="s">
        <v>1409</v>
      </c>
      <c r="J88" s="3" t="s">
        <v>1410</v>
      </c>
      <c r="L88" s="3" t="s">
        <v>1411</v>
      </c>
      <c r="M88" s="3"/>
      <c r="N88" s="3" t="s">
        <v>1412</v>
      </c>
      <c r="O88" s="3" t="s">
        <v>919</v>
      </c>
      <c r="P88" s="3" t="s">
        <v>876</v>
      </c>
    </row>
    <row r="89" spans="1:16">
      <c r="A89" s="2">
        <v>5477097</v>
      </c>
      <c r="B89" s="3" t="s">
        <v>181</v>
      </c>
      <c r="C89" s="3" t="s">
        <v>1</v>
      </c>
      <c r="D89" s="3" t="s">
        <v>2</v>
      </c>
      <c r="E89" s="3" t="s">
        <v>182</v>
      </c>
      <c r="F89" s="3" t="s">
        <v>1413</v>
      </c>
      <c r="G89" s="3" t="s">
        <v>1414</v>
      </c>
      <c r="H89" s="3" t="s">
        <v>1415</v>
      </c>
      <c r="I89" s="3" t="s">
        <v>1416</v>
      </c>
      <c r="J89" s="3" t="s">
        <v>1417</v>
      </c>
      <c r="L89" s="3" t="s">
        <v>1418</v>
      </c>
      <c r="M89" s="3"/>
      <c r="N89" s="3" t="s">
        <v>898</v>
      </c>
      <c r="O89" s="3" t="s">
        <v>875</v>
      </c>
      <c r="P89" s="3" t="s">
        <v>876</v>
      </c>
    </row>
    <row r="90" spans="1:16">
      <c r="A90" s="2">
        <v>5476097</v>
      </c>
      <c r="B90" s="3" t="s">
        <v>183</v>
      </c>
      <c r="C90" s="3" t="s">
        <v>1</v>
      </c>
      <c r="D90" s="3" t="s">
        <v>7</v>
      </c>
      <c r="E90" s="3" t="s">
        <v>26</v>
      </c>
      <c r="F90" s="3" t="s">
        <v>1419</v>
      </c>
      <c r="G90" s="3" t="s">
        <v>1420</v>
      </c>
      <c r="H90" s="3" t="s">
        <v>1421</v>
      </c>
      <c r="I90" s="3" t="s">
        <v>1422</v>
      </c>
      <c r="J90" s="3" t="s">
        <v>1423</v>
      </c>
      <c r="L90" s="3" t="s">
        <v>939</v>
      </c>
      <c r="M90" s="3"/>
      <c r="N90" s="3" t="s">
        <v>1424</v>
      </c>
      <c r="O90" s="3" t="s">
        <v>919</v>
      </c>
      <c r="P90" s="3" t="s">
        <v>876</v>
      </c>
    </row>
    <row r="91" spans="1:16">
      <c r="A91" s="2">
        <v>5475097</v>
      </c>
      <c r="B91" s="3" t="s">
        <v>144</v>
      </c>
      <c r="C91" s="3" t="s">
        <v>1</v>
      </c>
      <c r="D91" s="3" t="s">
        <v>7</v>
      </c>
      <c r="E91" s="3" t="s">
        <v>145</v>
      </c>
      <c r="F91" s="3" t="s">
        <v>1425</v>
      </c>
      <c r="G91" s="3" t="s">
        <v>1426</v>
      </c>
      <c r="H91" s="3" t="s">
        <v>1427</v>
      </c>
      <c r="I91" s="3" t="s">
        <v>1428</v>
      </c>
      <c r="J91" s="3" t="s">
        <v>1429</v>
      </c>
      <c r="L91" s="3" t="s">
        <v>1297</v>
      </c>
      <c r="M91" s="3"/>
      <c r="N91" s="3" t="s">
        <v>1430</v>
      </c>
      <c r="O91" s="3" t="s">
        <v>919</v>
      </c>
      <c r="P91" s="3" t="s">
        <v>876</v>
      </c>
    </row>
    <row r="92" spans="1:16">
      <c r="A92" s="2">
        <v>5474097</v>
      </c>
      <c r="B92" s="3" t="s">
        <v>184</v>
      </c>
      <c r="C92" s="3" t="s">
        <v>1</v>
      </c>
      <c r="D92" s="3" t="s">
        <v>2</v>
      </c>
      <c r="E92" s="3" t="s">
        <v>185</v>
      </c>
      <c r="F92" s="3" t="s">
        <v>1431</v>
      </c>
      <c r="G92" s="3" t="s">
        <v>1432</v>
      </c>
      <c r="H92" s="3" t="s">
        <v>1433</v>
      </c>
      <c r="I92" s="3" t="s">
        <v>1434</v>
      </c>
      <c r="J92" s="3" t="s">
        <v>1435</v>
      </c>
      <c r="L92" s="3" t="s">
        <v>1436</v>
      </c>
      <c r="M92" s="3"/>
      <c r="N92" s="3" t="s">
        <v>1235</v>
      </c>
      <c r="O92" s="3" t="s">
        <v>1097</v>
      </c>
      <c r="P92" s="3" t="s">
        <v>876</v>
      </c>
    </row>
    <row r="93" spans="1:16">
      <c r="A93" s="2">
        <v>5473097</v>
      </c>
      <c r="B93" s="3" t="s">
        <v>186</v>
      </c>
      <c r="C93" s="3" t="s">
        <v>1</v>
      </c>
      <c r="D93" s="3" t="s">
        <v>2</v>
      </c>
      <c r="E93" s="3" t="s">
        <v>187</v>
      </c>
      <c r="F93" s="3" t="s">
        <v>1437</v>
      </c>
      <c r="G93" s="3" t="s">
        <v>1438</v>
      </c>
      <c r="H93" s="3" t="s">
        <v>1439</v>
      </c>
      <c r="I93" s="3" t="s">
        <v>1440</v>
      </c>
      <c r="J93" s="3" t="s">
        <v>1441</v>
      </c>
      <c r="L93" s="3" t="s">
        <v>1442</v>
      </c>
      <c r="M93" s="3"/>
      <c r="N93" s="3" t="s">
        <v>1443</v>
      </c>
      <c r="O93" s="3" t="s">
        <v>1026</v>
      </c>
      <c r="P93" s="3" t="s">
        <v>876</v>
      </c>
    </row>
    <row r="94" spans="1:16">
      <c r="A94" s="2">
        <v>5472097</v>
      </c>
      <c r="B94" s="3" t="s">
        <v>189</v>
      </c>
      <c r="C94" s="3" t="s">
        <v>1</v>
      </c>
      <c r="D94" s="3" t="s">
        <v>76</v>
      </c>
      <c r="E94" s="3" t="s">
        <v>190</v>
      </c>
      <c r="F94" s="3" t="s">
        <v>1444</v>
      </c>
      <c r="G94" s="3" t="s">
        <v>1445</v>
      </c>
      <c r="H94" s="3" t="s">
        <v>1446</v>
      </c>
      <c r="I94" s="3" t="s">
        <v>1447</v>
      </c>
      <c r="J94" s="3" t="s">
        <v>1448</v>
      </c>
      <c r="L94" s="3" t="s">
        <v>1114</v>
      </c>
      <c r="M94" s="3"/>
      <c r="N94" s="3" t="s">
        <v>966</v>
      </c>
      <c r="O94" s="3" t="s">
        <v>1097</v>
      </c>
      <c r="P94" s="3" t="s">
        <v>876</v>
      </c>
    </row>
    <row r="95" spans="1:16">
      <c r="A95" s="2">
        <v>5471097</v>
      </c>
      <c r="B95" s="3" t="s">
        <v>191</v>
      </c>
      <c r="C95" s="3" t="s">
        <v>1</v>
      </c>
      <c r="D95" s="3" t="s">
        <v>2</v>
      </c>
      <c r="E95" s="3" t="s">
        <v>192</v>
      </c>
      <c r="F95" s="3" t="s">
        <v>1449</v>
      </c>
      <c r="G95" s="3" t="s">
        <v>1450</v>
      </c>
      <c r="H95" s="3" t="s">
        <v>1451</v>
      </c>
      <c r="I95" s="3" t="s">
        <v>1452</v>
      </c>
      <c r="J95" s="3" t="s">
        <v>1453</v>
      </c>
      <c r="L95" s="3" t="s">
        <v>1454</v>
      </c>
      <c r="M95" s="3"/>
      <c r="N95" s="3" t="s">
        <v>1455</v>
      </c>
      <c r="O95" s="3" t="s">
        <v>919</v>
      </c>
      <c r="P95" s="3" t="s">
        <v>876</v>
      </c>
    </row>
    <row r="96" spans="1:16">
      <c r="A96" s="2">
        <v>5470097</v>
      </c>
      <c r="B96" s="3" t="s">
        <v>193</v>
      </c>
      <c r="C96" s="3" t="s">
        <v>1</v>
      </c>
      <c r="D96" s="3" t="s">
        <v>2</v>
      </c>
      <c r="E96" s="3" t="s">
        <v>194</v>
      </c>
      <c r="F96" s="3" t="s">
        <v>1456</v>
      </c>
      <c r="G96" s="3" t="s">
        <v>1457</v>
      </c>
      <c r="H96" s="3" t="s">
        <v>1458</v>
      </c>
      <c r="I96" s="3" t="s">
        <v>1459</v>
      </c>
      <c r="J96" s="3" t="s">
        <v>1460</v>
      </c>
      <c r="L96" s="3" t="s">
        <v>1461</v>
      </c>
      <c r="M96" s="3"/>
      <c r="N96" s="3" t="s">
        <v>1462</v>
      </c>
      <c r="O96" s="3" t="s">
        <v>919</v>
      </c>
      <c r="P96" s="3" t="s">
        <v>876</v>
      </c>
    </row>
    <row r="97" spans="1:16">
      <c r="A97" s="2">
        <v>5468097</v>
      </c>
      <c r="B97" s="3" t="s">
        <v>196</v>
      </c>
      <c r="C97" s="3" t="s">
        <v>1</v>
      </c>
      <c r="D97" s="3" t="s">
        <v>7</v>
      </c>
      <c r="E97" s="3" t="s">
        <v>39</v>
      </c>
      <c r="F97" s="3" t="s">
        <v>1463</v>
      </c>
      <c r="G97" s="3" t="s">
        <v>1464</v>
      </c>
      <c r="H97" s="3" t="s">
        <v>1465</v>
      </c>
      <c r="I97" s="3" t="s">
        <v>1466</v>
      </c>
      <c r="J97" s="3" t="s">
        <v>1467</v>
      </c>
      <c r="L97" s="3" t="s">
        <v>883</v>
      </c>
      <c r="M97" s="3"/>
      <c r="N97" s="3" t="s">
        <v>884</v>
      </c>
      <c r="O97" s="3" t="s">
        <v>875</v>
      </c>
      <c r="P97" s="3" t="s">
        <v>876</v>
      </c>
    </row>
    <row r="98" spans="1:16">
      <c r="A98" s="2">
        <v>5464097</v>
      </c>
      <c r="B98" s="3" t="s">
        <v>197</v>
      </c>
      <c r="C98" s="3" t="s">
        <v>1</v>
      </c>
      <c r="D98" s="3" t="s">
        <v>2</v>
      </c>
      <c r="E98" s="3" t="s">
        <v>198</v>
      </c>
      <c r="F98" s="3" t="s">
        <v>1468</v>
      </c>
      <c r="G98" s="3" t="s">
        <v>1469</v>
      </c>
      <c r="H98" s="3" t="s">
        <v>1470</v>
      </c>
      <c r="I98" s="3" t="s">
        <v>1471</v>
      </c>
      <c r="J98" s="3" t="s">
        <v>1472</v>
      </c>
      <c r="L98" s="3" t="s">
        <v>1473</v>
      </c>
      <c r="M98" s="3"/>
      <c r="N98" s="3" t="s">
        <v>1474</v>
      </c>
      <c r="O98" s="3" t="s">
        <v>875</v>
      </c>
      <c r="P98" s="3" t="s">
        <v>876</v>
      </c>
    </row>
    <row r="99" spans="1:16">
      <c r="A99" s="2">
        <v>5463097</v>
      </c>
      <c r="B99" s="3" t="s">
        <v>199</v>
      </c>
      <c r="C99" s="3" t="s">
        <v>1</v>
      </c>
      <c r="D99" s="3" t="s">
        <v>2</v>
      </c>
      <c r="E99" s="3" t="s">
        <v>200</v>
      </c>
      <c r="F99" s="3" t="s">
        <v>1475</v>
      </c>
      <c r="G99" s="3" t="s">
        <v>1476</v>
      </c>
      <c r="H99" s="3" t="s">
        <v>1477</v>
      </c>
      <c r="I99" s="3" t="s">
        <v>1478</v>
      </c>
      <c r="J99" s="3" t="s">
        <v>1479</v>
      </c>
      <c r="L99" s="3" t="s">
        <v>1480</v>
      </c>
      <c r="M99" s="3"/>
      <c r="N99" s="3" t="s">
        <v>1268</v>
      </c>
      <c r="O99" s="3" t="s">
        <v>919</v>
      </c>
      <c r="P99" s="3" t="s">
        <v>876</v>
      </c>
    </row>
    <row r="100" spans="1:16">
      <c r="A100" s="2">
        <v>5462097</v>
      </c>
      <c r="B100" s="3" t="s">
        <v>201</v>
      </c>
      <c r="C100" s="3" t="s">
        <v>1</v>
      </c>
      <c r="D100" s="3" t="s">
        <v>2</v>
      </c>
      <c r="E100" s="3" t="s">
        <v>202</v>
      </c>
      <c r="F100" s="3" t="s">
        <v>1481</v>
      </c>
      <c r="G100" s="3" t="s">
        <v>1482</v>
      </c>
      <c r="H100" s="3" t="s">
        <v>1483</v>
      </c>
      <c r="I100" s="3" t="s">
        <v>1484</v>
      </c>
      <c r="J100" s="3" t="s">
        <v>1485</v>
      </c>
      <c r="L100" s="3" t="s">
        <v>1480</v>
      </c>
      <c r="M100" s="3"/>
      <c r="N100" s="3" t="s">
        <v>1268</v>
      </c>
      <c r="O100" s="3" t="s">
        <v>919</v>
      </c>
      <c r="P100" s="3" t="s">
        <v>876</v>
      </c>
    </row>
    <row r="101" spans="1:16">
      <c r="A101" s="2">
        <v>5461097</v>
      </c>
      <c r="B101" s="3" t="s">
        <v>203</v>
      </c>
      <c r="C101" s="3" t="s">
        <v>1</v>
      </c>
      <c r="D101" s="3" t="s">
        <v>2</v>
      </c>
      <c r="E101" s="3" t="s">
        <v>204</v>
      </c>
      <c r="F101" s="3" t="s">
        <v>1486</v>
      </c>
      <c r="G101" s="3" t="s">
        <v>1487</v>
      </c>
      <c r="H101" s="3" t="s">
        <v>1488</v>
      </c>
      <c r="I101" s="3" t="s">
        <v>1489</v>
      </c>
      <c r="J101" s="3" t="s">
        <v>1490</v>
      </c>
      <c r="L101" s="3" t="s">
        <v>1491</v>
      </c>
      <c r="M101" s="3"/>
      <c r="N101" s="3" t="s">
        <v>1492</v>
      </c>
      <c r="O101" s="3" t="s">
        <v>1097</v>
      </c>
      <c r="P101" s="3" t="s">
        <v>876</v>
      </c>
    </row>
    <row r="102" spans="1:16">
      <c r="A102" s="2">
        <v>5460097</v>
      </c>
      <c r="B102" s="3" t="s">
        <v>205</v>
      </c>
      <c r="C102" s="3" t="s">
        <v>1</v>
      </c>
      <c r="D102" s="3" t="s">
        <v>2</v>
      </c>
      <c r="E102" s="3" t="s">
        <v>206</v>
      </c>
      <c r="F102" s="3" t="s">
        <v>1493</v>
      </c>
      <c r="G102" s="3" t="s">
        <v>1494</v>
      </c>
      <c r="H102" s="3" t="s">
        <v>1495</v>
      </c>
      <c r="I102" s="3" t="s">
        <v>1496</v>
      </c>
      <c r="J102" s="3" t="s">
        <v>1497</v>
      </c>
      <c r="L102" s="3" t="s">
        <v>1103</v>
      </c>
      <c r="M102" s="3"/>
      <c r="N102" s="3" t="s">
        <v>1056</v>
      </c>
      <c r="O102" s="3" t="s">
        <v>1097</v>
      </c>
      <c r="P102" s="3" t="s">
        <v>876</v>
      </c>
    </row>
    <row r="103" spans="1:16">
      <c r="A103" s="2">
        <v>5459097</v>
      </c>
      <c r="B103" s="3" t="s">
        <v>207</v>
      </c>
      <c r="C103" s="3" t="s">
        <v>1</v>
      </c>
      <c r="D103" s="3" t="s">
        <v>2</v>
      </c>
      <c r="E103" s="3" t="s">
        <v>208</v>
      </c>
      <c r="F103" s="3" t="s">
        <v>1498</v>
      </c>
      <c r="G103" s="3" t="s">
        <v>1499</v>
      </c>
      <c r="H103" s="3" t="s">
        <v>1500</v>
      </c>
      <c r="I103" s="3" t="s">
        <v>1501</v>
      </c>
      <c r="J103" s="3" t="s">
        <v>1502</v>
      </c>
      <c r="L103" s="3" t="s">
        <v>1503</v>
      </c>
      <c r="M103" s="3"/>
      <c r="N103" s="3" t="s">
        <v>994</v>
      </c>
      <c r="O103" s="3" t="s">
        <v>875</v>
      </c>
      <c r="P103" s="3" t="s">
        <v>1033</v>
      </c>
    </row>
    <row r="104" spans="1:16">
      <c r="A104" s="2">
        <v>5458097</v>
      </c>
      <c r="B104" s="3" t="s">
        <v>209</v>
      </c>
      <c r="C104" s="3" t="s">
        <v>1</v>
      </c>
      <c r="D104" s="3" t="s">
        <v>2</v>
      </c>
      <c r="E104" s="3" t="s">
        <v>210</v>
      </c>
      <c r="F104" s="3" t="s">
        <v>1504</v>
      </c>
      <c r="G104" s="3" t="s">
        <v>1505</v>
      </c>
      <c r="H104" s="3" t="s">
        <v>1506</v>
      </c>
      <c r="I104" s="3" t="s">
        <v>1507</v>
      </c>
      <c r="J104" s="3" t="s">
        <v>1508</v>
      </c>
      <c r="L104" s="3" t="s">
        <v>1509</v>
      </c>
      <c r="M104" s="3"/>
      <c r="N104" s="3" t="s">
        <v>1001</v>
      </c>
      <c r="O104" s="3" t="s">
        <v>919</v>
      </c>
      <c r="P104" s="3" t="s">
        <v>876</v>
      </c>
    </row>
    <row r="105" spans="1:16">
      <c r="A105" s="2">
        <v>5457097</v>
      </c>
      <c r="B105" s="3" t="s">
        <v>211</v>
      </c>
      <c r="C105" s="3" t="s">
        <v>1</v>
      </c>
      <c r="D105" s="3" t="s">
        <v>2</v>
      </c>
      <c r="E105" s="3" t="s">
        <v>212</v>
      </c>
      <c r="F105" s="3" t="s">
        <v>1510</v>
      </c>
      <c r="G105" s="3" t="s">
        <v>1511</v>
      </c>
      <c r="H105" s="3" t="s">
        <v>1512</v>
      </c>
      <c r="I105" s="3" t="s">
        <v>1513</v>
      </c>
      <c r="J105" s="3" t="s">
        <v>1514</v>
      </c>
      <c r="L105" s="3" t="s">
        <v>1515</v>
      </c>
      <c r="M105" s="3"/>
      <c r="N105" s="3" t="s">
        <v>932</v>
      </c>
      <c r="O105" s="3" t="s">
        <v>919</v>
      </c>
      <c r="P105" s="3" t="s">
        <v>876</v>
      </c>
    </row>
    <row r="106" spans="1:16">
      <c r="A106" s="2">
        <v>5456097</v>
      </c>
      <c r="B106" s="3" t="s">
        <v>213</v>
      </c>
      <c r="C106" s="3" t="s">
        <v>1</v>
      </c>
      <c r="D106" s="3" t="s">
        <v>2</v>
      </c>
      <c r="E106" s="3" t="s">
        <v>198</v>
      </c>
      <c r="F106" s="3" t="s">
        <v>1516</v>
      </c>
      <c r="G106" s="3" t="s">
        <v>1517</v>
      </c>
      <c r="H106" s="3" t="s">
        <v>1518</v>
      </c>
      <c r="I106" s="3" t="s">
        <v>1519</v>
      </c>
      <c r="J106" s="3" t="s">
        <v>1520</v>
      </c>
      <c r="L106" s="3" t="s">
        <v>1521</v>
      </c>
      <c r="M106" s="3"/>
      <c r="N106" s="3" t="s">
        <v>1522</v>
      </c>
      <c r="O106" s="3" t="s">
        <v>919</v>
      </c>
      <c r="P106" s="3" t="s">
        <v>876</v>
      </c>
    </row>
    <row r="107" spans="1:16">
      <c r="A107" s="2">
        <v>5455097</v>
      </c>
      <c r="B107" s="3" t="s">
        <v>214</v>
      </c>
      <c r="C107" s="3" t="s">
        <v>1</v>
      </c>
      <c r="D107" s="3" t="s">
        <v>2</v>
      </c>
      <c r="E107" s="3" t="s">
        <v>215</v>
      </c>
      <c r="F107" s="3" t="s">
        <v>1523</v>
      </c>
      <c r="G107" s="3" t="s">
        <v>1524</v>
      </c>
      <c r="H107" s="3" t="s">
        <v>1525</v>
      </c>
      <c r="I107" s="3" t="s">
        <v>1526</v>
      </c>
      <c r="J107" s="3" t="s">
        <v>1527</v>
      </c>
      <c r="L107" s="3" t="s">
        <v>1528</v>
      </c>
      <c r="M107" s="3"/>
      <c r="N107" s="3" t="s">
        <v>1492</v>
      </c>
      <c r="O107" s="3" t="s">
        <v>919</v>
      </c>
      <c r="P107" s="3" t="s">
        <v>876</v>
      </c>
    </row>
    <row r="108" spans="1:16">
      <c r="A108" s="2">
        <v>5454097</v>
      </c>
      <c r="B108" s="3" t="s">
        <v>216</v>
      </c>
      <c r="C108" s="3" t="s">
        <v>1</v>
      </c>
      <c r="D108" s="3" t="s">
        <v>76</v>
      </c>
      <c r="E108" s="3" t="s">
        <v>147</v>
      </c>
      <c r="F108" s="3" t="s">
        <v>1529</v>
      </c>
      <c r="G108" s="3" t="s">
        <v>1530</v>
      </c>
      <c r="H108" s="3" t="s">
        <v>1531</v>
      </c>
      <c r="I108" s="3" t="s">
        <v>1532</v>
      </c>
      <c r="J108" s="3" t="s">
        <v>1533</v>
      </c>
      <c r="L108" s="3" t="s">
        <v>1304</v>
      </c>
      <c r="M108" s="3"/>
      <c r="N108" s="3" t="s">
        <v>1138</v>
      </c>
      <c r="O108" s="3" t="s">
        <v>1097</v>
      </c>
      <c r="P108" s="3" t="s">
        <v>1033</v>
      </c>
    </row>
    <row r="109" spans="1:16">
      <c r="A109" s="2">
        <v>5451097</v>
      </c>
      <c r="B109" s="3" t="s">
        <v>217</v>
      </c>
      <c r="C109" s="3" t="s">
        <v>149</v>
      </c>
      <c r="D109" s="3" t="s">
        <v>2</v>
      </c>
      <c r="E109" s="3" t="s">
        <v>218</v>
      </c>
      <c r="F109" s="3" t="s">
        <v>1534</v>
      </c>
      <c r="G109" s="3" t="s">
        <v>1535</v>
      </c>
      <c r="H109" s="3" t="s">
        <v>1536</v>
      </c>
      <c r="I109" s="3" t="s">
        <v>1537</v>
      </c>
      <c r="J109" s="3" t="s">
        <v>1538</v>
      </c>
      <c r="L109" s="3" t="s">
        <v>1539</v>
      </c>
      <c r="M109" s="3"/>
      <c r="N109" s="3" t="s">
        <v>1540</v>
      </c>
      <c r="O109" s="3" t="s">
        <v>919</v>
      </c>
      <c r="P109" s="3" t="s">
        <v>1312</v>
      </c>
    </row>
    <row r="110" spans="1:16">
      <c r="A110" s="2">
        <v>5450097</v>
      </c>
      <c r="B110" s="3" t="s">
        <v>219</v>
      </c>
      <c r="C110" s="3" t="s">
        <v>1</v>
      </c>
      <c r="D110" s="3" t="s">
        <v>7</v>
      </c>
      <c r="E110" s="3" t="s">
        <v>174</v>
      </c>
      <c r="F110" s="3" t="s">
        <v>1541</v>
      </c>
      <c r="G110" s="3" t="s">
        <v>1542</v>
      </c>
      <c r="H110" s="3" t="s">
        <v>1543</v>
      </c>
      <c r="I110" s="3" t="s">
        <v>1544</v>
      </c>
      <c r="J110" s="3" t="s">
        <v>1545</v>
      </c>
      <c r="L110" s="3" t="s">
        <v>1392</v>
      </c>
      <c r="M110" s="3"/>
      <c r="N110" s="3" t="s">
        <v>1138</v>
      </c>
      <c r="O110" s="3" t="s">
        <v>875</v>
      </c>
      <c r="P110" s="3" t="s">
        <v>876</v>
      </c>
    </row>
    <row r="111" spans="1:16">
      <c r="A111" s="2">
        <v>5449097</v>
      </c>
      <c r="B111" s="3" t="s">
        <v>220</v>
      </c>
      <c r="C111" s="3" t="s">
        <v>1</v>
      </c>
      <c r="D111" s="3" t="s">
        <v>7</v>
      </c>
      <c r="E111" s="3" t="s">
        <v>145</v>
      </c>
      <c r="F111" s="3" t="s">
        <v>1546</v>
      </c>
      <c r="G111" s="3" t="s">
        <v>1547</v>
      </c>
      <c r="H111" s="3" t="s">
        <v>1548</v>
      </c>
      <c r="I111" s="3" t="s">
        <v>1549</v>
      </c>
      <c r="J111" s="3" t="s">
        <v>1550</v>
      </c>
      <c r="L111" s="3" t="s">
        <v>1297</v>
      </c>
      <c r="M111" s="3"/>
      <c r="N111" s="3" t="s">
        <v>1551</v>
      </c>
      <c r="O111" s="3" t="s">
        <v>919</v>
      </c>
      <c r="P111" s="3" t="s">
        <v>876</v>
      </c>
    </row>
    <row r="112" spans="1:16">
      <c r="A112" s="2">
        <v>5448097</v>
      </c>
      <c r="B112" s="3" t="s">
        <v>221</v>
      </c>
      <c r="C112" s="3" t="s">
        <v>1</v>
      </c>
      <c r="D112" s="3" t="s">
        <v>7</v>
      </c>
      <c r="E112" s="3" t="s">
        <v>180</v>
      </c>
      <c r="F112" s="3" t="s">
        <v>1552</v>
      </c>
      <c r="G112" s="3" t="s">
        <v>1553</v>
      </c>
      <c r="H112" s="3" t="s">
        <v>1554</v>
      </c>
      <c r="I112" s="3" t="s">
        <v>1555</v>
      </c>
      <c r="J112" s="3" t="s">
        <v>1556</v>
      </c>
      <c r="L112" s="3" t="s">
        <v>1411</v>
      </c>
      <c r="M112" s="3"/>
      <c r="N112" s="3" t="s">
        <v>1557</v>
      </c>
      <c r="O112" s="3" t="s">
        <v>919</v>
      </c>
      <c r="P112" s="3" t="s">
        <v>876</v>
      </c>
    </row>
    <row r="113" spans="1:16">
      <c r="A113" s="2">
        <v>5446097</v>
      </c>
      <c r="B113" s="3" t="s">
        <v>222</v>
      </c>
      <c r="C113" s="3" t="s">
        <v>1</v>
      </c>
      <c r="D113" s="3" t="s">
        <v>2</v>
      </c>
      <c r="E113" s="3" t="s">
        <v>223</v>
      </c>
      <c r="F113" s="3" t="s">
        <v>1558</v>
      </c>
      <c r="G113" s="3" t="s">
        <v>1559</v>
      </c>
      <c r="H113" s="3" t="s">
        <v>1560</v>
      </c>
      <c r="I113" s="3" t="s">
        <v>1561</v>
      </c>
      <c r="J113" s="3" t="s">
        <v>1562</v>
      </c>
      <c r="L113" s="3" t="s">
        <v>1563</v>
      </c>
      <c r="M113" s="3"/>
      <c r="N113" s="3" t="s">
        <v>1492</v>
      </c>
      <c r="O113" s="3" t="s">
        <v>1026</v>
      </c>
      <c r="P113" s="3" t="s">
        <v>876</v>
      </c>
    </row>
    <row r="114" spans="1:16">
      <c r="A114" s="2">
        <v>5445097</v>
      </c>
      <c r="B114" s="3" t="s">
        <v>224</v>
      </c>
      <c r="C114" s="3" t="s">
        <v>1</v>
      </c>
      <c r="D114" s="3" t="s">
        <v>2</v>
      </c>
      <c r="E114" s="3" t="s">
        <v>225</v>
      </c>
      <c r="F114" s="3" t="s">
        <v>1564</v>
      </c>
      <c r="G114" s="3" t="s">
        <v>1565</v>
      </c>
      <c r="H114" s="3" t="s">
        <v>1566</v>
      </c>
      <c r="I114" s="3" t="s">
        <v>1567</v>
      </c>
      <c r="J114" s="3" t="s">
        <v>1568</v>
      </c>
      <c r="L114" s="3" t="s">
        <v>1569</v>
      </c>
      <c r="M114" s="3"/>
      <c r="N114" s="3" t="s">
        <v>874</v>
      </c>
      <c r="O114" s="3" t="s">
        <v>875</v>
      </c>
      <c r="P114" s="3" t="s">
        <v>876</v>
      </c>
    </row>
    <row r="115" spans="1:16">
      <c r="A115" s="2">
        <v>5444097</v>
      </c>
      <c r="B115" s="3" t="s">
        <v>227</v>
      </c>
      <c r="C115" s="3" t="s">
        <v>1</v>
      </c>
      <c r="D115" s="3" t="s">
        <v>2</v>
      </c>
      <c r="E115" s="3" t="s">
        <v>228</v>
      </c>
      <c r="F115" s="3" t="s">
        <v>1570</v>
      </c>
      <c r="G115" s="3" t="s">
        <v>1571</v>
      </c>
      <c r="H115" s="3" t="s">
        <v>1572</v>
      </c>
      <c r="I115" s="3" t="s">
        <v>1573</v>
      </c>
      <c r="J115" s="3" t="s">
        <v>1574</v>
      </c>
      <c r="L115" s="3" t="s">
        <v>1503</v>
      </c>
      <c r="M115" s="3"/>
      <c r="N115" s="3" t="s">
        <v>1056</v>
      </c>
      <c r="O115" s="3" t="s">
        <v>919</v>
      </c>
      <c r="P115" s="3" t="s">
        <v>876</v>
      </c>
    </row>
    <row r="116" spans="1:16">
      <c r="A116" s="2">
        <v>5443097</v>
      </c>
      <c r="B116" s="3" t="s">
        <v>229</v>
      </c>
      <c r="C116" s="3" t="s">
        <v>1</v>
      </c>
      <c r="D116" s="3" t="s">
        <v>2</v>
      </c>
      <c r="E116" s="3" t="s">
        <v>228</v>
      </c>
      <c r="F116" s="3" t="s">
        <v>1575</v>
      </c>
      <c r="G116" s="3" t="s">
        <v>1576</v>
      </c>
      <c r="H116" s="3" t="s">
        <v>1577</v>
      </c>
      <c r="I116" s="3" t="s">
        <v>1578</v>
      </c>
      <c r="J116" s="3" t="s">
        <v>1579</v>
      </c>
      <c r="L116" s="3" t="s">
        <v>1503</v>
      </c>
      <c r="M116" s="3"/>
      <c r="N116" s="3" t="s">
        <v>1235</v>
      </c>
      <c r="O116" s="3" t="s">
        <v>919</v>
      </c>
      <c r="P116" s="3" t="s">
        <v>876</v>
      </c>
    </row>
    <row r="117" spans="1:16">
      <c r="A117" s="2">
        <v>5441097</v>
      </c>
      <c r="B117" s="3" t="s">
        <v>230</v>
      </c>
      <c r="C117" s="3" t="s">
        <v>1</v>
      </c>
      <c r="D117" s="3" t="s">
        <v>2</v>
      </c>
      <c r="E117" s="3" t="s">
        <v>198</v>
      </c>
      <c r="F117" s="3" t="s">
        <v>1580</v>
      </c>
      <c r="G117" s="3" t="s">
        <v>1581</v>
      </c>
      <c r="H117" s="3" t="s">
        <v>1582</v>
      </c>
      <c r="I117" s="3" t="s">
        <v>1583</v>
      </c>
      <c r="J117" s="3" t="s">
        <v>1584</v>
      </c>
      <c r="L117" s="3" t="s">
        <v>1183</v>
      </c>
      <c r="M117" s="3"/>
      <c r="N117" s="3" t="s">
        <v>1412</v>
      </c>
      <c r="O117" s="3" t="s">
        <v>875</v>
      </c>
      <c r="P117" s="3" t="s">
        <v>876</v>
      </c>
    </row>
    <row r="118" spans="1:16">
      <c r="A118" s="2">
        <v>5440097</v>
      </c>
      <c r="B118" s="3" t="s">
        <v>232</v>
      </c>
      <c r="C118" s="3" t="s">
        <v>1</v>
      </c>
      <c r="D118" s="3" t="s">
        <v>7</v>
      </c>
      <c r="E118" s="3" t="s">
        <v>74</v>
      </c>
      <c r="F118" s="3" t="s">
        <v>1585</v>
      </c>
      <c r="G118" s="3" t="s">
        <v>1586</v>
      </c>
      <c r="H118" s="3" t="s">
        <v>1587</v>
      </c>
      <c r="I118" s="3" t="s">
        <v>1588</v>
      </c>
      <c r="J118" s="3" t="s">
        <v>1589</v>
      </c>
      <c r="L118" s="3" t="s">
        <v>1088</v>
      </c>
      <c r="M118" s="3"/>
      <c r="N118" s="3" t="s">
        <v>898</v>
      </c>
      <c r="O118" s="3" t="s">
        <v>875</v>
      </c>
      <c r="P118" s="3" t="s">
        <v>876</v>
      </c>
    </row>
    <row r="119" spans="1:16">
      <c r="A119" s="2">
        <v>5439097</v>
      </c>
      <c r="B119" s="3" t="s">
        <v>233</v>
      </c>
      <c r="C119" s="3" t="s">
        <v>1</v>
      </c>
      <c r="D119" s="3" t="s">
        <v>7</v>
      </c>
      <c r="E119" s="3" t="s">
        <v>234</v>
      </c>
      <c r="F119" s="3" t="s">
        <v>1590</v>
      </c>
      <c r="G119" s="3" t="s">
        <v>1591</v>
      </c>
      <c r="H119" s="3" t="s">
        <v>1592</v>
      </c>
      <c r="I119" s="3" t="s">
        <v>1593</v>
      </c>
      <c r="J119" s="3" t="s">
        <v>1594</v>
      </c>
      <c r="L119" s="3" t="s">
        <v>1595</v>
      </c>
      <c r="M119" s="3"/>
      <c r="N119" s="3" t="s">
        <v>932</v>
      </c>
      <c r="O119" s="3" t="s">
        <v>875</v>
      </c>
      <c r="P119" s="3" t="s">
        <v>876</v>
      </c>
    </row>
    <row r="120" spans="1:16">
      <c r="A120" s="2">
        <v>5438097</v>
      </c>
      <c r="B120" s="3" t="s">
        <v>235</v>
      </c>
      <c r="C120" s="3" t="s">
        <v>1</v>
      </c>
      <c r="D120" s="3" t="s">
        <v>7</v>
      </c>
      <c r="E120" s="3" t="s">
        <v>140</v>
      </c>
      <c r="F120" s="3" t="s">
        <v>1596</v>
      </c>
      <c r="G120" s="3" t="s">
        <v>1597</v>
      </c>
      <c r="H120" s="3" t="s">
        <v>1598</v>
      </c>
      <c r="I120" s="3" t="s">
        <v>1599</v>
      </c>
      <c r="J120" s="3" t="s">
        <v>1600</v>
      </c>
      <c r="L120" s="3" t="s">
        <v>1285</v>
      </c>
      <c r="M120" s="3"/>
      <c r="N120" s="3" t="s">
        <v>1462</v>
      </c>
      <c r="O120" s="3" t="s">
        <v>919</v>
      </c>
      <c r="P120" s="3" t="s">
        <v>876</v>
      </c>
    </row>
    <row r="121" spans="1:16">
      <c r="A121" s="2">
        <v>5437097</v>
      </c>
      <c r="B121" s="3" t="s">
        <v>236</v>
      </c>
      <c r="C121" s="3" t="s">
        <v>1</v>
      </c>
      <c r="D121" s="3" t="s">
        <v>7</v>
      </c>
      <c r="E121" s="3" t="s">
        <v>48</v>
      </c>
      <c r="F121" s="3" t="s">
        <v>1601</v>
      </c>
      <c r="G121" s="3" t="s">
        <v>1602</v>
      </c>
      <c r="H121" s="3" t="s">
        <v>1603</v>
      </c>
      <c r="I121" s="3" t="s">
        <v>1604</v>
      </c>
      <c r="J121" s="3" t="s">
        <v>1605</v>
      </c>
      <c r="L121" s="3" t="s">
        <v>1007</v>
      </c>
      <c r="M121" s="3"/>
      <c r="N121" s="3" t="s">
        <v>1063</v>
      </c>
      <c r="O121" s="3" t="s">
        <v>919</v>
      </c>
      <c r="P121" s="3" t="s">
        <v>876</v>
      </c>
    </row>
    <row r="122" spans="1:16">
      <c r="A122" s="2">
        <v>5436097</v>
      </c>
      <c r="B122" s="3" t="s">
        <v>237</v>
      </c>
      <c r="C122" s="3" t="s">
        <v>1</v>
      </c>
      <c r="D122" s="3" t="s">
        <v>7</v>
      </c>
      <c r="E122" s="3" t="s">
        <v>154</v>
      </c>
      <c r="F122" s="3" t="s">
        <v>1606</v>
      </c>
      <c r="G122" s="3" t="s">
        <v>1607</v>
      </c>
      <c r="H122" s="3" t="s">
        <v>1608</v>
      </c>
      <c r="I122" s="3" t="s">
        <v>1609</v>
      </c>
      <c r="J122" s="3" t="s">
        <v>1610</v>
      </c>
      <c r="L122" s="3" t="s">
        <v>1323</v>
      </c>
      <c r="M122" s="3"/>
      <c r="N122" s="3" t="s">
        <v>905</v>
      </c>
      <c r="O122" s="3" t="s">
        <v>919</v>
      </c>
      <c r="P122" s="3" t="s">
        <v>876</v>
      </c>
    </row>
    <row r="123" spans="1:16">
      <c r="A123" s="2">
        <v>5435097</v>
      </c>
      <c r="B123" s="3" t="s">
        <v>238</v>
      </c>
      <c r="C123" s="3" t="s">
        <v>1</v>
      </c>
      <c r="D123" s="3" t="s">
        <v>7</v>
      </c>
      <c r="E123" s="3" t="s">
        <v>140</v>
      </c>
      <c r="F123" s="3" t="s">
        <v>1611</v>
      </c>
      <c r="G123" s="3" t="s">
        <v>1612</v>
      </c>
      <c r="H123" s="3" t="s">
        <v>1613</v>
      </c>
      <c r="I123" s="3" t="s">
        <v>1614</v>
      </c>
      <c r="J123" s="3" t="s">
        <v>1615</v>
      </c>
      <c r="L123" s="3" t="s">
        <v>1285</v>
      </c>
      <c r="M123" s="3"/>
      <c r="N123" s="3" t="s">
        <v>932</v>
      </c>
      <c r="O123" s="3" t="s">
        <v>919</v>
      </c>
      <c r="P123" s="3" t="s">
        <v>876</v>
      </c>
    </row>
    <row r="124" spans="1:16">
      <c r="A124" s="2">
        <v>5434097</v>
      </c>
      <c r="B124" s="3" t="s">
        <v>239</v>
      </c>
      <c r="C124" s="3" t="s">
        <v>1</v>
      </c>
      <c r="D124" s="3" t="s">
        <v>7</v>
      </c>
      <c r="E124" s="3" t="s">
        <v>91</v>
      </c>
      <c r="F124" s="3" t="s">
        <v>1616</v>
      </c>
      <c r="G124" s="3" t="s">
        <v>1617</v>
      </c>
      <c r="H124" s="3" t="s">
        <v>1618</v>
      </c>
      <c r="I124" s="3" t="s">
        <v>1619</v>
      </c>
      <c r="J124" s="3" t="s">
        <v>1620</v>
      </c>
      <c r="L124" s="3" t="s">
        <v>1144</v>
      </c>
      <c r="M124" s="3"/>
      <c r="N124" s="3" t="s">
        <v>1474</v>
      </c>
      <c r="O124" s="3" t="s">
        <v>919</v>
      </c>
      <c r="P124" s="3" t="s">
        <v>876</v>
      </c>
    </row>
    <row r="125" spans="1:16">
      <c r="A125" s="2">
        <v>5433097</v>
      </c>
      <c r="B125" s="3" t="s">
        <v>240</v>
      </c>
      <c r="C125" s="3" t="s">
        <v>1</v>
      </c>
      <c r="D125" s="3" t="s">
        <v>7</v>
      </c>
      <c r="E125" s="3" t="s">
        <v>48</v>
      </c>
      <c r="F125" s="3" t="s">
        <v>1621</v>
      </c>
      <c r="G125" s="3" t="s">
        <v>1622</v>
      </c>
      <c r="H125" s="3" t="s">
        <v>1623</v>
      </c>
      <c r="I125" s="3" t="s">
        <v>1624</v>
      </c>
      <c r="J125" s="3" t="s">
        <v>1625</v>
      </c>
      <c r="L125" s="3" t="s">
        <v>1007</v>
      </c>
      <c r="M125" s="3"/>
      <c r="N125" s="3" t="s">
        <v>1205</v>
      </c>
      <c r="O125" s="3" t="s">
        <v>919</v>
      </c>
      <c r="P125" s="3" t="s">
        <v>876</v>
      </c>
    </row>
    <row r="126" spans="1:16">
      <c r="A126" s="2">
        <v>5432097</v>
      </c>
      <c r="B126" s="3" t="s">
        <v>241</v>
      </c>
      <c r="C126" s="3" t="s">
        <v>1</v>
      </c>
      <c r="D126" s="3" t="s">
        <v>2</v>
      </c>
      <c r="E126" s="3" t="s">
        <v>242</v>
      </c>
      <c r="F126" s="3" t="s">
        <v>1626</v>
      </c>
      <c r="G126" s="3" t="s">
        <v>1627</v>
      </c>
      <c r="H126" s="3" t="s">
        <v>1628</v>
      </c>
      <c r="I126" s="3" t="s">
        <v>1629</v>
      </c>
      <c r="J126" s="3" t="s">
        <v>1630</v>
      </c>
      <c r="L126" s="3" t="s">
        <v>1631</v>
      </c>
      <c r="M126" s="3"/>
      <c r="N126" s="3" t="s">
        <v>1374</v>
      </c>
      <c r="O126" s="3" t="s">
        <v>919</v>
      </c>
      <c r="P126" s="3" t="s">
        <v>876</v>
      </c>
    </row>
    <row r="127" spans="1:16">
      <c r="A127" s="2">
        <v>5431097</v>
      </c>
      <c r="B127" s="3" t="s">
        <v>243</v>
      </c>
      <c r="C127" s="3" t="s">
        <v>1</v>
      </c>
      <c r="D127" s="3" t="s">
        <v>76</v>
      </c>
      <c r="E127" s="3" t="s">
        <v>244</v>
      </c>
      <c r="F127" s="3" t="s">
        <v>1632</v>
      </c>
      <c r="G127" s="3" t="s">
        <v>1633</v>
      </c>
      <c r="H127" s="3" t="s">
        <v>1634</v>
      </c>
      <c r="I127" s="3" t="s">
        <v>1635</v>
      </c>
      <c r="J127" s="3" t="s">
        <v>1636</v>
      </c>
      <c r="L127" s="3" t="s">
        <v>1637</v>
      </c>
      <c r="M127" s="3"/>
      <c r="N127" s="3" t="s">
        <v>1082</v>
      </c>
      <c r="O127" s="3" t="s">
        <v>1097</v>
      </c>
      <c r="P127" s="3" t="s">
        <v>876</v>
      </c>
    </row>
    <row r="128" spans="1:16">
      <c r="A128" s="2">
        <v>5430097</v>
      </c>
      <c r="B128" s="3" t="s">
        <v>245</v>
      </c>
      <c r="C128" s="3" t="s">
        <v>149</v>
      </c>
      <c r="D128" s="3" t="s">
        <v>2</v>
      </c>
      <c r="E128" s="3" t="s">
        <v>246</v>
      </c>
      <c r="F128" s="3" t="s">
        <v>1638</v>
      </c>
      <c r="G128" s="3" t="s">
        <v>1639</v>
      </c>
      <c r="H128" s="3" t="s">
        <v>1640</v>
      </c>
      <c r="I128" s="3" t="s">
        <v>1641</v>
      </c>
      <c r="J128" s="3" t="s">
        <v>1642</v>
      </c>
      <c r="L128" s="3" t="s">
        <v>1643</v>
      </c>
      <c r="M128" s="3"/>
      <c r="N128" s="3" t="s">
        <v>1126</v>
      </c>
      <c r="O128" s="3" t="s">
        <v>875</v>
      </c>
      <c r="P128" s="3" t="s">
        <v>1312</v>
      </c>
    </row>
    <row r="129" spans="1:16">
      <c r="A129" s="2">
        <v>5428097</v>
      </c>
      <c r="B129" s="3" t="s">
        <v>247</v>
      </c>
      <c r="C129" s="3" t="s">
        <v>1</v>
      </c>
      <c r="D129" s="3" t="s">
        <v>2</v>
      </c>
      <c r="E129" s="3" t="s">
        <v>248</v>
      </c>
      <c r="F129" s="3" t="s">
        <v>1644</v>
      </c>
      <c r="G129" s="3" t="s">
        <v>1645</v>
      </c>
      <c r="H129" s="3" t="s">
        <v>1646</v>
      </c>
      <c r="I129" s="3" t="s">
        <v>1647</v>
      </c>
      <c r="J129" s="3" t="s">
        <v>1648</v>
      </c>
      <c r="L129" s="3" t="s">
        <v>1649</v>
      </c>
      <c r="M129" s="3"/>
      <c r="N129" s="3" t="s">
        <v>1268</v>
      </c>
      <c r="O129" s="3" t="s">
        <v>919</v>
      </c>
      <c r="P129" s="3" t="s">
        <v>876</v>
      </c>
    </row>
    <row r="130" spans="1:16">
      <c r="A130" s="2">
        <v>5427097</v>
      </c>
      <c r="B130" s="3" t="s">
        <v>249</v>
      </c>
      <c r="C130" s="3" t="s">
        <v>1</v>
      </c>
      <c r="D130" s="3" t="s">
        <v>2</v>
      </c>
      <c r="E130" s="3" t="s">
        <v>228</v>
      </c>
      <c r="F130" s="3" t="s">
        <v>1650</v>
      </c>
      <c r="G130" s="3" t="s">
        <v>1651</v>
      </c>
      <c r="H130" s="3" t="s">
        <v>1652</v>
      </c>
      <c r="I130" s="3" t="s">
        <v>1653</v>
      </c>
      <c r="J130" s="3" t="s">
        <v>1654</v>
      </c>
      <c r="L130" s="3" t="s">
        <v>1503</v>
      </c>
      <c r="M130" s="3"/>
      <c r="N130" s="3" t="s">
        <v>1056</v>
      </c>
      <c r="O130" s="3" t="s">
        <v>919</v>
      </c>
      <c r="P130" s="3" t="s">
        <v>876</v>
      </c>
    </row>
    <row r="131" spans="1:16">
      <c r="A131" s="2">
        <v>5426097</v>
      </c>
      <c r="B131" s="3" t="s">
        <v>250</v>
      </c>
      <c r="C131" s="3" t="s">
        <v>1</v>
      </c>
      <c r="D131" s="3" t="s">
        <v>2</v>
      </c>
      <c r="E131" s="3" t="s">
        <v>215</v>
      </c>
      <c r="F131" s="3" t="s">
        <v>1655</v>
      </c>
      <c r="G131" s="3" t="s">
        <v>1656</v>
      </c>
      <c r="H131" s="3" t="s">
        <v>1657</v>
      </c>
      <c r="I131" s="3" t="s">
        <v>1658</v>
      </c>
      <c r="J131" s="3" t="s">
        <v>1659</v>
      </c>
      <c r="L131" s="3" t="s">
        <v>1528</v>
      </c>
      <c r="M131" s="3"/>
      <c r="N131" s="3" t="s">
        <v>1305</v>
      </c>
      <c r="O131" s="3" t="s">
        <v>919</v>
      </c>
      <c r="P131" s="3" t="s">
        <v>876</v>
      </c>
    </row>
    <row r="132" spans="1:16">
      <c r="A132" s="2">
        <v>5425097</v>
      </c>
      <c r="B132" s="3" t="s">
        <v>251</v>
      </c>
      <c r="C132" s="3" t="s">
        <v>1</v>
      </c>
      <c r="D132" s="3" t="s">
        <v>2</v>
      </c>
      <c r="E132" s="3" t="s">
        <v>252</v>
      </c>
      <c r="F132" s="3" t="s">
        <v>1660</v>
      </c>
      <c r="G132" s="3" t="s">
        <v>1661</v>
      </c>
      <c r="H132" s="3" t="s">
        <v>1662</v>
      </c>
      <c r="I132" s="3" t="s">
        <v>1663</v>
      </c>
      <c r="J132" s="3" t="s">
        <v>1664</v>
      </c>
      <c r="L132" s="3" t="s">
        <v>1665</v>
      </c>
      <c r="M132" s="3"/>
      <c r="N132" s="3" t="s">
        <v>1443</v>
      </c>
      <c r="O132" s="3" t="s">
        <v>919</v>
      </c>
      <c r="P132" s="3" t="s">
        <v>876</v>
      </c>
    </row>
    <row r="133" spans="1:16">
      <c r="A133" s="2">
        <v>5422097</v>
      </c>
      <c r="B133" s="3" t="s">
        <v>253</v>
      </c>
      <c r="C133" s="3" t="s">
        <v>1</v>
      </c>
      <c r="D133" s="3" t="s">
        <v>2</v>
      </c>
      <c r="E133" s="3" t="s">
        <v>254</v>
      </c>
      <c r="F133" s="3" t="s">
        <v>1666</v>
      </c>
      <c r="G133" s="3" t="s">
        <v>1667</v>
      </c>
      <c r="H133" s="3" t="s">
        <v>1668</v>
      </c>
      <c r="I133" s="3" t="s">
        <v>1669</v>
      </c>
      <c r="J133" s="3" t="s">
        <v>1670</v>
      </c>
      <c r="L133" s="3" t="s">
        <v>1671</v>
      </c>
      <c r="M133" s="3"/>
      <c r="N133" s="3" t="s">
        <v>1672</v>
      </c>
      <c r="O133" s="3" t="s">
        <v>919</v>
      </c>
      <c r="P133" s="3" t="s">
        <v>876</v>
      </c>
    </row>
    <row r="134" spans="1:16">
      <c r="A134" s="2">
        <v>5419097</v>
      </c>
      <c r="B134" s="3" t="s">
        <v>255</v>
      </c>
      <c r="C134" s="3" t="s">
        <v>1</v>
      </c>
      <c r="D134" s="3" t="s">
        <v>2</v>
      </c>
      <c r="E134" s="3" t="s">
        <v>256</v>
      </c>
      <c r="F134" s="3" t="s">
        <v>1673</v>
      </c>
      <c r="G134" s="3" t="s">
        <v>1674</v>
      </c>
      <c r="H134" s="3" t="s">
        <v>1675</v>
      </c>
      <c r="I134" s="3" t="s">
        <v>1676</v>
      </c>
      <c r="J134" s="3" t="s">
        <v>1677</v>
      </c>
      <c r="L134" s="3" t="s">
        <v>1678</v>
      </c>
      <c r="M134" s="3"/>
      <c r="N134" s="3" t="s">
        <v>994</v>
      </c>
      <c r="O134" s="3" t="s">
        <v>919</v>
      </c>
      <c r="P134" s="3" t="s">
        <v>876</v>
      </c>
    </row>
    <row r="135" spans="1:16">
      <c r="A135" s="2">
        <v>5418097</v>
      </c>
      <c r="B135" s="3" t="s">
        <v>257</v>
      </c>
      <c r="C135" s="3" t="s">
        <v>1</v>
      </c>
      <c r="D135" s="3" t="s">
        <v>7</v>
      </c>
      <c r="E135" s="3" t="s">
        <v>202</v>
      </c>
      <c r="F135" s="3" t="s">
        <v>1679</v>
      </c>
      <c r="G135" s="3" t="s">
        <v>1680</v>
      </c>
      <c r="H135" s="3" t="s">
        <v>1681</v>
      </c>
      <c r="I135" s="3" t="s">
        <v>1682</v>
      </c>
      <c r="J135" s="3" t="s">
        <v>1683</v>
      </c>
      <c r="L135" s="3" t="s">
        <v>1480</v>
      </c>
      <c r="M135" s="3"/>
      <c r="N135" s="3" t="s">
        <v>1229</v>
      </c>
      <c r="O135" s="3" t="s">
        <v>919</v>
      </c>
      <c r="P135" s="3" t="s">
        <v>876</v>
      </c>
    </row>
    <row r="136" spans="1:16">
      <c r="A136" s="2">
        <v>5417097</v>
      </c>
      <c r="B136" s="3" t="s">
        <v>258</v>
      </c>
      <c r="C136" s="3" t="s">
        <v>1</v>
      </c>
      <c r="D136" s="3" t="s">
        <v>2</v>
      </c>
      <c r="E136" s="3" t="s">
        <v>259</v>
      </c>
      <c r="F136" s="3" t="s">
        <v>1684</v>
      </c>
      <c r="G136" s="3" t="s">
        <v>1685</v>
      </c>
      <c r="H136" s="3" t="s">
        <v>1686</v>
      </c>
      <c r="I136" s="3" t="s">
        <v>1687</v>
      </c>
      <c r="J136" s="3" t="s">
        <v>1688</v>
      </c>
      <c r="L136" s="3" t="s">
        <v>1480</v>
      </c>
      <c r="M136" s="3"/>
      <c r="N136" s="3" t="s">
        <v>1126</v>
      </c>
      <c r="O136" s="3" t="s">
        <v>919</v>
      </c>
      <c r="P136" s="3" t="s">
        <v>876</v>
      </c>
    </row>
    <row r="137" spans="1:16">
      <c r="A137" s="2">
        <v>5416097</v>
      </c>
      <c r="B137" s="3" t="s">
        <v>260</v>
      </c>
      <c r="C137" s="3" t="s">
        <v>1</v>
      </c>
      <c r="D137" s="3" t="s">
        <v>7</v>
      </c>
      <c r="E137" s="3" t="s">
        <v>200</v>
      </c>
      <c r="F137" s="3" t="s">
        <v>1689</v>
      </c>
      <c r="G137" s="3" t="s">
        <v>1690</v>
      </c>
      <c r="H137" s="3" t="s">
        <v>1691</v>
      </c>
      <c r="I137" s="3" t="s">
        <v>1692</v>
      </c>
      <c r="J137" s="3" t="s">
        <v>1693</v>
      </c>
      <c r="L137" s="3" t="s">
        <v>1480</v>
      </c>
      <c r="M137" s="3"/>
      <c r="N137" s="3" t="s">
        <v>1268</v>
      </c>
      <c r="O137" s="3" t="s">
        <v>919</v>
      </c>
      <c r="P137" s="3" t="s">
        <v>876</v>
      </c>
    </row>
    <row r="138" spans="1:16">
      <c r="A138" s="2">
        <v>5415097</v>
      </c>
      <c r="B138" s="3" t="s">
        <v>261</v>
      </c>
      <c r="C138" s="3" t="s">
        <v>1</v>
      </c>
      <c r="D138" s="3" t="s">
        <v>2</v>
      </c>
      <c r="E138" s="3" t="s">
        <v>262</v>
      </c>
      <c r="F138" s="3" t="s">
        <v>1694</v>
      </c>
      <c r="G138" s="3" t="s">
        <v>1695</v>
      </c>
      <c r="H138" s="3" t="s">
        <v>1696</v>
      </c>
      <c r="I138" s="3" t="s">
        <v>1697</v>
      </c>
      <c r="J138" s="3" t="s">
        <v>1698</v>
      </c>
      <c r="L138" s="3" t="s">
        <v>1274</v>
      </c>
      <c r="M138" s="3"/>
      <c r="N138" s="3" t="s">
        <v>972</v>
      </c>
      <c r="O138" s="3" t="s">
        <v>1097</v>
      </c>
      <c r="P138" s="3" t="s">
        <v>876</v>
      </c>
    </row>
    <row r="139" spans="1:16">
      <c r="A139" s="2">
        <v>5413097</v>
      </c>
      <c r="B139" s="3" t="s">
        <v>263</v>
      </c>
      <c r="C139" s="3" t="s">
        <v>1</v>
      </c>
      <c r="D139" s="3" t="s">
        <v>2</v>
      </c>
      <c r="E139" s="3" t="s">
        <v>264</v>
      </c>
      <c r="F139" s="3" t="s">
        <v>1699</v>
      </c>
      <c r="G139" s="3" t="s">
        <v>1700</v>
      </c>
      <c r="H139" s="3" t="s">
        <v>1701</v>
      </c>
      <c r="I139" s="3" t="s">
        <v>1702</v>
      </c>
      <c r="J139" s="3" t="s">
        <v>1703</v>
      </c>
      <c r="L139" s="3" t="s">
        <v>1704</v>
      </c>
      <c r="M139" s="3"/>
      <c r="N139" s="3" t="s">
        <v>994</v>
      </c>
      <c r="O139" s="3" t="s">
        <v>919</v>
      </c>
      <c r="P139" s="3" t="s">
        <v>876</v>
      </c>
    </row>
    <row r="140" spans="1:16">
      <c r="A140" s="2">
        <v>5412097</v>
      </c>
      <c r="B140" s="3" t="s">
        <v>266</v>
      </c>
      <c r="C140" s="3" t="s">
        <v>1</v>
      </c>
      <c r="D140" s="3" t="s">
        <v>2</v>
      </c>
      <c r="E140" s="3" t="s">
        <v>267</v>
      </c>
      <c r="F140" s="3" t="s">
        <v>1705</v>
      </c>
      <c r="G140" s="3" t="s">
        <v>1706</v>
      </c>
      <c r="H140" s="3" t="s">
        <v>1707</v>
      </c>
      <c r="I140" s="3" t="s">
        <v>1708</v>
      </c>
      <c r="J140" s="3" t="s">
        <v>1709</v>
      </c>
      <c r="L140" s="3" t="s">
        <v>1710</v>
      </c>
      <c r="M140" s="3"/>
      <c r="N140" s="3" t="s">
        <v>925</v>
      </c>
      <c r="O140" s="3" t="s">
        <v>919</v>
      </c>
      <c r="P140" s="3" t="s">
        <v>876</v>
      </c>
    </row>
    <row r="141" spans="1:16">
      <c r="A141" s="2">
        <v>5411097</v>
      </c>
      <c r="B141" s="3" t="s">
        <v>269</v>
      </c>
      <c r="C141" s="3" t="s">
        <v>1</v>
      </c>
      <c r="D141" s="3" t="s">
        <v>2</v>
      </c>
      <c r="E141" s="3" t="s">
        <v>267</v>
      </c>
      <c r="F141" s="3" t="s">
        <v>1711</v>
      </c>
      <c r="G141" s="3" t="s">
        <v>1712</v>
      </c>
      <c r="H141" s="3" t="s">
        <v>1713</v>
      </c>
      <c r="I141" s="3" t="s">
        <v>1714</v>
      </c>
      <c r="J141" s="3" t="s">
        <v>1715</v>
      </c>
      <c r="L141" s="3" t="s">
        <v>1710</v>
      </c>
      <c r="M141" s="3"/>
      <c r="N141" s="3" t="s">
        <v>898</v>
      </c>
      <c r="O141" s="3" t="s">
        <v>919</v>
      </c>
      <c r="P141" s="3" t="s">
        <v>876</v>
      </c>
    </row>
    <row r="142" spans="1:16">
      <c r="A142" s="2">
        <v>5409097</v>
      </c>
      <c r="B142" s="3" t="s">
        <v>271</v>
      </c>
      <c r="C142" s="3" t="s">
        <v>1</v>
      </c>
      <c r="D142" s="3" t="s">
        <v>2</v>
      </c>
      <c r="E142" s="3" t="s">
        <v>272</v>
      </c>
      <c r="F142" s="3" t="s">
        <v>1716</v>
      </c>
      <c r="G142" s="3" t="s">
        <v>1717</v>
      </c>
      <c r="H142" s="3" t="s">
        <v>1718</v>
      </c>
      <c r="I142" s="3" t="s">
        <v>1719</v>
      </c>
      <c r="J142" s="3" t="s">
        <v>1720</v>
      </c>
      <c r="L142" s="3" t="s">
        <v>1721</v>
      </c>
      <c r="M142" s="3"/>
      <c r="N142" s="3" t="s">
        <v>1001</v>
      </c>
      <c r="O142" s="3" t="s">
        <v>919</v>
      </c>
      <c r="P142" s="3" t="s">
        <v>876</v>
      </c>
    </row>
    <row r="143" spans="1:16">
      <c r="A143" s="2">
        <v>5407097</v>
      </c>
      <c r="B143" s="3" t="s">
        <v>274</v>
      </c>
      <c r="C143" s="3" t="s">
        <v>1</v>
      </c>
      <c r="D143" s="3" t="s">
        <v>2</v>
      </c>
      <c r="E143" s="3" t="s">
        <v>275</v>
      </c>
      <c r="F143" s="3" t="s">
        <v>1722</v>
      </c>
      <c r="G143" s="3" t="s">
        <v>1723</v>
      </c>
      <c r="H143" s="3" t="s">
        <v>1724</v>
      </c>
      <c r="I143" s="3" t="s">
        <v>1725</v>
      </c>
      <c r="J143" s="3" t="s">
        <v>1726</v>
      </c>
      <c r="L143" s="3" t="s">
        <v>1727</v>
      </c>
      <c r="M143" s="3"/>
      <c r="N143" s="3" t="s">
        <v>1342</v>
      </c>
      <c r="O143" s="3" t="s">
        <v>919</v>
      </c>
      <c r="P143" s="3" t="s">
        <v>876</v>
      </c>
    </row>
    <row r="144" spans="1:16">
      <c r="A144" s="2">
        <v>5406097</v>
      </c>
      <c r="B144" s="3" t="s">
        <v>277</v>
      </c>
      <c r="C144" s="3" t="s">
        <v>1</v>
      </c>
      <c r="D144" s="3" t="s">
        <v>2</v>
      </c>
      <c r="E144" s="3" t="s">
        <v>278</v>
      </c>
      <c r="F144" s="3" t="s">
        <v>1728</v>
      </c>
      <c r="G144" s="3" t="s">
        <v>1729</v>
      </c>
      <c r="H144" s="3" t="s">
        <v>1730</v>
      </c>
      <c r="I144" s="3" t="s">
        <v>1731</v>
      </c>
      <c r="J144" s="3" t="s">
        <v>1732</v>
      </c>
      <c r="L144" s="3" t="s">
        <v>1733</v>
      </c>
      <c r="M144" s="3"/>
      <c r="N144" s="3" t="s">
        <v>925</v>
      </c>
      <c r="O144" s="3" t="s">
        <v>919</v>
      </c>
      <c r="P144" s="3" t="s">
        <v>876</v>
      </c>
    </row>
    <row r="145" spans="1:16">
      <c r="A145" s="2">
        <v>5405097</v>
      </c>
      <c r="B145" s="3" t="s">
        <v>197</v>
      </c>
      <c r="C145" s="3" t="s">
        <v>1</v>
      </c>
      <c r="D145" s="3" t="s">
        <v>2</v>
      </c>
      <c r="E145" s="3" t="s">
        <v>280</v>
      </c>
      <c r="F145" s="3" t="s">
        <v>1734</v>
      </c>
      <c r="G145" s="3" t="s">
        <v>1735</v>
      </c>
      <c r="H145" s="3" t="s">
        <v>1736</v>
      </c>
      <c r="I145" s="3" t="s">
        <v>1737</v>
      </c>
      <c r="J145" s="3" t="s">
        <v>1738</v>
      </c>
      <c r="L145" s="3" t="s">
        <v>1739</v>
      </c>
      <c r="M145" s="3"/>
      <c r="N145" s="3" t="s">
        <v>1151</v>
      </c>
      <c r="O145" s="3" t="s">
        <v>875</v>
      </c>
      <c r="P145" s="3" t="s">
        <v>876</v>
      </c>
    </row>
    <row r="146" spans="1:16">
      <c r="A146" s="2">
        <v>5404097</v>
      </c>
      <c r="B146" s="3" t="s">
        <v>281</v>
      </c>
      <c r="C146" s="3" t="s">
        <v>1</v>
      </c>
      <c r="D146" s="3" t="s">
        <v>2</v>
      </c>
      <c r="E146" s="3" t="s">
        <v>282</v>
      </c>
      <c r="F146" s="3" t="s">
        <v>1740</v>
      </c>
      <c r="G146" s="3" t="s">
        <v>1741</v>
      </c>
      <c r="H146" s="3" t="s">
        <v>1742</v>
      </c>
      <c r="I146" s="3" t="s">
        <v>1743</v>
      </c>
      <c r="J146" s="3" t="s">
        <v>1744</v>
      </c>
      <c r="L146" s="3" t="s">
        <v>1745</v>
      </c>
      <c r="M146" s="3"/>
      <c r="N146" s="3" t="s">
        <v>1551</v>
      </c>
      <c r="O146" s="3" t="s">
        <v>919</v>
      </c>
      <c r="P146" s="3" t="s">
        <v>876</v>
      </c>
    </row>
    <row r="147" spans="1:16">
      <c r="A147" s="2">
        <v>5400097</v>
      </c>
      <c r="B147" s="3" t="s">
        <v>284</v>
      </c>
      <c r="C147" s="3" t="s">
        <v>1</v>
      </c>
      <c r="D147" s="3" t="s">
        <v>2</v>
      </c>
      <c r="E147" s="3" t="s">
        <v>285</v>
      </c>
      <c r="F147" s="3" t="s">
        <v>1746</v>
      </c>
      <c r="G147" s="3" t="s">
        <v>1747</v>
      </c>
      <c r="H147" s="3" t="s">
        <v>1748</v>
      </c>
      <c r="I147" s="3" t="s">
        <v>1749</v>
      </c>
      <c r="J147" s="3" t="s">
        <v>1750</v>
      </c>
      <c r="L147" s="3" t="s">
        <v>1751</v>
      </c>
      <c r="M147" s="3"/>
      <c r="N147" s="3" t="s">
        <v>1672</v>
      </c>
      <c r="O147" s="3" t="s">
        <v>1026</v>
      </c>
      <c r="P147" s="3" t="s">
        <v>876</v>
      </c>
    </row>
    <row r="148" spans="1:16">
      <c r="A148" s="2">
        <v>5399097</v>
      </c>
      <c r="B148" s="3" t="s">
        <v>287</v>
      </c>
      <c r="C148" s="3" t="s">
        <v>1</v>
      </c>
      <c r="D148" s="3" t="s">
        <v>7</v>
      </c>
      <c r="E148" s="3" t="s">
        <v>198</v>
      </c>
      <c r="F148" s="3" t="s">
        <v>1752</v>
      </c>
      <c r="G148" s="3" t="s">
        <v>1753</v>
      </c>
      <c r="H148" s="3" t="s">
        <v>1754</v>
      </c>
      <c r="I148" s="3" t="s">
        <v>1755</v>
      </c>
      <c r="J148" s="3" t="s">
        <v>1756</v>
      </c>
      <c r="L148" s="3" t="s">
        <v>1183</v>
      </c>
      <c r="M148" s="3"/>
      <c r="N148" s="3" t="s">
        <v>925</v>
      </c>
      <c r="O148" s="3" t="s">
        <v>875</v>
      </c>
      <c r="P148" s="3" t="s">
        <v>876</v>
      </c>
    </row>
    <row r="149" spans="1:16">
      <c r="A149" s="2">
        <v>5397097</v>
      </c>
      <c r="B149" s="3" t="s">
        <v>288</v>
      </c>
      <c r="C149" s="3" t="s">
        <v>1</v>
      </c>
      <c r="D149" s="3" t="s">
        <v>2</v>
      </c>
      <c r="E149" s="3" t="s">
        <v>289</v>
      </c>
      <c r="F149" s="3" t="s">
        <v>1757</v>
      </c>
      <c r="G149" s="3" t="s">
        <v>1758</v>
      </c>
      <c r="H149" s="3" t="s">
        <v>1759</v>
      </c>
      <c r="I149" s="3" t="s">
        <v>1760</v>
      </c>
      <c r="J149" s="3" t="s">
        <v>1761</v>
      </c>
      <c r="L149" s="3" t="s">
        <v>1762</v>
      </c>
      <c r="M149" s="3"/>
      <c r="N149" s="3" t="s">
        <v>1763</v>
      </c>
      <c r="O149" s="3" t="s">
        <v>919</v>
      </c>
      <c r="P149" s="3" t="s">
        <v>876</v>
      </c>
    </row>
    <row r="150" spans="1:16">
      <c r="A150" s="2">
        <v>5396097</v>
      </c>
      <c r="B150" s="3" t="s">
        <v>291</v>
      </c>
      <c r="C150" s="3" t="s">
        <v>1</v>
      </c>
      <c r="D150" s="3" t="s">
        <v>2</v>
      </c>
      <c r="E150" s="3" t="s">
        <v>292</v>
      </c>
      <c r="F150" s="3" t="s">
        <v>1764</v>
      </c>
      <c r="G150" s="3" t="s">
        <v>1765</v>
      </c>
      <c r="H150" s="3" t="s">
        <v>1766</v>
      </c>
      <c r="I150" s="3" t="s">
        <v>1767</v>
      </c>
      <c r="J150" s="3" t="s">
        <v>1768</v>
      </c>
      <c r="L150" s="3" t="s">
        <v>1157</v>
      </c>
      <c r="M150" s="3"/>
      <c r="N150" s="3" t="s">
        <v>1229</v>
      </c>
      <c r="O150" s="3" t="s">
        <v>1097</v>
      </c>
      <c r="P150" s="3" t="s">
        <v>876</v>
      </c>
    </row>
    <row r="151" spans="1:16">
      <c r="A151" s="2">
        <v>5395097</v>
      </c>
      <c r="B151" s="3" t="s">
        <v>293</v>
      </c>
      <c r="C151" s="3" t="s">
        <v>1</v>
      </c>
      <c r="D151" s="3" t="s">
        <v>2</v>
      </c>
      <c r="E151" s="3" t="s">
        <v>294</v>
      </c>
      <c r="F151" s="3" t="s">
        <v>1769</v>
      </c>
      <c r="G151" s="3" t="s">
        <v>1770</v>
      </c>
      <c r="H151" s="3" t="s">
        <v>1771</v>
      </c>
      <c r="I151" s="3" t="s">
        <v>1772</v>
      </c>
      <c r="J151" s="3" t="s">
        <v>1773</v>
      </c>
      <c r="L151" s="3" t="s">
        <v>1103</v>
      </c>
      <c r="M151" s="3"/>
      <c r="N151" s="3" t="s">
        <v>932</v>
      </c>
      <c r="O151" s="3" t="s">
        <v>1097</v>
      </c>
      <c r="P151" s="3" t="s">
        <v>876</v>
      </c>
    </row>
    <row r="152" spans="1:16">
      <c r="A152" s="2">
        <v>5394097</v>
      </c>
      <c r="B152" s="3" t="s">
        <v>295</v>
      </c>
      <c r="C152" s="3" t="s">
        <v>1</v>
      </c>
      <c r="D152" s="3" t="s">
        <v>76</v>
      </c>
      <c r="E152" s="3" t="s">
        <v>296</v>
      </c>
      <c r="F152" s="3" t="s">
        <v>1774</v>
      </c>
      <c r="G152" s="3" t="s">
        <v>1775</v>
      </c>
      <c r="H152" s="3" t="s">
        <v>1776</v>
      </c>
      <c r="I152" s="3" t="s">
        <v>1777</v>
      </c>
      <c r="J152" s="3" t="s">
        <v>1778</v>
      </c>
      <c r="L152" s="3" t="s">
        <v>1779</v>
      </c>
      <c r="M152" s="3"/>
      <c r="N152" s="3" t="s">
        <v>1235</v>
      </c>
      <c r="O152" s="3" t="s">
        <v>1097</v>
      </c>
      <c r="P152" s="3" t="s">
        <v>876</v>
      </c>
    </row>
    <row r="153" spans="1:16">
      <c r="A153" s="2">
        <v>5393097</v>
      </c>
      <c r="B153" s="3" t="s">
        <v>297</v>
      </c>
      <c r="C153" s="3" t="s">
        <v>1</v>
      </c>
      <c r="D153" s="3" t="s">
        <v>2</v>
      </c>
      <c r="E153" s="3" t="s">
        <v>298</v>
      </c>
      <c r="F153" s="3" t="s">
        <v>1780</v>
      </c>
      <c r="G153" s="3" t="s">
        <v>1781</v>
      </c>
      <c r="H153" s="3" t="s">
        <v>1782</v>
      </c>
      <c r="I153" s="3" t="s">
        <v>1783</v>
      </c>
      <c r="J153" s="3" t="s">
        <v>1784</v>
      </c>
      <c r="L153" s="3" t="s">
        <v>1785</v>
      </c>
      <c r="M153" s="3"/>
      <c r="N153" s="3" t="s">
        <v>1305</v>
      </c>
      <c r="O153" s="3" t="s">
        <v>1097</v>
      </c>
      <c r="P153" s="3" t="s">
        <v>876</v>
      </c>
    </row>
    <row r="154" spans="1:16">
      <c r="A154" s="2">
        <v>5392097</v>
      </c>
      <c r="B154" s="3" t="s">
        <v>299</v>
      </c>
      <c r="C154" s="3" t="s">
        <v>1</v>
      </c>
      <c r="D154" s="3" t="s">
        <v>2</v>
      </c>
      <c r="E154" s="3" t="s">
        <v>300</v>
      </c>
      <c r="F154" s="3" t="s">
        <v>1786</v>
      </c>
      <c r="G154" s="3" t="s">
        <v>1787</v>
      </c>
      <c r="H154" s="3" t="s">
        <v>1788</v>
      </c>
      <c r="I154" s="3" t="s">
        <v>1789</v>
      </c>
      <c r="J154" s="3" t="s">
        <v>1790</v>
      </c>
      <c r="L154" s="3" t="s">
        <v>1791</v>
      </c>
      <c r="M154" s="3"/>
      <c r="N154" s="3" t="s">
        <v>1792</v>
      </c>
      <c r="O154" s="3" t="s">
        <v>919</v>
      </c>
      <c r="P154" s="3" t="s">
        <v>876</v>
      </c>
    </row>
    <row r="155" spans="1:16">
      <c r="A155" s="2">
        <v>5386097</v>
      </c>
      <c r="B155" s="3" t="s">
        <v>302</v>
      </c>
      <c r="C155" s="3" t="s">
        <v>1</v>
      </c>
      <c r="D155" s="3" t="s">
        <v>2</v>
      </c>
      <c r="E155" s="3" t="s">
        <v>303</v>
      </c>
      <c r="F155" s="3" t="s">
        <v>1793</v>
      </c>
      <c r="G155" s="3" t="s">
        <v>1794</v>
      </c>
      <c r="H155" s="3" t="s">
        <v>1795</v>
      </c>
      <c r="I155" s="3" t="s">
        <v>1796</v>
      </c>
      <c r="J155" s="3" t="s">
        <v>1797</v>
      </c>
      <c r="L155" s="3" t="s">
        <v>1798</v>
      </c>
      <c r="M155" s="3"/>
      <c r="N155" s="3" t="s">
        <v>1799</v>
      </c>
      <c r="O155" s="3" t="s">
        <v>919</v>
      </c>
      <c r="P155" s="3" t="s">
        <v>876</v>
      </c>
    </row>
    <row r="156" spans="1:16">
      <c r="A156" s="2">
        <v>5385097</v>
      </c>
      <c r="B156" s="3" t="s">
        <v>305</v>
      </c>
      <c r="C156" s="3" t="s">
        <v>1</v>
      </c>
      <c r="D156" s="3" t="s">
        <v>2</v>
      </c>
      <c r="E156" s="3" t="s">
        <v>306</v>
      </c>
      <c r="F156" s="3" t="s">
        <v>1800</v>
      </c>
      <c r="G156" s="3" t="s">
        <v>1801</v>
      </c>
      <c r="H156" s="3" t="s">
        <v>1802</v>
      </c>
      <c r="I156" s="3" t="s">
        <v>1803</v>
      </c>
      <c r="J156" s="3" t="s">
        <v>1804</v>
      </c>
      <c r="L156" s="3" t="s">
        <v>1805</v>
      </c>
      <c r="M156" s="3"/>
      <c r="N156" s="3" t="s">
        <v>994</v>
      </c>
      <c r="O156" s="3" t="s">
        <v>1097</v>
      </c>
      <c r="P156" s="3" t="s">
        <v>876</v>
      </c>
    </row>
    <row r="157" spans="1:16">
      <c r="A157" s="2">
        <v>5383097</v>
      </c>
      <c r="B157" s="3" t="s">
        <v>307</v>
      </c>
      <c r="C157" s="3" t="s">
        <v>1</v>
      </c>
      <c r="D157" s="3" t="s">
        <v>7</v>
      </c>
      <c r="E157" s="3" t="s">
        <v>182</v>
      </c>
      <c r="F157" s="3" t="s">
        <v>1806</v>
      </c>
      <c r="G157" s="3" t="s">
        <v>1807</v>
      </c>
      <c r="H157" s="3" t="s">
        <v>1808</v>
      </c>
      <c r="I157" s="3" t="s">
        <v>1809</v>
      </c>
      <c r="J157" s="3" t="s">
        <v>1810</v>
      </c>
      <c r="L157" s="3" t="s">
        <v>1418</v>
      </c>
      <c r="M157" s="3"/>
      <c r="N157" s="3" t="s">
        <v>1342</v>
      </c>
      <c r="O157" s="3" t="s">
        <v>875</v>
      </c>
      <c r="P157" s="3" t="s">
        <v>876</v>
      </c>
    </row>
    <row r="158" spans="1:16">
      <c r="A158" s="2">
        <v>5378097</v>
      </c>
      <c r="B158" s="3" t="s">
        <v>308</v>
      </c>
      <c r="C158" s="3" t="s">
        <v>1</v>
      </c>
      <c r="D158" s="3" t="s">
        <v>2</v>
      </c>
      <c r="E158" s="3" t="s">
        <v>145</v>
      </c>
      <c r="F158" s="3" t="s">
        <v>1811</v>
      </c>
      <c r="G158" s="3" t="s">
        <v>1812</v>
      </c>
      <c r="H158" s="3" t="s">
        <v>1813</v>
      </c>
      <c r="I158" s="3" t="s">
        <v>1814</v>
      </c>
      <c r="J158" s="3" t="s">
        <v>1815</v>
      </c>
      <c r="L158" s="3" t="s">
        <v>1297</v>
      </c>
      <c r="M158" s="3"/>
      <c r="N158" s="3" t="s">
        <v>1063</v>
      </c>
      <c r="O158" s="3" t="s">
        <v>919</v>
      </c>
      <c r="P158" s="3" t="s">
        <v>876</v>
      </c>
    </row>
    <row r="159" spans="1:16">
      <c r="A159" s="2">
        <v>5377097</v>
      </c>
      <c r="B159" s="3" t="s">
        <v>307</v>
      </c>
      <c r="C159" s="3" t="s">
        <v>1</v>
      </c>
      <c r="D159" s="3" t="s">
        <v>7</v>
      </c>
      <c r="E159" s="3" t="s">
        <v>225</v>
      </c>
      <c r="F159" s="3" t="s">
        <v>1816</v>
      </c>
      <c r="G159" s="3" t="s">
        <v>1817</v>
      </c>
      <c r="H159" s="3" t="s">
        <v>1818</v>
      </c>
      <c r="I159" s="3" t="s">
        <v>1819</v>
      </c>
      <c r="J159" s="3" t="s">
        <v>1820</v>
      </c>
      <c r="L159" s="3" t="s">
        <v>1569</v>
      </c>
      <c r="M159" s="3"/>
      <c r="N159" s="3" t="s">
        <v>1672</v>
      </c>
      <c r="O159" s="3" t="s">
        <v>875</v>
      </c>
      <c r="P159" s="3" t="s">
        <v>876</v>
      </c>
    </row>
    <row r="160" spans="1:16">
      <c r="A160" s="2">
        <v>5375097</v>
      </c>
      <c r="B160" s="3" t="s">
        <v>309</v>
      </c>
      <c r="C160" s="3" t="s">
        <v>1</v>
      </c>
      <c r="D160" s="3" t="s">
        <v>2</v>
      </c>
      <c r="E160" s="3" t="s">
        <v>310</v>
      </c>
      <c r="F160" s="3" t="s">
        <v>1821</v>
      </c>
      <c r="G160" s="3" t="s">
        <v>1822</v>
      </c>
      <c r="H160" s="3" t="s">
        <v>1823</v>
      </c>
      <c r="I160" s="3" t="s">
        <v>1824</v>
      </c>
      <c r="J160" s="3" t="s">
        <v>1825</v>
      </c>
      <c r="L160" s="3" t="s">
        <v>1826</v>
      </c>
      <c r="M160" s="3"/>
      <c r="N160" s="3" t="s">
        <v>1827</v>
      </c>
      <c r="O160" s="3" t="s">
        <v>919</v>
      </c>
      <c r="P160" s="3" t="s">
        <v>876</v>
      </c>
    </row>
    <row r="161" spans="1:16">
      <c r="A161" s="2">
        <v>5364097</v>
      </c>
      <c r="B161" s="3" t="s">
        <v>312</v>
      </c>
      <c r="C161" s="3" t="s">
        <v>1</v>
      </c>
      <c r="D161" s="3" t="s">
        <v>7</v>
      </c>
      <c r="E161" s="3" t="s">
        <v>198</v>
      </c>
      <c r="F161" s="3" t="s">
        <v>1828</v>
      </c>
      <c r="G161" s="3" t="s">
        <v>1829</v>
      </c>
      <c r="H161" s="3" t="s">
        <v>1830</v>
      </c>
      <c r="I161" s="3" t="s">
        <v>1831</v>
      </c>
      <c r="J161" s="3" t="s">
        <v>1832</v>
      </c>
      <c r="L161" s="3" t="s">
        <v>1521</v>
      </c>
      <c r="M161" s="3"/>
      <c r="N161" s="3" t="s">
        <v>1557</v>
      </c>
      <c r="O161" s="3" t="s">
        <v>919</v>
      </c>
      <c r="P161" s="3" t="s">
        <v>876</v>
      </c>
    </row>
    <row r="162" spans="1:16">
      <c r="A162" s="2">
        <v>5356097</v>
      </c>
      <c r="B162" s="3" t="s">
        <v>313</v>
      </c>
      <c r="C162" s="3" t="s">
        <v>1</v>
      </c>
      <c r="D162" s="3" t="s">
        <v>7</v>
      </c>
      <c r="E162" s="3" t="s">
        <v>53</v>
      </c>
      <c r="F162" s="3" t="s">
        <v>1833</v>
      </c>
      <c r="G162" s="3" t="s">
        <v>1834</v>
      </c>
      <c r="H162" s="3" t="s">
        <v>1835</v>
      </c>
      <c r="I162" s="3" t="s">
        <v>1836</v>
      </c>
      <c r="J162" s="3" t="s">
        <v>1837</v>
      </c>
      <c r="L162" s="3" t="s">
        <v>1838</v>
      </c>
      <c r="M162" s="3"/>
      <c r="N162" s="3" t="s">
        <v>953</v>
      </c>
      <c r="O162" s="3" t="s">
        <v>1026</v>
      </c>
      <c r="P162" s="3" t="s">
        <v>876</v>
      </c>
    </row>
    <row r="163" spans="1:16">
      <c r="A163" s="2">
        <v>5353097</v>
      </c>
      <c r="B163" s="3" t="s">
        <v>314</v>
      </c>
      <c r="C163" s="3" t="s">
        <v>1</v>
      </c>
      <c r="D163" s="3" t="s">
        <v>2</v>
      </c>
      <c r="E163" s="3" t="s">
        <v>168</v>
      </c>
      <c r="F163" s="3" t="s">
        <v>1839</v>
      </c>
      <c r="G163" s="3" t="s">
        <v>1840</v>
      </c>
      <c r="H163" s="3" t="s">
        <v>1841</v>
      </c>
      <c r="I163" s="3" t="s">
        <v>1842</v>
      </c>
      <c r="J163" s="3" t="s">
        <v>1843</v>
      </c>
      <c r="L163" s="3" t="s">
        <v>1844</v>
      </c>
      <c r="M163" s="3"/>
      <c r="N163" s="3" t="s">
        <v>1845</v>
      </c>
      <c r="O163" s="3" t="s">
        <v>1026</v>
      </c>
      <c r="P163" s="3" t="s">
        <v>933</v>
      </c>
    </row>
    <row r="164" spans="1:16">
      <c r="A164" s="2">
        <v>5352097</v>
      </c>
      <c r="B164" s="3" t="s">
        <v>316</v>
      </c>
      <c r="C164" s="3" t="s">
        <v>1</v>
      </c>
      <c r="D164" s="3" t="s">
        <v>7</v>
      </c>
      <c r="E164" s="3" t="s">
        <v>168</v>
      </c>
      <c r="F164" s="3" t="s">
        <v>1846</v>
      </c>
      <c r="G164" s="3" t="s">
        <v>1847</v>
      </c>
      <c r="H164" s="3" t="s">
        <v>1848</v>
      </c>
      <c r="I164" s="3" t="s">
        <v>1849</v>
      </c>
      <c r="J164" s="3" t="s">
        <v>1850</v>
      </c>
      <c r="L164" s="3" t="s">
        <v>1844</v>
      </c>
      <c r="M164" s="3"/>
      <c r="N164" s="3" t="s">
        <v>953</v>
      </c>
      <c r="O164" s="3" t="s">
        <v>1026</v>
      </c>
      <c r="P164" s="3" t="s">
        <v>933</v>
      </c>
    </row>
    <row r="165" spans="1:16">
      <c r="A165" s="2">
        <v>5351097</v>
      </c>
      <c r="B165" s="3" t="s">
        <v>317</v>
      </c>
      <c r="C165" s="3" t="s">
        <v>1</v>
      </c>
      <c r="D165" s="3" t="s">
        <v>2</v>
      </c>
      <c r="E165" s="3" t="s">
        <v>318</v>
      </c>
      <c r="F165" s="3" t="s">
        <v>1851</v>
      </c>
      <c r="G165" s="3" t="s">
        <v>1852</v>
      </c>
      <c r="H165" s="3" t="s">
        <v>1853</v>
      </c>
      <c r="I165" s="3" t="s">
        <v>1854</v>
      </c>
      <c r="J165" s="3" t="s">
        <v>1855</v>
      </c>
      <c r="L165" s="3" t="s">
        <v>1856</v>
      </c>
      <c r="M165" s="3"/>
      <c r="N165" s="3" t="s">
        <v>972</v>
      </c>
      <c r="O165" s="3" t="s">
        <v>875</v>
      </c>
      <c r="P165" s="3" t="s">
        <v>876</v>
      </c>
    </row>
    <row r="166" spans="1:16">
      <c r="A166" s="2">
        <v>5347097</v>
      </c>
      <c r="B166" s="3" t="s">
        <v>320</v>
      </c>
      <c r="C166" s="3" t="s">
        <v>149</v>
      </c>
      <c r="D166" s="3" t="s">
        <v>2</v>
      </c>
      <c r="E166" s="3" t="s">
        <v>321</v>
      </c>
      <c r="F166" s="3" t="s">
        <v>1857</v>
      </c>
      <c r="G166" s="3" t="s">
        <v>1858</v>
      </c>
      <c r="H166" s="3" t="s">
        <v>1859</v>
      </c>
      <c r="I166" s="3" t="s">
        <v>1860</v>
      </c>
      <c r="J166" s="3" t="s">
        <v>1861</v>
      </c>
      <c r="L166" s="3" t="s">
        <v>1862</v>
      </c>
      <c r="M166" s="3"/>
      <c r="N166" s="3" t="s">
        <v>1863</v>
      </c>
      <c r="O166" s="3" t="s">
        <v>1097</v>
      </c>
      <c r="P166" s="3" t="s">
        <v>1033</v>
      </c>
    </row>
    <row r="167" spans="1:16">
      <c r="A167" s="2">
        <v>5346097</v>
      </c>
      <c r="B167" s="3" t="s">
        <v>323</v>
      </c>
      <c r="C167" s="3" t="s">
        <v>149</v>
      </c>
      <c r="D167" s="3" t="s">
        <v>2</v>
      </c>
      <c r="E167" s="3" t="s">
        <v>324</v>
      </c>
      <c r="F167" s="3" t="s">
        <v>1864</v>
      </c>
      <c r="G167" s="3" t="s">
        <v>1865</v>
      </c>
      <c r="H167" s="3" t="s">
        <v>1866</v>
      </c>
      <c r="I167" s="3" t="s">
        <v>1867</v>
      </c>
      <c r="J167" s="3" t="s">
        <v>1868</v>
      </c>
      <c r="L167" s="3" t="s">
        <v>1869</v>
      </c>
      <c r="M167" s="3"/>
      <c r="N167" s="3" t="s">
        <v>1870</v>
      </c>
      <c r="O167" s="3" t="s">
        <v>919</v>
      </c>
      <c r="P167" s="3" t="s">
        <v>1033</v>
      </c>
    </row>
    <row r="168" spans="1:16">
      <c r="A168" s="2">
        <v>5343097</v>
      </c>
      <c r="B168" s="3" t="s">
        <v>325</v>
      </c>
      <c r="C168" s="3" t="s">
        <v>1</v>
      </c>
      <c r="D168" s="3" t="s">
        <v>2</v>
      </c>
      <c r="E168" s="3" t="s">
        <v>145</v>
      </c>
      <c r="F168" s="3" t="s">
        <v>1871</v>
      </c>
      <c r="G168" s="3" t="s">
        <v>1872</v>
      </c>
      <c r="H168" s="3" t="s">
        <v>1873</v>
      </c>
      <c r="I168" s="3" t="s">
        <v>1874</v>
      </c>
      <c r="J168" s="3" t="s">
        <v>1875</v>
      </c>
      <c r="L168" s="3" t="s">
        <v>1297</v>
      </c>
      <c r="M168" s="3"/>
      <c r="N168" s="3" t="s">
        <v>1876</v>
      </c>
      <c r="O168" s="3" t="s">
        <v>919</v>
      </c>
      <c r="P168" s="3" t="s">
        <v>876</v>
      </c>
    </row>
    <row r="169" spans="1:16">
      <c r="A169" s="2">
        <v>5341097</v>
      </c>
      <c r="B169" s="3" t="s">
        <v>326</v>
      </c>
      <c r="C169" s="3" t="s">
        <v>1</v>
      </c>
      <c r="D169" s="3" t="s">
        <v>2</v>
      </c>
      <c r="E169" s="3" t="s">
        <v>168</v>
      </c>
      <c r="F169" s="3" t="s">
        <v>1877</v>
      </c>
      <c r="G169" s="3" t="s">
        <v>1878</v>
      </c>
      <c r="H169" s="3" t="s">
        <v>1879</v>
      </c>
      <c r="I169" s="3" t="s">
        <v>1880</v>
      </c>
      <c r="J169" s="3" t="s">
        <v>1881</v>
      </c>
      <c r="L169" s="3" t="s">
        <v>1882</v>
      </c>
      <c r="M169" s="3"/>
      <c r="N169" s="3" t="s">
        <v>972</v>
      </c>
      <c r="O169" s="3" t="s">
        <v>875</v>
      </c>
      <c r="P169" s="3" t="s">
        <v>876</v>
      </c>
    </row>
    <row r="170" spans="1:16">
      <c r="A170" s="2">
        <v>5339097</v>
      </c>
      <c r="B170" s="3" t="s">
        <v>327</v>
      </c>
      <c r="C170" s="3" t="s">
        <v>1</v>
      </c>
      <c r="D170" s="3" t="s">
        <v>2</v>
      </c>
      <c r="E170" s="3" t="s">
        <v>328</v>
      </c>
      <c r="F170" s="3" t="s">
        <v>1883</v>
      </c>
      <c r="G170" s="3" t="s">
        <v>1884</v>
      </c>
      <c r="H170" s="3" t="s">
        <v>1885</v>
      </c>
      <c r="I170" s="3" t="s">
        <v>1886</v>
      </c>
      <c r="J170" s="3" t="s">
        <v>1887</v>
      </c>
      <c r="L170" s="3" t="s">
        <v>1888</v>
      </c>
      <c r="M170" s="3"/>
      <c r="N170" s="3" t="s">
        <v>932</v>
      </c>
      <c r="O170" s="3" t="s">
        <v>919</v>
      </c>
      <c r="P170" s="3" t="s">
        <v>1033</v>
      </c>
    </row>
    <row r="171" spans="1:16">
      <c r="A171" s="2">
        <v>5336097</v>
      </c>
      <c r="B171" s="3" t="s">
        <v>329</v>
      </c>
      <c r="C171" s="3" t="s">
        <v>1</v>
      </c>
      <c r="D171" s="3" t="s">
        <v>2</v>
      </c>
      <c r="E171" s="3" t="s">
        <v>145</v>
      </c>
      <c r="F171" s="3" t="s">
        <v>1889</v>
      </c>
      <c r="G171" s="3" t="s">
        <v>1890</v>
      </c>
      <c r="H171" s="3" t="s">
        <v>1891</v>
      </c>
      <c r="I171" s="3" t="s">
        <v>1892</v>
      </c>
      <c r="J171" s="3" t="s">
        <v>1893</v>
      </c>
      <c r="L171" s="3" t="s">
        <v>1297</v>
      </c>
      <c r="M171" s="3"/>
      <c r="N171" s="3" t="s">
        <v>1894</v>
      </c>
      <c r="O171" s="3" t="s">
        <v>919</v>
      </c>
      <c r="P171" s="3" t="s">
        <v>876</v>
      </c>
    </row>
    <row r="172" spans="1:16">
      <c r="A172" s="2">
        <v>5335097</v>
      </c>
      <c r="B172" s="3" t="s">
        <v>330</v>
      </c>
      <c r="C172" s="3" t="s">
        <v>1</v>
      </c>
      <c r="D172" s="3" t="s">
        <v>2</v>
      </c>
      <c r="E172" s="3" t="s">
        <v>331</v>
      </c>
      <c r="F172" s="3" t="s">
        <v>1895</v>
      </c>
      <c r="G172" s="3" t="s">
        <v>1896</v>
      </c>
      <c r="H172" s="3" t="s">
        <v>1897</v>
      </c>
      <c r="I172" s="3" t="s">
        <v>1898</v>
      </c>
      <c r="J172" s="3" t="s">
        <v>1899</v>
      </c>
      <c r="L172" s="3" t="s">
        <v>1900</v>
      </c>
      <c r="M172" s="3"/>
      <c r="N172" s="3" t="s">
        <v>1901</v>
      </c>
      <c r="O172" s="3" t="s">
        <v>919</v>
      </c>
      <c r="P172" s="3" t="s">
        <v>876</v>
      </c>
    </row>
    <row r="173" spans="1:16">
      <c r="A173" s="2">
        <v>5334097</v>
      </c>
      <c r="B173" s="3" t="s">
        <v>332</v>
      </c>
      <c r="C173" s="3" t="s">
        <v>1</v>
      </c>
      <c r="D173" s="3" t="s">
        <v>2</v>
      </c>
      <c r="E173" s="3" t="s">
        <v>333</v>
      </c>
      <c r="F173" s="3" t="s">
        <v>1902</v>
      </c>
      <c r="G173" s="3" t="s">
        <v>1903</v>
      </c>
      <c r="H173" s="3" t="s">
        <v>1904</v>
      </c>
      <c r="I173" s="3" t="s">
        <v>1905</v>
      </c>
      <c r="J173" s="3" t="s">
        <v>1906</v>
      </c>
      <c r="L173" s="3" t="s">
        <v>1907</v>
      </c>
      <c r="M173" s="3"/>
      <c r="N173" s="3" t="s">
        <v>1827</v>
      </c>
      <c r="O173" s="3" t="s">
        <v>919</v>
      </c>
      <c r="P173" s="3" t="s">
        <v>876</v>
      </c>
    </row>
    <row r="174" spans="1:16">
      <c r="A174" s="2">
        <v>5333097</v>
      </c>
      <c r="B174" s="3" t="s">
        <v>334</v>
      </c>
      <c r="C174" s="3" t="s">
        <v>1</v>
      </c>
      <c r="D174" s="3" t="s">
        <v>2</v>
      </c>
      <c r="E174" s="3" t="s">
        <v>335</v>
      </c>
      <c r="F174" s="3" t="s">
        <v>1908</v>
      </c>
      <c r="G174" s="3" t="s">
        <v>1909</v>
      </c>
      <c r="H174" s="3" t="s">
        <v>1910</v>
      </c>
      <c r="I174" s="3" t="s">
        <v>1911</v>
      </c>
      <c r="J174" s="3" t="s">
        <v>1912</v>
      </c>
      <c r="L174" s="3" t="s">
        <v>1913</v>
      </c>
      <c r="M174" s="3"/>
      <c r="N174" s="3" t="s">
        <v>1914</v>
      </c>
      <c r="O174" s="3" t="s">
        <v>919</v>
      </c>
      <c r="P174" s="3" t="s">
        <v>876</v>
      </c>
    </row>
    <row r="175" spans="1:16">
      <c r="A175" s="2">
        <v>5332097</v>
      </c>
      <c r="B175" s="3" t="s">
        <v>316</v>
      </c>
      <c r="C175" s="3" t="s">
        <v>1</v>
      </c>
      <c r="D175" s="3" t="s">
        <v>7</v>
      </c>
      <c r="E175" s="3" t="s">
        <v>168</v>
      </c>
      <c r="F175" s="3" t="s">
        <v>1915</v>
      </c>
      <c r="G175" s="3" t="s">
        <v>1916</v>
      </c>
      <c r="H175" s="3" t="s">
        <v>1917</v>
      </c>
      <c r="I175" s="3" t="s">
        <v>1918</v>
      </c>
      <c r="J175" s="3" t="s">
        <v>1919</v>
      </c>
      <c r="L175" s="3" t="s">
        <v>1844</v>
      </c>
      <c r="M175" s="3"/>
      <c r="N175" s="3" t="s">
        <v>1920</v>
      </c>
      <c r="O175" s="3" t="s">
        <v>1026</v>
      </c>
      <c r="P175" s="3" t="s">
        <v>933</v>
      </c>
    </row>
    <row r="176" spans="1:16">
      <c r="A176" s="2">
        <v>5331097</v>
      </c>
      <c r="B176" s="3" t="s">
        <v>336</v>
      </c>
      <c r="C176" s="3" t="s">
        <v>1</v>
      </c>
      <c r="D176" s="3" t="s">
        <v>7</v>
      </c>
      <c r="E176" s="3" t="s">
        <v>303</v>
      </c>
      <c r="F176" s="3" t="s">
        <v>1921</v>
      </c>
      <c r="G176" s="3" t="s">
        <v>1922</v>
      </c>
      <c r="H176" s="3" t="s">
        <v>1923</v>
      </c>
      <c r="I176" s="3" t="s">
        <v>1924</v>
      </c>
      <c r="J176" s="3" t="s">
        <v>1925</v>
      </c>
      <c r="L176" s="3" t="s">
        <v>1798</v>
      </c>
      <c r="M176" s="3"/>
      <c r="N176" s="3" t="s">
        <v>1926</v>
      </c>
      <c r="O176" s="3" t="s">
        <v>919</v>
      </c>
      <c r="P176" s="3" t="s">
        <v>876</v>
      </c>
    </row>
    <row r="177" spans="1:16">
      <c r="A177" s="2">
        <v>5329097</v>
      </c>
      <c r="B177" s="3" t="s">
        <v>337</v>
      </c>
      <c r="C177" s="3" t="s">
        <v>1</v>
      </c>
      <c r="D177" s="3" t="s">
        <v>7</v>
      </c>
      <c r="E177" s="3" t="s">
        <v>168</v>
      </c>
      <c r="F177" s="3" t="s">
        <v>1927</v>
      </c>
      <c r="G177" s="3" t="s">
        <v>1928</v>
      </c>
      <c r="H177" s="3" t="s">
        <v>1929</v>
      </c>
      <c r="I177" s="3" t="s">
        <v>1930</v>
      </c>
      <c r="J177" s="3" t="s">
        <v>1931</v>
      </c>
      <c r="L177" s="3" t="s">
        <v>1882</v>
      </c>
      <c r="M177" s="3"/>
      <c r="N177" s="3" t="s">
        <v>1056</v>
      </c>
      <c r="O177" s="3" t="s">
        <v>875</v>
      </c>
      <c r="P177" s="3" t="s">
        <v>876</v>
      </c>
    </row>
    <row r="178" spans="1:16">
      <c r="A178" s="2">
        <v>5327097</v>
      </c>
      <c r="B178" s="3" t="s">
        <v>338</v>
      </c>
      <c r="C178" s="3" t="s">
        <v>1</v>
      </c>
      <c r="D178" s="3" t="s">
        <v>7</v>
      </c>
      <c r="E178" s="3" t="s">
        <v>168</v>
      </c>
      <c r="F178" s="3" t="s">
        <v>1932</v>
      </c>
      <c r="G178" s="3" t="s">
        <v>1933</v>
      </c>
      <c r="H178" s="3" t="s">
        <v>1934</v>
      </c>
      <c r="I178" s="3" t="s">
        <v>1935</v>
      </c>
      <c r="J178" s="3" t="s">
        <v>1936</v>
      </c>
      <c r="L178" s="3" t="s">
        <v>1844</v>
      </c>
      <c r="M178" s="3"/>
      <c r="N178" s="3" t="s">
        <v>1937</v>
      </c>
      <c r="O178" s="3" t="s">
        <v>1026</v>
      </c>
      <c r="P178" s="3" t="s">
        <v>933</v>
      </c>
    </row>
    <row r="179" spans="1:16">
      <c r="A179" s="2">
        <v>5326097</v>
      </c>
      <c r="B179" s="3" t="s">
        <v>339</v>
      </c>
      <c r="C179" s="3" t="s">
        <v>1</v>
      </c>
      <c r="D179" s="3" t="s">
        <v>2</v>
      </c>
      <c r="E179" s="3" t="s">
        <v>340</v>
      </c>
      <c r="F179" s="3" t="s">
        <v>1938</v>
      </c>
      <c r="G179" s="3" t="s">
        <v>1939</v>
      </c>
      <c r="H179" s="3" t="s">
        <v>1940</v>
      </c>
      <c r="I179" s="3" t="s">
        <v>1941</v>
      </c>
      <c r="J179" s="3" t="s">
        <v>1942</v>
      </c>
      <c r="L179" s="3" t="s">
        <v>1943</v>
      </c>
      <c r="M179" s="3"/>
      <c r="N179" s="3" t="s">
        <v>911</v>
      </c>
      <c r="O179" s="3" t="s">
        <v>875</v>
      </c>
      <c r="P179" s="3" t="s">
        <v>876</v>
      </c>
    </row>
    <row r="180" spans="1:16">
      <c r="A180" s="2">
        <v>5325097</v>
      </c>
      <c r="B180" s="3" t="s">
        <v>342</v>
      </c>
      <c r="C180" s="3" t="s">
        <v>1</v>
      </c>
      <c r="D180" s="3" t="s">
        <v>7</v>
      </c>
      <c r="E180" s="3" t="s">
        <v>53</v>
      </c>
      <c r="F180" s="3" t="s">
        <v>1944</v>
      </c>
      <c r="G180" s="3" t="s">
        <v>1945</v>
      </c>
      <c r="H180" s="3" t="s">
        <v>1946</v>
      </c>
      <c r="I180" s="3" t="s">
        <v>1947</v>
      </c>
      <c r="J180" s="3" t="s">
        <v>1948</v>
      </c>
      <c r="L180" s="3" t="s">
        <v>1838</v>
      </c>
      <c r="M180" s="3"/>
      <c r="N180" s="3" t="s">
        <v>953</v>
      </c>
      <c r="O180" s="3" t="s">
        <v>1026</v>
      </c>
      <c r="P180" s="3" t="s">
        <v>876</v>
      </c>
    </row>
    <row r="181" spans="1:16">
      <c r="A181" s="2">
        <v>5324097</v>
      </c>
      <c r="B181" s="3" t="s">
        <v>343</v>
      </c>
      <c r="C181" s="3" t="s">
        <v>1</v>
      </c>
      <c r="D181" s="3" t="s">
        <v>7</v>
      </c>
      <c r="E181" s="3" t="s">
        <v>318</v>
      </c>
      <c r="F181" s="3" t="s">
        <v>1949</v>
      </c>
      <c r="G181" s="3" t="s">
        <v>1950</v>
      </c>
      <c r="H181" s="3" t="s">
        <v>1951</v>
      </c>
      <c r="I181" s="3" t="s">
        <v>1952</v>
      </c>
      <c r="J181" s="3" t="s">
        <v>1953</v>
      </c>
      <c r="L181" s="3" t="s">
        <v>1856</v>
      </c>
      <c r="M181" s="3"/>
      <c r="N181" s="3" t="s">
        <v>884</v>
      </c>
      <c r="O181" s="3" t="s">
        <v>875</v>
      </c>
      <c r="P181" s="3" t="s">
        <v>876</v>
      </c>
    </row>
    <row r="182" spans="1:16">
      <c r="A182" s="2">
        <v>5320097</v>
      </c>
      <c r="B182" s="3" t="s">
        <v>344</v>
      </c>
      <c r="C182" s="3" t="s">
        <v>1</v>
      </c>
      <c r="D182" s="3" t="s">
        <v>7</v>
      </c>
      <c r="E182" s="3" t="s">
        <v>168</v>
      </c>
      <c r="F182" s="3" t="s">
        <v>1954</v>
      </c>
      <c r="G182" s="3" t="s">
        <v>1955</v>
      </c>
      <c r="H182" s="3" t="s">
        <v>1956</v>
      </c>
      <c r="I182" s="3" t="s">
        <v>1957</v>
      </c>
      <c r="J182" s="3" t="s">
        <v>1958</v>
      </c>
      <c r="L182" s="3" t="s">
        <v>1882</v>
      </c>
      <c r="M182" s="3"/>
      <c r="N182" s="3" t="s">
        <v>1025</v>
      </c>
      <c r="O182" s="3" t="s">
        <v>875</v>
      </c>
      <c r="P182" s="3" t="s">
        <v>876</v>
      </c>
    </row>
    <row r="183" spans="1:16">
      <c r="A183" s="2">
        <v>5319097</v>
      </c>
      <c r="B183" s="3" t="s">
        <v>345</v>
      </c>
      <c r="C183" s="3" t="s">
        <v>1</v>
      </c>
      <c r="D183" s="3" t="s">
        <v>2</v>
      </c>
      <c r="E183" s="3" t="s">
        <v>20</v>
      </c>
      <c r="F183" s="3" t="s">
        <v>1959</v>
      </c>
      <c r="G183" s="3" t="s">
        <v>1960</v>
      </c>
      <c r="H183" s="3" t="s">
        <v>1961</v>
      </c>
      <c r="I183" s="3" t="s">
        <v>1962</v>
      </c>
      <c r="J183" s="3" t="s">
        <v>1963</v>
      </c>
      <c r="L183" s="3" t="s">
        <v>1964</v>
      </c>
      <c r="M183" s="3"/>
      <c r="N183" s="3" t="s">
        <v>1082</v>
      </c>
      <c r="O183" s="3" t="s">
        <v>875</v>
      </c>
      <c r="P183" s="3" t="s">
        <v>876</v>
      </c>
    </row>
    <row r="184" spans="1:16">
      <c r="A184" s="2">
        <v>5318097</v>
      </c>
      <c r="B184" s="3" t="s">
        <v>346</v>
      </c>
      <c r="C184" s="3" t="s">
        <v>1</v>
      </c>
      <c r="D184" s="3" t="s">
        <v>2</v>
      </c>
      <c r="E184" s="3" t="s">
        <v>347</v>
      </c>
      <c r="F184" s="3" t="s">
        <v>1965</v>
      </c>
      <c r="G184" s="3" t="s">
        <v>1966</v>
      </c>
      <c r="H184" s="3" t="s">
        <v>1967</v>
      </c>
      <c r="I184" s="3" t="s">
        <v>1968</v>
      </c>
      <c r="J184" s="3" t="s">
        <v>1969</v>
      </c>
      <c r="L184" s="3" t="s">
        <v>1970</v>
      </c>
      <c r="M184" s="3"/>
      <c r="N184" s="3" t="s">
        <v>1056</v>
      </c>
      <c r="O184" s="3" t="s">
        <v>875</v>
      </c>
      <c r="P184" s="3" t="s">
        <v>876</v>
      </c>
    </row>
    <row r="185" spans="1:16">
      <c r="A185" s="2">
        <v>5316097</v>
      </c>
      <c r="B185" s="3" t="s">
        <v>348</v>
      </c>
      <c r="C185" s="3" t="s">
        <v>1</v>
      </c>
      <c r="D185" s="3" t="s">
        <v>2</v>
      </c>
      <c r="E185" s="3" t="s">
        <v>349</v>
      </c>
      <c r="F185" s="3" t="s">
        <v>1971</v>
      </c>
      <c r="G185" s="3" t="s">
        <v>1972</v>
      </c>
      <c r="H185" s="3" t="s">
        <v>1973</v>
      </c>
      <c r="I185" s="3" t="s">
        <v>1974</v>
      </c>
      <c r="J185" s="3" t="s">
        <v>1975</v>
      </c>
      <c r="L185" s="3" t="s">
        <v>1976</v>
      </c>
      <c r="M185" s="3"/>
      <c r="N185" s="3" t="s">
        <v>1443</v>
      </c>
      <c r="O185" s="3" t="s">
        <v>875</v>
      </c>
      <c r="P185" s="3" t="s">
        <v>876</v>
      </c>
    </row>
    <row r="186" spans="1:16">
      <c r="A186" s="2">
        <v>5314097</v>
      </c>
      <c r="B186" s="3" t="s">
        <v>350</v>
      </c>
      <c r="C186" s="3" t="s">
        <v>1</v>
      </c>
      <c r="D186" s="3" t="s">
        <v>2</v>
      </c>
      <c r="E186" s="3" t="s">
        <v>351</v>
      </c>
      <c r="F186" s="3" t="s">
        <v>1977</v>
      </c>
      <c r="G186" s="3" t="s">
        <v>1978</v>
      </c>
      <c r="H186" s="3" t="s">
        <v>1979</v>
      </c>
      <c r="I186" s="3" t="s">
        <v>1980</v>
      </c>
      <c r="J186" s="3" t="s">
        <v>1981</v>
      </c>
      <c r="L186" s="3" t="s">
        <v>1982</v>
      </c>
      <c r="M186" s="3"/>
      <c r="N186" s="3" t="s">
        <v>1845</v>
      </c>
      <c r="O186" s="3" t="s">
        <v>875</v>
      </c>
      <c r="P186" s="3" t="s">
        <v>876</v>
      </c>
    </row>
    <row r="187" spans="1:16">
      <c r="A187" s="2">
        <v>5292097</v>
      </c>
      <c r="B187" s="3" t="s">
        <v>353</v>
      </c>
      <c r="C187" s="3" t="s">
        <v>1</v>
      </c>
      <c r="D187" s="3" t="s">
        <v>2</v>
      </c>
      <c r="E187" s="3" t="s">
        <v>354</v>
      </c>
      <c r="F187" s="3" t="s">
        <v>1983</v>
      </c>
      <c r="G187" s="3" t="s">
        <v>1984</v>
      </c>
      <c r="H187" s="3" t="s">
        <v>1985</v>
      </c>
      <c r="I187" s="3" t="s">
        <v>1986</v>
      </c>
      <c r="J187" s="3" t="s">
        <v>1987</v>
      </c>
      <c r="L187" s="3" t="s">
        <v>1988</v>
      </c>
      <c r="M187" s="3"/>
      <c r="N187" s="3" t="s">
        <v>1235</v>
      </c>
      <c r="O187" s="3" t="s">
        <v>875</v>
      </c>
      <c r="P187" s="3" t="s">
        <v>876</v>
      </c>
    </row>
    <row r="188" spans="1:16">
      <c r="A188" s="2">
        <v>5291097</v>
      </c>
      <c r="B188" s="3" t="s">
        <v>355</v>
      </c>
      <c r="C188" s="3" t="s">
        <v>149</v>
      </c>
      <c r="D188" s="3" t="s">
        <v>76</v>
      </c>
      <c r="E188" s="3" t="s">
        <v>321</v>
      </c>
      <c r="F188" s="3" t="s">
        <v>1989</v>
      </c>
      <c r="G188" s="3" t="s">
        <v>1990</v>
      </c>
      <c r="H188" s="3" t="s">
        <v>1991</v>
      </c>
      <c r="I188" s="3" t="s">
        <v>1992</v>
      </c>
      <c r="J188" s="3" t="s">
        <v>1993</v>
      </c>
      <c r="L188" s="3" t="s">
        <v>1862</v>
      </c>
      <c r="M188" s="3"/>
      <c r="N188" s="3" t="s">
        <v>932</v>
      </c>
      <c r="O188" s="3" t="s">
        <v>1097</v>
      </c>
      <c r="P188" s="3" t="s">
        <v>1033</v>
      </c>
    </row>
    <row r="189" spans="1:16">
      <c r="A189" s="2">
        <v>5289097</v>
      </c>
      <c r="B189" s="3" t="s">
        <v>356</v>
      </c>
      <c r="C189" s="3" t="s">
        <v>149</v>
      </c>
      <c r="D189" s="3" t="s">
        <v>76</v>
      </c>
      <c r="E189" s="3" t="s">
        <v>321</v>
      </c>
      <c r="F189" s="3" t="s">
        <v>1994</v>
      </c>
      <c r="G189" s="3" t="s">
        <v>1995</v>
      </c>
      <c r="H189" s="3" t="s">
        <v>1996</v>
      </c>
      <c r="I189" s="3" t="s">
        <v>1997</v>
      </c>
      <c r="J189" s="3" t="s">
        <v>1998</v>
      </c>
      <c r="L189" s="3" t="s">
        <v>1862</v>
      </c>
      <c r="M189" s="3"/>
      <c r="N189" s="3" t="s">
        <v>911</v>
      </c>
      <c r="O189" s="3" t="s">
        <v>1097</v>
      </c>
      <c r="P189" s="3" t="s">
        <v>1033</v>
      </c>
    </row>
    <row r="190" spans="1:16">
      <c r="A190" s="2">
        <v>5288097</v>
      </c>
      <c r="B190" s="3" t="s">
        <v>357</v>
      </c>
      <c r="C190" s="3" t="s">
        <v>1</v>
      </c>
      <c r="D190" s="3" t="s">
        <v>2</v>
      </c>
      <c r="E190" s="3" t="s">
        <v>358</v>
      </c>
      <c r="F190" s="3" t="s">
        <v>1999</v>
      </c>
      <c r="G190" s="3" t="s">
        <v>2000</v>
      </c>
      <c r="H190" s="3" t="s">
        <v>2001</v>
      </c>
      <c r="I190" s="3" t="s">
        <v>2002</v>
      </c>
      <c r="J190" s="3" t="s">
        <v>2003</v>
      </c>
      <c r="L190" s="3" t="s">
        <v>1114</v>
      </c>
      <c r="M190" s="3"/>
      <c r="N190" s="3" t="s">
        <v>932</v>
      </c>
      <c r="O190" s="3" t="s">
        <v>919</v>
      </c>
      <c r="P190" s="3" t="s">
        <v>876</v>
      </c>
    </row>
    <row r="191" spans="1:16">
      <c r="A191" s="2">
        <v>5285097</v>
      </c>
      <c r="B191" s="3" t="s">
        <v>360</v>
      </c>
      <c r="C191" s="3" t="s">
        <v>361</v>
      </c>
      <c r="D191" s="3" t="s">
        <v>2</v>
      </c>
      <c r="E191" s="3" t="s">
        <v>362</v>
      </c>
      <c r="F191" s="3" t="s">
        <v>2004</v>
      </c>
      <c r="G191" s="3" t="s">
        <v>2005</v>
      </c>
      <c r="H191" s="3" t="s">
        <v>2006</v>
      </c>
      <c r="I191" s="3" t="s">
        <v>2007</v>
      </c>
      <c r="J191" s="3" t="s">
        <v>2008</v>
      </c>
      <c r="L191" s="3" t="s">
        <v>2009</v>
      </c>
      <c r="M191" s="3"/>
      <c r="N191" s="3" t="s">
        <v>1235</v>
      </c>
      <c r="O191" s="3" t="s">
        <v>875</v>
      </c>
      <c r="P191" s="3" t="s">
        <v>1033</v>
      </c>
    </row>
    <row r="192" spans="1:16">
      <c r="A192" s="2">
        <v>5281097</v>
      </c>
      <c r="B192" s="3" t="s">
        <v>363</v>
      </c>
      <c r="C192" s="3" t="s">
        <v>1</v>
      </c>
      <c r="D192" s="3" t="s">
        <v>7</v>
      </c>
      <c r="E192" s="3" t="s">
        <v>223</v>
      </c>
      <c r="F192" s="3" t="s">
        <v>2010</v>
      </c>
      <c r="G192" s="3" t="s">
        <v>2011</v>
      </c>
      <c r="H192" s="3" t="s">
        <v>2012</v>
      </c>
      <c r="I192" s="3" t="s">
        <v>2013</v>
      </c>
      <c r="J192" s="3" t="s">
        <v>2014</v>
      </c>
      <c r="L192" s="3" t="s">
        <v>1563</v>
      </c>
      <c r="M192" s="3"/>
      <c r="N192" s="3" t="s">
        <v>1672</v>
      </c>
      <c r="O192" s="3" t="s">
        <v>1026</v>
      </c>
      <c r="P192" s="3" t="s">
        <v>876</v>
      </c>
    </row>
    <row r="193" spans="1:16">
      <c r="A193" s="2">
        <v>5279097</v>
      </c>
      <c r="B193" s="3" t="s">
        <v>184</v>
      </c>
      <c r="C193" s="3" t="s">
        <v>1</v>
      </c>
      <c r="D193" s="3" t="s">
        <v>2</v>
      </c>
      <c r="E193" s="3" t="s">
        <v>364</v>
      </c>
      <c r="F193" s="3" t="s">
        <v>2015</v>
      </c>
      <c r="G193" s="3" t="s">
        <v>2016</v>
      </c>
      <c r="H193" s="3" t="s">
        <v>2017</v>
      </c>
      <c r="I193" s="3" t="s">
        <v>2018</v>
      </c>
      <c r="J193" s="3" t="s">
        <v>2019</v>
      </c>
      <c r="L193" s="3" t="s">
        <v>2020</v>
      </c>
      <c r="M193" s="3"/>
      <c r="N193" s="3" t="s">
        <v>1138</v>
      </c>
      <c r="O193" s="3" t="s">
        <v>1097</v>
      </c>
      <c r="P193" s="3" t="s">
        <v>876</v>
      </c>
    </row>
    <row r="194" spans="1:16">
      <c r="A194" s="2">
        <v>5275097</v>
      </c>
      <c r="B194" s="3" t="s">
        <v>365</v>
      </c>
      <c r="C194" s="3" t="s">
        <v>1</v>
      </c>
      <c r="D194" s="3" t="s">
        <v>2</v>
      </c>
      <c r="E194" s="3" t="s">
        <v>366</v>
      </c>
      <c r="F194" s="3" t="s">
        <v>2021</v>
      </c>
      <c r="G194" s="3" t="s">
        <v>2022</v>
      </c>
      <c r="H194" s="3" t="s">
        <v>2023</v>
      </c>
      <c r="I194" s="3" t="s">
        <v>2024</v>
      </c>
      <c r="J194" s="3" t="s">
        <v>2025</v>
      </c>
      <c r="L194" s="3" t="s">
        <v>2026</v>
      </c>
      <c r="M194" s="3"/>
      <c r="N194" s="3" t="s">
        <v>2027</v>
      </c>
      <c r="O194" s="3" t="s">
        <v>919</v>
      </c>
      <c r="P194" s="3" t="s">
        <v>1033</v>
      </c>
    </row>
    <row r="195" spans="1:16">
      <c r="A195" s="2">
        <v>5269097</v>
      </c>
      <c r="B195" s="3" t="s">
        <v>367</v>
      </c>
      <c r="C195" s="3" t="s">
        <v>1</v>
      </c>
      <c r="D195" s="3" t="s">
        <v>2</v>
      </c>
      <c r="E195" s="3" t="s">
        <v>48</v>
      </c>
      <c r="F195" s="3" t="s">
        <v>2028</v>
      </c>
      <c r="G195" s="3" t="s">
        <v>2029</v>
      </c>
      <c r="H195" s="3" t="s">
        <v>2030</v>
      </c>
      <c r="I195" s="3" t="s">
        <v>2031</v>
      </c>
      <c r="J195" s="3" t="s">
        <v>2032</v>
      </c>
      <c r="L195" s="3" t="s">
        <v>1157</v>
      </c>
      <c r="M195" s="3"/>
      <c r="N195" s="3" t="s">
        <v>1056</v>
      </c>
      <c r="O195" s="3" t="s">
        <v>875</v>
      </c>
      <c r="P195" s="3" t="s">
        <v>1033</v>
      </c>
    </row>
    <row r="196" spans="1:16">
      <c r="A196" s="2">
        <v>5268097</v>
      </c>
      <c r="B196" s="3" t="s">
        <v>369</v>
      </c>
      <c r="C196" s="3" t="s">
        <v>1</v>
      </c>
      <c r="D196" s="3" t="s">
        <v>2</v>
      </c>
      <c r="E196" s="3" t="s">
        <v>370</v>
      </c>
      <c r="F196" s="3" t="s">
        <v>2033</v>
      </c>
      <c r="G196" s="3" t="s">
        <v>2034</v>
      </c>
      <c r="H196" s="3" t="s">
        <v>2035</v>
      </c>
      <c r="I196" s="3" t="s">
        <v>2036</v>
      </c>
      <c r="J196" s="3" t="s">
        <v>2037</v>
      </c>
      <c r="L196" s="3" t="s">
        <v>2038</v>
      </c>
      <c r="M196" s="3"/>
      <c r="N196" s="3" t="s">
        <v>1268</v>
      </c>
      <c r="O196" s="3" t="s">
        <v>919</v>
      </c>
      <c r="P196" s="3" t="s">
        <v>876</v>
      </c>
    </row>
    <row r="197" spans="1:16">
      <c r="A197" s="2">
        <v>5267097</v>
      </c>
      <c r="B197" s="3" t="s">
        <v>371</v>
      </c>
      <c r="C197" s="3" t="s">
        <v>1</v>
      </c>
      <c r="D197" s="3" t="s">
        <v>2</v>
      </c>
      <c r="E197" s="3" t="s">
        <v>372</v>
      </c>
      <c r="F197" s="3" t="s">
        <v>2039</v>
      </c>
      <c r="G197" s="3" t="s">
        <v>2040</v>
      </c>
      <c r="H197" s="3" t="s">
        <v>2041</v>
      </c>
      <c r="I197" s="3" t="s">
        <v>2042</v>
      </c>
      <c r="J197" s="3" t="s">
        <v>2043</v>
      </c>
      <c r="L197" s="3" t="s">
        <v>2044</v>
      </c>
      <c r="M197" s="3"/>
      <c r="N197" s="3" t="s">
        <v>1894</v>
      </c>
      <c r="O197" s="3" t="s">
        <v>919</v>
      </c>
      <c r="P197" s="3" t="s">
        <v>876</v>
      </c>
    </row>
    <row r="198" spans="1:16">
      <c r="A198" s="2">
        <v>5263097</v>
      </c>
      <c r="B198" s="3" t="s">
        <v>373</v>
      </c>
      <c r="C198" s="3" t="s">
        <v>1</v>
      </c>
      <c r="D198" s="3" t="s">
        <v>2</v>
      </c>
      <c r="E198" s="3" t="s">
        <v>374</v>
      </c>
      <c r="F198" s="3" t="s">
        <v>2045</v>
      </c>
      <c r="G198" s="3" t="s">
        <v>2046</v>
      </c>
      <c r="H198" s="3" t="s">
        <v>2047</v>
      </c>
      <c r="I198" s="3" t="s">
        <v>2048</v>
      </c>
      <c r="J198" s="3" t="s">
        <v>2049</v>
      </c>
      <c r="L198" s="3" t="s">
        <v>2038</v>
      </c>
      <c r="M198" s="3"/>
      <c r="N198" s="3" t="s">
        <v>1229</v>
      </c>
      <c r="O198" s="3" t="s">
        <v>919</v>
      </c>
      <c r="P198" s="3" t="s">
        <v>876</v>
      </c>
    </row>
    <row r="199" spans="1:16">
      <c r="A199" s="2">
        <v>5259097</v>
      </c>
      <c r="B199" s="3" t="s">
        <v>375</v>
      </c>
      <c r="C199" s="3" t="s">
        <v>1</v>
      </c>
      <c r="D199" s="3" t="s">
        <v>7</v>
      </c>
      <c r="E199" s="3" t="s">
        <v>374</v>
      </c>
      <c r="F199" s="3" t="s">
        <v>2050</v>
      </c>
      <c r="G199" s="3" t="s">
        <v>2051</v>
      </c>
      <c r="H199" s="3" t="s">
        <v>2052</v>
      </c>
      <c r="I199" s="3" t="s">
        <v>2053</v>
      </c>
      <c r="J199" s="3" t="s">
        <v>2054</v>
      </c>
      <c r="L199" s="3" t="s">
        <v>2038</v>
      </c>
      <c r="M199" s="3"/>
      <c r="N199" s="3" t="s">
        <v>925</v>
      </c>
      <c r="O199" s="3" t="s">
        <v>919</v>
      </c>
      <c r="P199" s="3" t="s">
        <v>876</v>
      </c>
    </row>
    <row r="200" spans="1:16">
      <c r="A200" s="2">
        <v>5257097</v>
      </c>
      <c r="B200" s="3" t="s">
        <v>376</v>
      </c>
      <c r="C200" s="3" t="s">
        <v>1</v>
      </c>
      <c r="D200" s="3" t="s">
        <v>7</v>
      </c>
      <c r="E200" s="3" t="s">
        <v>374</v>
      </c>
      <c r="F200" s="3" t="s">
        <v>2055</v>
      </c>
      <c r="G200" s="3" t="s">
        <v>2056</v>
      </c>
      <c r="H200" s="3" t="s">
        <v>2057</v>
      </c>
      <c r="I200" s="3" t="s">
        <v>2058</v>
      </c>
      <c r="J200" s="3" t="s">
        <v>2059</v>
      </c>
      <c r="L200" s="3" t="s">
        <v>2038</v>
      </c>
      <c r="M200" s="3"/>
      <c r="N200" s="3" t="s">
        <v>1132</v>
      </c>
      <c r="O200" s="3" t="s">
        <v>919</v>
      </c>
      <c r="P200" s="3" t="s">
        <v>876</v>
      </c>
    </row>
    <row r="201" spans="1:16">
      <c r="A201" s="2">
        <v>5254097</v>
      </c>
      <c r="B201" s="3" t="s">
        <v>377</v>
      </c>
      <c r="C201" s="3" t="s">
        <v>1</v>
      </c>
      <c r="D201" s="3" t="s">
        <v>2</v>
      </c>
      <c r="E201" s="3" t="s">
        <v>374</v>
      </c>
      <c r="F201" s="3" t="s">
        <v>2060</v>
      </c>
      <c r="G201" s="3" t="s">
        <v>2061</v>
      </c>
      <c r="H201" s="3" t="s">
        <v>2062</v>
      </c>
      <c r="I201" s="3" t="s">
        <v>2063</v>
      </c>
      <c r="J201" s="3" t="s">
        <v>2064</v>
      </c>
      <c r="L201" s="3" t="s">
        <v>2038</v>
      </c>
      <c r="M201" s="3"/>
      <c r="N201" s="3" t="s">
        <v>1158</v>
      </c>
      <c r="O201" s="3" t="s">
        <v>919</v>
      </c>
      <c r="P201" s="3" t="s">
        <v>876</v>
      </c>
    </row>
    <row r="202" spans="1:16">
      <c r="A202" s="2">
        <v>5253097</v>
      </c>
      <c r="B202" s="3" t="s">
        <v>378</v>
      </c>
      <c r="C202" s="3" t="s">
        <v>1</v>
      </c>
      <c r="D202" s="3" t="s">
        <v>2</v>
      </c>
      <c r="E202" s="3" t="s">
        <v>289</v>
      </c>
      <c r="F202" s="3" t="s">
        <v>2065</v>
      </c>
      <c r="G202" s="3" t="s">
        <v>2066</v>
      </c>
      <c r="H202" s="3" t="s">
        <v>2067</v>
      </c>
      <c r="I202" s="3" t="s">
        <v>2068</v>
      </c>
      <c r="J202" s="3" t="s">
        <v>2069</v>
      </c>
      <c r="L202" s="3" t="s">
        <v>2070</v>
      </c>
      <c r="M202" s="3"/>
      <c r="N202" s="3" t="s">
        <v>2071</v>
      </c>
      <c r="O202" s="3" t="s">
        <v>919</v>
      </c>
      <c r="P202" s="3" t="s">
        <v>876</v>
      </c>
    </row>
    <row r="203" spans="1:16">
      <c r="A203" s="2">
        <v>5251097</v>
      </c>
      <c r="B203" s="3" t="s">
        <v>380</v>
      </c>
      <c r="C203" s="3" t="s">
        <v>1</v>
      </c>
      <c r="D203" s="3" t="s">
        <v>2</v>
      </c>
      <c r="E203" s="3" t="s">
        <v>374</v>
      </c>
      <c r="F203" s="3" t="s">
        <v>2072</v>
      </c>
      <c r="G203" s="3" t="s">
        <v>2073</v>
      </c>
      <c r="H203" s="3" t="s">
        <v>2074</v>
      </c>
      <c r="I203" s="3" t="s">
        <v>2075</v>
      </c>
      <c r="J203" s="3" t="s">
        <v>2076</v>
      </c>
      <c r="L203" s="3" t="s">
        <v>2038</v>
      </c>
      <c r="M203" s="3"/>
      <c r="N203" s="3" t="s">
        <v>994</v>
      </c>
      <c r="O203" s="3" t="s">
        <v>919</v>
      </c>
      <c r="P203" s="3" t="s">
        <v>876</v>
      </c>
    </row>
    <row r="204" spans="1:16">
      <c r="A204" s="2">
        <v>5250097</v>
      </c>
      <c r="B204" s="3" t="s">
        <v>382</v>
      </c>
      <c r="C204" s="3" t="s">
        <v>1</v>
      </c>
      <c r="D204" s="3" t="s">
        <v>2</v>
      </c>
      <c r="E204" s="3" t="s">
        <v>198</v>
      </c>
      <c r="F204" s="3" t="s">
        <v>2077</v>
      </c>
      <c r="G204" s="3" t="s">
        <v>2078</v>
      </c>
      <c r="H204" s="3" t="s">
        <v>2079</v>
      </c>
      <c r="I204" s="3" t="s">
        <v>2080</v>
      </c>
      <c r="J204" s="3" t="s">
        <v>2081</v>
      </c>
      <c r="L204" s="3" t="s">
        <v>2082</v>
      </c>
      <c r="M204" s="3"/>
      <c r="N204" s="3" t="s">
        <v>905</v>
      </c>
      <c r="O204" s="3" t="s">
        <v>875</v>
      </c>
      <c r="P204" s="3" t="s">
        <v>876</v>
      </c>
    </row>
    <row r="205" spans="1:16">
      <c r="A205" s="2">
        <v>5249097</v>
      </c>
      <c r="B205" s="3" t="s">
        <v>383</v>
      </c>
      <c r="C205" s="3" t="s">
        <v>1</v>
      </c>
      <c r="D205" s="3" t="s">
        <v>2</v>
      </c>
      <c r="E205" s="3" t="s">
        <v>384</v>
      </c>
      <c r="F205" s="3" t="s">
        <v>2083</v>
      </c>
      <c r="G205" s="3" t="s">
        <v>2084</v>
      </c>
      <c r="H205" s="3" t="s">
        <v>2085</v>
      </c>
      <c r="I205" s="3" t="s">
        <v>2086</v>
      </c>
      <c r="J205" s="3" t="s">
        <v>2087</v>
      </c>
      <c r="L205" s="3" t="s">
        <v>2088</v>
      </c>
      <c r="M205" s="3"/>
      <c r="N205" s="3" t="s">
        <v>918</v>
      </c>
      <c r="O205" s="3" t="s">
        <v>919</v>
      </c>
      <c r="P205" s="3" t="s">
        <v>876</v>
      </c>
    </row>
    <row r="206" spans="1:16">
      <c r="A206" s="2">
        <v>5244097</v>
      </c>
      <c r="B206" s="3" t="s">
        <v>386</v>
      </c>
      <c r="C206" s="3" t="s">
        <v>1</v>
      </c>
      <c r="D206" s="3" t="s">
        <v>76</v>
      </c>
      <c r="E206" s="3" t="s">
        <v>306</v>
      </c>
      <c r="F206" s="3" t="s">
        <v>2089</v>
      </c>
      <c r="G206" s="3" t="s">
        <v>2090</v>
      </c>
      <c r="H206" s="3" t="s">
        <v>2091</v>
      </c>
      <c r="I206" s="3" t="s">
        <v>2092</v>
      </c>
      <c r="J206" s="3" t="s">
        <v>2093</v>
      </c>
      <c r="L206" s="3" t="s">
        <v>1805</v>
      </c>
      <c r="M206" s="3"/>
      <c r="N206" s="3" t="s">
        <v>1177</v>
      </c>
      <c r="O206" s="3" t="s">
        <v>1097</v>
      </c>
      <c r="P206" s="3" t="s">
        <v>876</v>
      </c>
    </row>
    <row r="207" spans="1:16">
      <c r="A207" s="2">
        <v>5241097</v>
      </c>
      <c r="B207" s="3" t="s">
        <v>387</v>
      </c>
      <c r="C207" s="3" t="s">
        <v>1</v>
      </c>
      <c r="D207" s="3" t="s">
        <v>2</v>
      </c>
      <c r="E207" s="3" t="s">
        <v>388</v>
      </c>
      <c r="F207" s="3" t="s">
        <v>2094</v>
      </c>
      <c r="G207" s="3" t="s">
        <v>2095</v>
      </c>
      <c r="H207" s="3" t="s">
        <v>2096</v>
      </c>
      <c r="I207" s="3" t="s">
        <v>2097</v>
      </c>
      <c r="J207" s="3" t="s">
        <v>2098</v>
      </c>
      <c r="L207" s="3" t="s">
        <v>2099</v>
      </c>
      <c r="M207" s="3"/>
      <c r="N207" s="3" t="s">
        <v>1672</v>
      </c>
      <c r="O207" s="3" t="s">
        <v>1097</v>
      </c>
      <c r="P207" s="3" t="s">
        <v>876</v>
      </c>
    </row>
    <row r="208" spans="1:16">
      <c r="A208" s="2">
        <v>5238097</v>
      </c>
      <c r="B208" s="3" t="s">
        <v>389</v>
      </c>
      <c r="C208" s="3" t="s">
        <v>1</v>
      </c>
      <c r="D208" s="3" t="s">
        <v>7</v>
      </c>
      <c r="E208" s="3" t="s">
        <v>370</v>
      </c>
      <c r="F208" s="3" t="s">
        <v>2100</v>
      </c>
      <c r="G208" s="3" t="s">
        <v>2101</v>
      </c>
      <c r="H208" s="3" t="s">
        <v>2102</v>
      </c>
      <c r="I208" s="3" t="s">
        <v>2103</v>
      </c>
      <c r="J208" s="3" t="s">
        <v>2104</v>
      </c>
      <c r="L208" s="3" t="s">
        <v>2038</v>
      </c>
      <c r="M208" s="3"/>
      <c r="N208" s="3" t="s">
        <v>1205</v>
      </c>
      <c r="O208" s="3" t="s">
        <v>919</v>
      </c>
      <c r="P208" s="3" t="s">
        <v>876</v>
      </c>
    </row>
    <row r="209" spans="1:16">
      <c r="A209" s="2">
        <v>5236097</v>
      </c>
      <c r="B209" s="3" t="s">
        <v>390</v>
      </c>
      <c r="C209" s="3" t="s">
        <v>1</v>
      </c>
      <c r="D209" s="3" t="s">
        <v>2</v>
      </c>
      <c r="E209" s="3" t="s">
        <v>391</v>
      </c>
      <c r="F209" s="3" t="s">
        <v>2105</v>
      </c>
      <c r="G209" s="3" t="s">
        <v>2106</v>
      </c>
      <c r="H209" s="3" t="s">
        <v>2107</v>
      </c>
      <c r="I209" s="3" t="s">
        <v>2108</v>
      </c>
      <c r="J209" s="3" t="s">
        <v>2109</v>
      </c>
      <c r="L209" s="3" t="s">
        <v>2110</v>
      </c>
      <c r="M209" s="3"/>
      <c r="N209" s="3" t="s">
        <v>2111</v>
      </c>
      <c r="O209" s="3" t="s">
        <v>919</v>
      </c>
      <c r="P209" s="3" t="s">
        <v>876</v>
      </c>
    </row>
    <row r="210" spans="1:16">
      <c r="A210" s="2">
        <v>5235097</v>
      </c>
      <c r="B210" s="3" t="s">
        <v>393</v>
      </c>
      <c r="C210" s="3" t="s">
        <v>1</v>
      </c>
      <c r="D210" s="3" t="s">
        <v>2</v>
      </c>
      <c r="E210" s="3" t="s">
        <v>394</v>
      </c>
      <c r="F210" s="3" t="s">
        <v>2112</v>
      </c>
      <c r="G210" s="3" t="s">
        <v>2113</v>
      </c>
      <c r="H210" s="3" t="s">
        <v>2114</v>
      </c>
      <c r="I210" s="3" t="s">
        <v>2115</v>
      </c>
      <c r="J210" s="3" t="s">
        <v>2116</v>
      </c>
      <c r="L210" s="3" t="s">
        <v>2117</v>
      </c>
      <c r="M210" s="3"/>
      <c r="N210" s="3" t="s">
        <v>1863</v>
      </c>
      <c r="O210" s="3" t="s">
        <v>919</v>
      </c>
      <c r="P210" s="3" t="s">
        <v>876</v>
      </c>
    </row>
    <row r="211" spans="1:16">
      <c r="A211" s="2">
        <v>5234097</v>
      </c>
      <c r="B211" s="3" t="s">
        <v>395</v>
      </c>
      <c r="C211" s="3" t="s">
        <v>1</v>
      </c>
      <c r="D211" s="3" t="s">
        <v>2</v>
      </c>
      <c r="E211" s="3" t="s">
        <v>396</v>
      </c>
      <c r="F211" s="3" t="s">
        <v>2118</v>
      </c>
      <c r="G211" s="3" t="s">
        <v>2119</v>
      </c>
      <c r="H211" s="3" t="s">
        <v>2120</v>
      </c>
      <c r="I211" s="3" t="s">
        <v>2121</v>
      </c>
      <c r="J211" s="3" t="s">
        <v>2122</v>
      </c>
      <c r="L211" s="3" t="s">
        <v>2123</v>
      </c>
      <c r="M211" s="3"/>
      <c r="N211" s="3" t="s">
        <v>925</v>
      </c>
      <c r="O211" s="3" t="s">
        <v>919</v>
      </c>
      <c r="P211" s="3" t="s">
        <v>876</v>
      </c>
    </row>
    <row r="212" spans="1:16">
      <c r="A212" s="2">
        <v>5233097</v>
      </c>
      <c r="B212" s="3" t="s">
        <v>397</v>
      </c>
      <c r="C212" s="3" t="s">
        <v>1</v>
      </c>
      <c r="D212" s="3" t="s">
        <v>2</v>
      </c>
      <c r="E212" s="3" t="s">
        <v>396</v>
      </c>
      <c r="F212" s="3" t="s">
        <v>2124</v>
      </c>
      <c r="G212" s="3" t="s">
        <v>2125</v>
      </c>
      <c r="H212" s="3" t="s">
        <v>2126</v>
      </c>
      <c r="I212" s="3" t="s">
        <v>2127</v>
      </c>
      <c r="J212" s="3" t="s">
        <v>2128</v>
      </c>
      <c r="L212" s="3" t="s">
        <v>2123</v>
      </c>
      <c r="M212" s="3"/>
      <c r="N212" s="3" t="s">
        <v>1342</v>
      </c>
      <c r="O212" s="3" t="s">
        <v>919</v>
      </c>
      <c r="P212" s="3" t="s">
        <v>876</v>
      </c>
    </row>
    <row r="213" spans="1:16">
      <c r="A213" s="2">
        <v>5232097</v>
      </c>
      <c r="B213" s="3" t="s">
        <v>398</v>
      </c>
      <c r="C213" s="3" t="s">
        <v>1</v>
      </c>
      <c r="D213" s="3" t="s">
        <v>2</v>
      </c>
      <c r="E213" s="3" t="s">
        <v>366</v>
      </c>
      <c r="F213" s="3" t="s">
        <v>2129</v>
      </c>
      <c r="G213" s="3" t="s">
        <v>2130</v>
      </c>
      <c r="H213" s="3" t="s">
        <v>2131</v>
      </c>
      <c r="I213" s="3" t="s">
        <v>2132</v>
      </c>
      <c r="J213" s="3" t="s">
        <v>2133</v>
      </c>
      <c r="L213" s="3" t="s">
        <v>2134</v>
      </c>
      <c r="M213" s="3"/>
      <c r="N213" s="3" t="s">
        <v>905</v>
      </c>
      <c r="O213" s="3" t="s">
        <v>919</v>
      </c>
      <c r="P213" s="3" t="s">
        <v>876</v>
      </c>
    </row>
    <row r="214" spans="1:16">
      <c r="A214" s="2">
        <v>5226097</v>
      </c>
      <c r="B214" s="3" t="s">
        <v>399</v>
      </c>
      <c r="C214" s="3" t="s">
        <v>1</v>
      </c>
      <c r="D214" s="3" t="s">
        <v>2</v>
      </c>
      <c r="E214" s="3" t="s">
        <v>400</v>
      </c>
      <c r="F214" s="3" t="s">
        <v>2135</v>
      </c>
      <c r="G214" s="3" t="s">
        <v>2136</v>
      </c>
      <c r="H214" s="3" t="s">
        <v>2137</v>
      </c>
      <c r="I214" s="3" t="s">
        <v>2138</v>
      </c>
      <c r="J214" s="3" t="s">
        <v>2139</v>
      </c>
      <c r="L214" s="3" t="s">
        <v>2140</v>
      </c>
      <c r="M214" s="3"/>
      <c r="N214" s="3" t="s">
        <v>1089</v>
      </c>
      <c r="O214" s="3" t="s">
        <v>919</v>
      </c>
      <c r="P214" s="3" t="s">
        <v>876</v>
      </c>
    </row>
    <row r="215" spans="1:16">
      <c r="A215" s="2">
        <v>5223097</v>
      </c>
      <c r="B215" s="3" t="s">
        <v>401</v>
      </c>
      <c r="C215" s="3" t="s">
        <v>1</v>
      </c>
      <c r="D215" s="3" t="s">
        <v>2</v>
      </c>
      <c r="E215" s="3" t="s">
        <v>370</v>
      </c>
      <c r="F215" s="3" t="s">
        <v>2141</v>
      </c>
      <c r="G215" s="3" t="s">
        <v>2142</v>
      </c>
      <c r="H215" s="3" t="s">
        <v>2143</v>
      </c>
      <c r="I215" s="3" t="s">
        <v>2144</v>
      </c>
      <c r="J215" s="3" t="s">
        <v>2145</v>
      </c>
      <c r="L215" s="3" t="s">
        <v>2038</v>
      </c>
      <c r="M215" s="3"/>
      <c r="N215" s="3" t="s">
        <v>1268</v>
      </c>
      <c r="O215" s="3" t="s">
        <v>919</v>
      </c>
      <c r="P215" s="3" t="s">
        <v>876</v>
      </c>
    </row>
    <row r="216" spans="1:16">
      <c r="A216" s="2">
        <v>5221097</v>
      </c>
      <c r="B216" s="3" t="s">
        <v>402</v>
      </c>
      <c r="C216" s="3" t="s">
        <v>1</v>
      </c>
      <c r="D216" s="3" t="s">
        <v>2</v>
      </c>
      <c r="E216" s="3" t="s">
        <v>403</v>
      </c>
      <c r="F216" s="3" t="s">
        <v>2146</v>
      </c>
      <c r="G216" s="3" t="s">
        <v>2147</v>
      </c>
      <c r="H216" s="3" t="s">
        <v>2148</v>
      </c>
      <c r="I216" s="3" t="s">
        <v>2149</v>
      </c>
      <c r="J216" s="3" t="s">
        <v>2150</v>
      </c>
      <c r="L216" s="3" t="s">
        <v>2151</v>
      </c>
      <c r="M216" s="3"/>
      <c r="N216" s="3" t="s">
        <v>1268</v>
      </c>
      <c r="O216" s="3" t="s">
        <v>875</v>
      </c>
      <c r="P216" s="3" t="s">
        <v>876</v>
      </c>
    </row>
    <row r="217" spans="1:16">
      <c r="A217" s="2">
        <v>5218097</v>
      </c>
      <c r="B217" s="3" t="s">
        <v>404</v>
      </c>
      <c r="C217" s="3" t="s">
        <v>1</v>
      </c>
      <c r="D217" s="3" t="s">
        <v>2</v>
      </c>
      <c r="E217" s="3" t="s">
        <v>405</v>
      </c>
      <c r="F217" s="3" t="s">
        <v>2152</v>
      </c>
      <c r="G217" s="3" t="s">
        <v>2153</v>
      </c>
      <c r="H217" s="3" t="s">
        <v>2154</v>
      </c>
      <c r="I217" s="3" t="s">
        <v>2155</v>
      </c>
      <c r="J217" s="3" t="s">
        <v>2156</v>
      </c>
      <c r="L217" s="3" t="s">
        <v>2157</v>
      </c>
      <c r="M217" s="3"/>
      <c r="N217" s="3" t="s">
        <v>1235</v>
      </c>
      <c r="O217" s="3" t="s">
        <v>1097</v>
      </c>
      <c r="P217" s="3" t="s">
        <v>876</v>
      </c>
    </row>
    <row r="218" spans="1:16">
      <c r="A218" s="2">
        <v>5217097</v>
      </c>
      <c r="B218" s="3" t="s">
        <v>406</v>
      </c>
      <c r="C218" s="3" t="s">
        <v>1</v>
      </c>
      <c r="D218" s="3" t="s">
        <v>2</v>
      </c>
      <c r="E218" s="3" t="s">
        <v>405</v>
      </c>
      <c r="F218" s="3" t="s">
        <v>2158</v>
      </c>
      <c r="G218" s="3" t="s">
        <v>2159</v>
      </c>
      <c r="H218" s="3" t="s">
        <v>2160</v>
      </c>
      <c r="I218" s="3" t="s">
        <v>2161</v>
      </c>
      <c r="J218" s="3" t="s">
        <v>2162</v>
      </c>
      <c r="L218" s="3" t="s">
        <v>2157</v>
      </c>
      <c r="M218" s="3"/>
      <c r="N218" s="3" t="s">
        <v>1443</v>
      </c>
      <c r="O218" s="3" t="s">
        <v>1097</v>
      </c>
      <c r="P218" s="3" t="s">
        <v>876</v>
      </c>
    </row>
    <row r="219" spans="1:16">
      <c r="A219" s="2">
        <v>5216097</v>
      </c>
      <c r="B219" s="3" t="s">
        <v>407</v>
      </c>
      <c r="C219" s="3" t="s">
        <v>1</v>
      </c>
      <c r="D219" s="3" t="s">
        <v>2</v>
      </c>
      <c r="E219" s="3" t="s">
        <v>408</v>
      </c>
      <c r="F219" s="3" t="s">
        <v>2163</v>
      </c>
      <c r="G219" s="3" t="s">
        <v>2164</v>
      </c>
      <c r="H219" s="3" t="s">
        <v>2165</v>
      </c>
      <c r="I219" s="3" t="s">
        <v>2166</v>
      </c>
      <c r="J219" s="3" t="s">
        <v>2167</v>
      </c>
      <c r="L219" s="3" t="s">
        <v>2168</v>
      </c>
      <c r="M219" s="3"/>
      <c r="N219" s="3" t="s">
        <v>1138</v>
      </c>
      <c r="O219" s="3" t="s">
        <v>919</v>
      </c>
      <c r="P219" s="3" t="s">
        <v>876</v>
      </c>
    </row>
    <row r="220" spans="1:16">
      <c r="A220" s="2">
        <v>5215097</v>
      </c>
      <c r="B220" s="3" t="s">
        <v>411</v>
      </c>
      <c r="C220" s="3" t="s">
        <v>1</v>
      </c>
      <c r="D220" s="3" t="s">
        <v>2</v>
      </c>
      <c r="E220" s="3" t="s">
        <v>412</v>
      </c>
      <c r="F220" s="3" t="s">
        <v>2169</v>
      </c>
      <c r="G220" s="3" t="s">
        <v>2170</v>
      </c>
      <c r="H220" s="3" t="s">
        <v>2171</v>
      </c>
      <c r="I220" s="3" t="s">
        <v>2172</v>
      </c>
      <c r="J220" s="3" t="s">
        <v>2173</v>
      </c>
      <c r="L220" s="3" t="s">
        <v>2174</v>
      </c>
      <c r="M220" s="3"/>
      <c r="N220" s="3" t="s">
        <v>1151</v>
      </c>
      <c r="O220" s="3" t="s">
        <v>919</v>
      </c>
      <c r="P220" s="3" t="s">
        <v>876</v>
      </c>
    </row>
    <row r="221" spans="1:16">
      <c r="A221" s="2">
        <v>5214097</v>
      </c>
      <c r="B221" s="3" t="s">
        <v>414</v>
      </c>
      <c r="C221" s="3" t="s">
        <v>1</v>
      </c>
      <c r="D221" s="3" t="s">
        <v>2</v>
      </c>
      <c r="E221" s="3" t="s">
        <v>415</v>
      </c>
      <c r="F221" s="3" t="s">
        <v>2175</v>
      </c>
      <c r="G221" s="3" t="s">
        <v>2176</v>
      </c>
      <c r="H221" s="3" t="s">
        <v>2177</v>
      </c>
      <c r="I221" s="3" t="s">
        <v>2178</v>
      </c>
      <c r="J221" s="3" t="s">
        <v>2179</v>
      </c>
      <c r="L221" s="3" t="s">
        <v>2180</v>
      </c>
      <c r="M221" s="3"/>
      <c r="N221" s="3" t="s">
        <v>1672</v>
      </c>
      <c r="O221" s="3" t="s">
        <v>1097</v>
      </c>
      <c r="P221" s="3" t="s">
        <v>876</v>
      </c>
    </row>
    <row r="222" spans="1:16">
      <c r="A222" s="2">
        <v>5213097</v>
      </c>
      <c r="B222" s="3" t="s">
        <v>416</v>
      </c>
      <c r="C222" s="3" t="s">
        <v>1</v>
      </c>
      <c r="D222" s="3" t="s">
        <v>2</v>
      </c>
      <c r="E222" s="3" t="s">
        <v>415</v>
      </c>
      <c r="F222" s="3" t="s">
        <v>2181</v>
      </c>
      <c r="G222" s="3" t="s">
        <v>2182</v>
      </c>
      <c r="H222" s="3" t="s">
        <v>2183</v>
      </c>
      <c r="I222" s="3" t="s">
        <v>2184</v>
      </c>
      <c r="J222" s="3" t="s">
        <v>2185</v>
      </c>
      <c r="L222" s="3" t="s">
        <v>2180</v>
      </c>
      <c r="M222" s="3"/>
      <c r="N222" s="3" t="s">
        <v>1305</v>
      </c>
      <c r="O222" s="3" t="s">
        <v>1097</v>
      </c>
      <c r="P222" s="3" t="s">
        <v>876</v>
      </c>
    </row>
    <row r="223" spans="1:16">
      <c r="A223" s="2">
        <v>5212097</v>
      </c>
      <c r="B223" s="3" t="s">
        <v>417</v>
      </c>
      <c r="C223" s="3" t="s">
        <v>1</v>
      </c>
      <c r="D223" s="3" t="s">
        <v>2</v>
      </c>
      <c r="E223" s="3" t="s">
        <v>418</v>
      </c>
      <c r="F223" s="3" t="s">
        <v>2186</v>
      </c>
      <c r="G223" s="3" t="s">
        <v>2187</v>
      </c>
      <c r="H223" s="3" t="s">
        <v>2188</v>
      </c>
      <c r="I223" s="3" t="s">
        <v>2189</v>
      </c>
      <c r="J223" s="3" t="s">
        <v>2190</v>
      </c>
      <c r="L223" s="3" t="s">
        <v>2191</v>
      </c>
      <c r="M223" s="3"/>
      <c r="N223" s="3" t="s">
        <v>1268</v>
      </c>
      <c r="O223" s="3" t="s">
        <v>1097</v>
      </c>
      <c r="P223" s="3" t="s">
        <v>876</v>
      </c>
    </row>
    <row r="224" spans="1:16">
      <c r="A224" s="2">
        <v>5211097</v>
      </c>
      <c r="B224" s="3" t="s">
        <v>419</v>
      </c>
      <c r="C224" s="3" t="s">
        <v>1</v>
      </c>
      <c r="D224" s="3" t="s">
        <v>2</v>
      </c>
      <c r="E224" s="3" t="s">
        <v>420</v>
      </c>
      <c r="F224" s="3" t="s">
        <v>2192</v>
      </c>
      <c r="G224" s="3" t="s">
        <v>2193</v>
      </c>
      <c r="H224" s="3" t="s">
        <v>2194</v>
      </c>
      <c r="I224" s="3" t="s">
        <v>2195</v>
      </c>
      <c r="J224" s="3" t="s">
        <v>2196</v>
      </c>
      <c r="L224" s="3" t="s">
        <v>2197</v>
      </c>
      <c r="M224" s="3"/>
      <c r="N224" s="3" t="s">
        <v>1443</v>
      </c>
      <c r="O224" s="3" t="s">
        <v>1097</v>
      </c>
      <c r="P224" s="3" t="s">
        <v>876</v>
      </c>
    </row>
    <row r="225" spans="1:16">
      <c r="A225" s="2">
        <v>5210097</v>
      </c>
      <c r="B225" s="3" t="s">
        <v>421</v>
      </c>
      <c r="C225" s="3" t="s">
        <v>1</v>
      </c>
      <c r="D225" s="3" t="s">
        <v>2</v>
      </c>
      <c r="E225" s="3" t="s">
        <v>422</v>
      </c>
      <c r="F225" s="3" t="s">
        <v>2198</v>
      </c>
      <c r="G225" s="3" t="s">
        <v>2199</v>
      </c>
      <c r="H225" s="3" t="s">
        <v>2200</v>
      </c>
      <c r="I225" s="3" t="s">
        <v>2201</v>
      </c>
      <c r="J225" s="3" t="s">
        <v>2202</v>
      </c>
      <c r="L225" s="3" t="s">
        <v>2203</v>
      </c>
      <c r="M225" s="3"/>
      <c r="N225" s="3" t="s">
        <v>1235</v>
      </c>
      <c r="O225" s="3" t="s">
        <v>1097</v>
      </c>
      <c r="P225" s="3" t="s">
        <v>876</v>
      </c>
    </row>
    <row r="226" spans="1:16">
      <c r="A226" s="2">
        <v>5209097</v>
      </c>
      <c r="B226" s="3" t="s">
        <v>423</v>
      </c>
      <c r="C226" s="3" t="s">
        <v>1</v>
      </c>
      <c r="D226" s="3" t="s">
        <v>2</v>
      </c>
      <c r="E226" s="3" t="s">
        <v>93</v>
      </c>
      <c r="F226" s="3" t="s">
        <v>2204</v>
      </c>
      <c r="G226" s="3" t="s">
        <v>2205</v>
      </c>
      <c r="H226" s="3" t="s">
        <v>2206</v>
      </c>
      <c r="I226" s="3" t="s">
        <v>2207</v>
      </c>
      <c r="J226" s="3" t="s">
        <v>2208</v>
      </c>
      <c r="L226" s="3" t="s">
        <v>2209</v>
      </c>
      <c r="M226" s="3"/>
      <c r="N226" s="3" t="s">
        <v>2210</v>
      </c>
      <c r="O226" s="3" t="s">
        <v>919</v>
      </c>
      <c r="P226" s="3" t="s">
        <v>876</v>
      </c>
    </row>
    <row r="227" spans="1:16">
      <c r="A227" s="2">
        <v>5208097</v>
      </c>
      <c r="B227" s="3" t="s">
        <v>424</v>
      </c>
      <c r="C227" s="3" t="s">
        <v>1</v>
      </c>
      <c r="D227" s="3" t="s">
        <v>2</v>
      </c>
      <c r="E227" s="3" t="s">
        <v>374</v>
      </c>
      <c r="F227" s="3" t="s">
        <v>2211</v>
      </c>
      <c r="G227" s="3" t="s">
        <v>2212</v>
      </c>
      <c r="H227" s="3" t="s">
        <v>2213</v>
      </c>
      <c r="I227" s="3" t="s">
        <v>2214</v>
      </c>
      <c r="J227" s="3" t="s">
        <v>2215</v>
      </c>
      <c r="L227" s="3" t="s">
        <v>2038</v>
      </c>
      <c r="M227" s="3"/>
      <c r="N227" s="3" t="s">
        <v>1672</v>
      </c>
      <c r="O227" s="3" t="s">
        <v>919</v>
      </c>
      <c r="P227" s="3" t="s">
        <v>876</v>
      </c>
    </row>
    <row r="228" spans="1:16">
      <c r="A228" s="2">
        <v>5206097</v>
      </c>
      <c r="B228" s="3" t="s">
        <v>426</v>
      </c>
      <c r="C228" s="3" t="s">
        <v>1</v>
      </c>
      <c r="D228" s="3" t="s">
        <v>2</v>
      </c>
      <c r="E228" s="3" t="s">
        <v>427</v>
      </c>
      <c r="F228" s="3" t="s">
        <v>2216</v>
      </c>
      <c r="G228" s="3" t="s">
        <v>2217</v>
      </c>
      <c r="H228" s="3" t="s">
        <v>2218</v>
      </c>
      <c r="I228" s="3" t="s">
        <v>2219</v>
      </c>
      <c r="J228" s="3" t="s">
        <v>2220</v>
      </c>
      <c r="L228" s="3" t="s">
        <v>2221</v>
      </c>
      <c r="M228" s="3"/>
      <c r="N228" s="3" t="s">
        <v>905</v>
      </c>
      <c r="O228" s="3" t="s">
        <v>919</v>
      </c>
      <c r="P228" s="3" t="s">
        <v>876</v>
      </c>
    </row>
    <row r="229" spans="1:16">
      <c r="A229" s="2">
        <v>5200097</v>
      </c>
      <c r="B229" s="3" t="s">
        <v>428</v>
      </c>
      <c r="C229" s="3" t="s">
        <v>1</v>
      </c>
      <c r="D229" s="3" t="s">
        <v>2</v>
      </c>
      <c r="E229" s="3" t="s">
        <v>429</v>
      </c>
      <c r="F229" s="3" t="s">
        <v>2222</v>
      </c>
      <c r="G229" s="3" t="s">
        <v>2223</v>
      </c>
      <c r="H229" s="3" t="s">
        <v>2224</v>
      </c>
      <c r="I229" s="3" t="s">
        <v>2225</v>
      </c>
      <c r="J229" s="3" t="s">
        <v>2226</v>
      </c>
      <c r="L229" s="3" t="s">
        <v>2227</v>
      </c>
      <c r="M229" s="3"/>
      <c r="N229" s="3" t="s">
        <v>1138</v>
      </c>
      <c r="O229" s="3" t="s">
        <v>919</v>
      </c>
      <c r="P229" s="3" t="s">
        <v>876</v>
      </c>
    </row>
    <row r="230" spans="1:16">
      <c r="A230" s="2">
        <v>5199097</v>
      </c>
      <c r="B230" s="3" t="s">
        <v>431</v>
      </c>
      <c r="C230" s="3" t="s">
        <v>1</v>
      </c>
      <c r="D230" s="3" t="s">
        <v>2</v>
      </c>
      <c r="E230" s="3" t="s">
        <v>432</v>
      </c>
      <c r="F230" s="3" t="s">
        <v>2228</v>
      </c>
      <c r="G230" s="3" t="s">
        <v>2229</v>
      </c>
      <c r="H230" s="3" t="s">
        <v>2230</v>
      </c>
      <c r="I230" s="3" t="s">
        <v>2231</v>
      </c>
      <c r="J230" s="3" t="s">
        <v>2232</v>
      </c>
      <c r="L230" s="3" t="s">
        <v>2233</v>
      </c>
      <c r="M230" s="3"/>
      <c r="N230" s="3" t="s">
        <v>994</v>
      </c>
      <c r="O230" s="3" t="s">
        <v>919</v>
      </c>
      <c r="P230" s="3" t="s">
        <v>876</v>
      </c>
    </row>
    <row r="231" spans="1:16">
      <c r="A231" s="2">
        <v>5198097</v>
      </c>
      <c r="B231" s="3" t="s">
        <v>433</v>
      </c>
      <c r="C231" s="3" t="s">
        <v>1</v>
      </c>
      <c r="D231" s="3" t="s">
        <v>76</v>
      </c>
      <c r="E231" s="3" t="s">
        <v>262</v>
      </c>
      <c r="F231" s="3" t="s">
        <v>2234</v>
      </c>
      <c r="G231" s="3" t="s">
        <v>2235</v>
      </c>
      <c r="H231" s="3" t="s">
        <v>2236</v>
      </c>
      <c r="I231" s="3" t="s">
        <v>2237</v>
      </c>
      <c r="J231" s="3" t="s">
        <v>2238</v>
      </c>
      <c r="L231" s="3" t="s">
        <v>1274</v>
      </c>
      <c r="M231" s="3"/>
      <c r="N231" s="3" t="s">
        <v>1305</v>
      </c>
      <c r="O231" s="3" t="s">
        <v>1097</v>
      </c>
      <c r="P231" s="3" t="s">
        <v>876</v>
      </c>
    </row>
    <row r="232" spans="1:16">
      <c r="A232" s="2">
        <v>5194097</v>
      </c>
      <c r="B232" s="3" t="s">
        <v>434</v>
      </c>
      <c r="C232" s="3" t="s">
        <v>1</v>
      </c>
      <c r="D232" s="3" t="s">
        <v>2</v>
      </c>
      <c r="E232" s="3" t="s">
        <v>435</v>
      </c>
      <c r="F232" s="3" t="s">
        <v>2239</v>
      </c>
      <c r="G232" s="3" t="s">
        <v>2240</v>
      </c>
      <c r="H232" s="3" t="s">
        <v>2241</v>
      </c>
      <c r="I232" s="3" t="s">
        <v>2242</v>
      </c>
      <c r="J232" s="3" t="s">
        <v>2243</v>
      </c>
      <c r="L232" s="3" t="s">
        <v>2244</v>
      </c>
      <c r="M232" s="3"/>
      <c r="N232" s="3" t="s">
        <v>1177</v>
      </c>
      <c r="O232" s="3" t="s">
        <v>919</v>
      </c>
      <c r="P232" s="3" t="s">
        <v>876</v>
      </c>
    </row>
    <row r="233" spans="1:16">
      <c r="A233" s="2">
        <v>5193097</v>
      </c>
      <c r="B233" s="3" t="s">
        <v>436</v>
      </c>
      <c r="C233" s="3" t="s">
        <v>1</v>
      </c>
      <c r="D233" s="3" t="s">
        <v>2</v>
      </c>
      <c r="E233" s="3" t="s">
        <v>437</v>
      </c>
      <c r="F233" s="3" t="s">
        <v>2245</v>
      </c>
      <c r="G233" s="3" t="s">
        <v>2246</v>
      </c>
      <c r="H233" s="3" t="s">
        <v>2247</v>
      </c>
      <c r="I233" s="3" t="s">
        <v>2248</v>
      </c>
      <c r="J233" s="3" t="s">
        <v>2249</v>
      </c>
      <c r="L233" s="3" t="s">
        <v>2250</v>
      </c>
      <c r="M233" s="3"/>
      <c r="N233" s="3" t="s">
        <v>966</v>
      </c>
      <c r="O233" s="3" t="s">
        <v>919</v>
      </c>
      <c r="P233" s="3" t="s">
        <v>876</v>
      </c>
    </row>
    <row r="234" spans="1:16">
      <c r="A234" s="2">
        <v>5192097</v>
      </c>
      <c r="B234" s="3" t="s">
        <v>438</v>
      </c>
      <c r="C234" s="3" t="s">
        <v>1</v>
      </c>
      <c r="D234" s="3" t="s">
        <v>2</v>
      </c>
      <c r="E234" s="3" t="s">
        <v>62</v>
      </c>
      <c r="F234" s="3" t="s">
        <v>2251</v>
      </c>
      <c r="G234" s="3" t="s">
        <v>2252</v>
      </c>
      <c r="H234" s="3" t="s">
        <v>2253</v>
      </c>
      <c r="I234" s="3" t="s">
        <v>2254</v>
      </c>
      <c r="J234" s="3" t="s">
        <v>2255</v>
      </c>
      <c r="L234" s="3" t="s">
        <v>2256</v>
      </c>
      <c r="M234" s="3"/>
      <c r="N234" s="3" t="s">
        <v>898</v>
      </c>
      <c r="O234" s="3" t="s">
        <v>919</v>
      </c>
      <c r="P234" s="3" t="s">
        <v>876</v>
      </c>
    </row>
    <row r="235" spans="1:16">
      <c r="A235" s="2">
        <v>5191097</v>
      </c>
      <c r="B235" s="3" t="s">
        <v>439</v>
      </c>
      <c r="C235" s="3" t="s">
        <v>1</v>
      </c>
      <c r="D235" s="3" t="s">
        <v>2</v>
      </c>
      <c r="E235" s="3" t="s">
        <v>440</v>
      </c>
      <c r="F235" s="3" t="s">
        <v>2257</v>
      </c>
      <c r="G235" s="3" t="s">
        <v>2258</v>
      </c>
      <c r="H235" s="3" t="s">
        <v>2259</v>
      </c>
      <c r="I235" s="3" t="s">
        <v>2260</v>
      </c>
      <c r="J235" s="3" t="s">
        <v>2261</v>
      </c>
      <c r="L235" s="3" t="s">
        <v>2262</v>
      </c>
      <c r="M235" s="3"/>
      <c r="N235" s="3" t="s">
        <v>1235</v>
      </c>
      <c r="O235" s="3" t="s">
        <v>919</v>
      </c>
      <c r="P235" s="3" t="s">
        <v>876</v>
      </c>
    </row>
    <row r="236" spans="1:16">
      <c r="A236" s="2">
        <v>5181097</v>
      </c>
      <c r="B236" s="3" t="s">
        <v>441</v>
      </c>
      <c r="C236" s="3" t="s">
        <v>1</v>
      </c>
      <c r="D236" s="3" t="s">
        <v>7</v>
      </c>
      <c r="E236" s="3" t="s">
        <v>400</v>
      </c>
      <c r="F236" s="3" t="s">
        <v>2263</v>
      </c>
      <c r="G236" s="3" t="s">
        <v>2264</v>
      </c>
      <c r="H236" s="3" t="s">
        <v>2265</v>
      </c>
      <c r="I236" s="3" t="s">
        <v>2266</v>
      </c>
      <c r="J236" s="3" t="s">
        <v>2267</v>
      </c>
      <c r="L236" s="3" t="s">
        <v>2140</v>
      </c>
      <c r="M236" s="3"/>
      <c r="N236" s="3" t="s">
        <v>1096</v>
      </c>
      <c r="O236" s="3" t="s">
        <v>919</v>
      </c>
      <c r="P236" s="3" t="s">
        <v>876</v>
      </c>
    </row>
    <row r="237" spans="1:16">
      <c r="A237" s="2">
        <v>5176097</v>
      </c>
      <c r="B237" s="3" t="s">
        <v>442</v>
      </c>
      <c r="C237" s="3" t="s">
        <v>1</v>
      </c>
      <c r="D237" s="3" t="s">
        <v>2</v>
      </c>
      <c r="E237" s="3" t="s">
        <v>443</v>
      </c>
      <c r="F237" s="3" t="s">
        <v>2268</v>
      </c>
      <c r="G237" s="3" t="s">
        <v>2269</v>
      </c>
      <c r="H237" s="3" t="s">
        <v>2270</v>
      </c>
      <c r="I237" s="3" t="s">
        <v>2271</v>
      </c>
      <c r="J237" s="3" t="s">
        <v>2272</v>
      </c>
      <c r="L237" s="3" t="s">
        <v>2273</v>
      </c>
      <c r="M237" s="3"/>
      <c r="N237" s="3" t="s">
        <v>1268</v>
      </c>
      <c r="O237" s="3" t="s">
        <v>875</v>
      </c>
      <c r="P237" s="3" t="s">
        <v>2274</v>
      </c>
    </row>
    <row r="238" spans="1:16">
      <c r="A238" s="2">
        <v>5175097</v>
      </c>
      <c r="B238" s="3" t="s">
        <v>445</v>
      </c>
      <c r="C238" s="3" t="s">
        <v>1</v>
      </c>
      <c r="D238" s="3" t="s">
        <v>2</v>
      </c>
      <c r="E238" s="3" t="s">
        <v>446</v>
      </c>
      <c r="F238" s="3" t="s">
        <v>2275</v>
      </c>
      <c r="G238" s="3" t="s">
        <v>2276</v>
      </c>
      <c r="H238" s="3" t="s">
        <v>2277</v>
      </c>
      <c r="I238" s="3" t="s">
        <v>2278</v>
      </c>
      <c r="J238" s="3" t="s">
        <v>2279</v>
      </c>
      <c r="L238" s="3" t="s">
        <v>2280</v>
      </c>
      <c r="M238" s="3"/>
      <c r="N238" s="3" t="s">
        <v>1138</v>
      </c>
      <c r="O238" s="3" t="s">
        <v>875</v>
      </c>
      <c r="P238" s="3" t="s">
        <v>2281</v>
      </c>
    </row>
    <row r="239" spans="1:16">
      <c r="A239" s="2">
        <v>5172097</v>
      </c>
      <c r="B239" s="3" t="s">
        <v>448</v>
      </c>
      <c r="C239" s="3" t="s">
        <v>1</v>
      </c>
      <c r="D239" s="3" t="s">
        <v>7</v>
      </c>
      <c r="E239" s="3" t="s">
        <v>285</v>
      </c>
      <c r="F239" s="3" t="s">
        <v>2282</v>
      </c>
      <c r="G239" s="3" t="s">
        <v>2283</v>
      </c>
      <c r="H239" s="3" t="s">
        <v>2284</v>
      </c>
      <c r="I239" s="3" t="s">
        <v>2285</v>
      </c>
      <c r="J239" s="3" t="s">
        <v>2286</v>
      </c>
      <c r="L239" s="3" t="s">
        <v>1751</v>
      </c>
      <c r="M239" s="3"/>
      <c r="N239" s="3" t="s">
        <v>1229</v>
      </c>
      <c r="O239" s="3" t="s">
        <v>1026</v>
      </c>
      <c r="P239" s="3" t="s">
        <v>876</v>
      </c>
    </row>
    <row r="240" spans="1:16">
      <c r="A240" s="2">
        <v>5170097</v>
      </c>
      <c r="B240" s="3" t="s">
        <v>449</v>
      </c>
      <c r="C240" s="3" t="s">
        <v>1</v>
      </c>
      <c r="D240" s="3" t="s">
        <v>2</v>
      </c>
      <c r="E240" s="3" t="s">
        <v>370</v>
      </c>
      <c r="F240" s="3" t="s">
        <v>2287</v>
      </c>
      <c r="G240" s="3" t="s">
        <v>2288</v>
      </c>
      <c r="H240" s="3" t="s">
        <v>2289</v>
      </c>
      <c r="I240" s="3" t="s">
        <v>2290</v>
      </c>
      <c r="J240" s="3" t="s">
        <v>2291</v>
      </c>
      <c r="L240" s="3" t="s">
        <v>2038</v>
      </c>
      <c r="M240" s="3"/>
      <c r="N240" s="3" t="s">
        <v>1126</v>
      </c>
      <c r="O240" s="3" t="s">
        <v>919</v>
      </c>
      <c r="P240" s="3" t="s">
        <v>876</v>
      </c>
    </row>
    <row r="241" spans="1:16">
      <c r="A241" s="2">
        <v>5169097</v>
      </c>
      <c r="B241" s="3" t="s">
        <v>450</v>
      </c>
      <c r="C241" s="3" t="s">
        <v>1</v>
      </c>
      <c r="D241" s="3" t="s">
        <v>2</v>
      </c>
      <c r="E241" s="3" t="s">
        <v>370</v>
      </c>
      <c r="F241" s="3" t="s">
        <v>2292</v>
      </c>
      <c r="G241" s="3" t="s">
        <v>2293</v>
      </c>
      <c r="H241" s="3" t="s">
        <v>2294</v>
      </c>
      <c r="I241" s="3" t="s">
        <v>2295</v>
      </c>
      <c r="J241" s="3" t="s">
        <v>2296</v>
      </c>
      <c r="L241" s="3" t="s">
        <v>2038</v>
      </c>
      <c r="M241" s="3"/>
      <c r="N241" s="3" t="s">
        <v>1672</v>
      </c>
      <c r="O241" s="3" t="s">
        <v>919</v>
      </c>
      <c r="P241" s="3" t="s">
        <v>876</v>
      </c>
    </row>
    <row r="242" spans="1:16">
      <c r="A242" s="2">
        <v>5162097</v>
      </c>
      <c r="B242" s="3" t="s">
        <v>451</v>
      </c>
      <c r="C242" s="3" t="s">
        <v>1</v>
      </c>
      <c r="D242" s="3" t="s">
        <v>2</v>
      </c>
      <c r="E242" s="3" t="s">
        <v>210</v>
      </c>
      <c r="F242" s="3" t="s">
        <v>2297</v>
      </c>
      <c r="G242" s="3" t="s">
        <v>2298</v>
      </c>
      <c r="H242" s="3" t="s">
        <v>2299</v>
      </c>
      <c r="I242" s="3" t="s">
        <v>2300</v>
      </c>
      <c r="J242" s="3" t="s">
        <v>2301</v>
      </c>
      <c r="L242" s="3" t="s">
        <v>2302</v>
      </c>
      <c r="M242" s="3"/>
      <c r="N242" s="3" t="s">
        <v>1672</v>
      </c>
      <c r="O242" s="3" t="s">
        <v>875</v>
      </c>
      <c r="P242" s="3" t="s">
        <v>876</v>
      </c>
    </row>
    <row r="243" spans="1:16">
      <c r="A243" s="2">
        <v>5160097</v>
      </c>
      <c r="B243" s="3" t="s">
        <v>453</v>
      </c>
      <c r="C243" s="3" t="s">
        <v>1</v>
      </c>
      <c r="D243" s="3" t="s">
        <v>2</v>
      </c>
      <c r="E243" s="3" t="s">
        <v>454</v>
      </c>
      <c r="F243" s="3" t="s">
        <v>2303</v>
      </c>
      <c r="G243" s="3" t="s">
        <v>2304</v>
      </c>
      <c r="H243" s="3" t="s">
        <v>2305</v>
      </c>
      <c r="I243" s="3" t="s">
        <v>2306</v>
      </c>
      <c r="J243" s="3" t="s">
        <v>2307</v>
      </c>
      <c r="L243" s="3" t="s">
        <v>2308</v>
      </c>
      <c r="M243" s="3"/>
      <c r="N243" s="3" t="s">
        <v>1151</v>
      </c>
      <c r="O243" s="3" t="s">
        <v>919</v>
      </c>
      <c r="P243" s="3" t="s">
        <v>876</v>
      </c>
    </row>
    <row r="244" spans="1:16">
      <c r="A244" s="2">
        <v>5159097</v>
      </c>
      <c r="B244" s="3" t="s">
        <v>455</v>
      </c>
      <c r="C244" s="3" t="s">
        <v>1</v>
      </c>
      <c r="D244" s="3" t="s">
        <v>2</v>
      </c>
      <c r="E244" s="3" t="s">
        <v>456</v>
      </c>
      <c r="F244" s="3" t="s">
        <v>2309</v>
      </c>
      <c r="G244" s="3" t="s">
        <v>2310</v>
      </c>
      <c r="H244" s="3" t="s">
        <v>2311</v>
      </c>
      <c r="I244" s="3" t="s">
        <v>2312</v>
      </c>
      <c r="J244" s="3" t="s">
        <v>2313</v>
      </c>
      <c r="L244" s="3" t="s">
        <v>2302</v>
      </c>
      <c r="M244" s="3"/>
      <c r="N244" s="3" t="s">
        <v>911</v>
      </c>
      <c r="O244" s="3" t="s">
        <v>875</v>
      </c>
      <c r="P244" s="3" t="s">
        <v>876</v>
      </c>
    </row>
    <row r="245" spans="1:16">
      <c r="A245" s="2">
        <v>5158097</v>
      </c>
      <c r="B245" s="3" t="s">
        <v>457</v>
      </c>
      <c r="C245" s="3" t="s">
        <v>1</v>
      </c>
      <c r="D245" s="3" t="s">
        <v>7</v>
      </c>
      <c r="E245" s="3" t="s">
        <v>458</v>
      </c>
      <c r="F245" s="3" t="s">
        <v>2314</v>
      </c>
      <c r="G245" s="3" t="s">
        <v>2315</v>
      </c>
      <c r="H245" s="3" t="s">
        <v>2316</v>
      </c>
      <c r="I245" s="3" t="s">
        <v>2317</v>
      </c>
      <c r="J245" s="3" t="s">
        <v>2318</v>
      </c>
      <c r="L245" s="3" t="s">
        <v>2319</v>
      </c>
      <c r="M245" s="3"/>
      <c r="N245" s="3" t="s">
        <v>2320</v>
      </c>
      <c r="O245" s="3" t="s">
        <v>1026</v>
      </c>
      <c r="P245" s="3" t="s">
        <v>876</v>
      </c>
    </row>
    <row r="246" spans="1:16">
      <c r="A246" s="2">
        <v>5152097</v>
      </c>
      <c r="B246" s="3" t="s">
        <v>459</v>
      </c>
      <c r="C246" s="3" t="s">
        <v>1</v>
      </c>
      <c r="D246" s="3" t="s">
        <v>2</v>
      </c>
      <c r="E246" s="3" t="s">
        <v>460</v>
      </c>
      <c r="F246" s="3" t="s">
        <v>2321</v>
      </c>
      <c r="G246" s="3" t="s">
        <v>2322</v>
      </c>
      <c r="H246" s="3" t="s">
        <v>2323</v>
      </c>
      <c r="I246" s="3" t="s">
        <v>2324</v>
      </c>
      <c r="J246" s="3" t="s">
        <v>2325</v>
      </c>
      <c r="L246" s="3" t="s">
        <v>897</v>
      </c>
      <c r="M246" s="3"/>
      <c r="N246" s="3" t="s">
        <v>1672</v>
      </c>
      <c r="O246" s="3" t="s">
        <v>919</v>
      </c>
      <c r="P246" s="3" t="s">
        <v>876</v>
      </c>
    </row>
    <row r="247" spans="1:16">
      <c r="A247" s="2">
        <v>5151097</v>
      </c>
      <c r="B247" s="3" t="s">
        <v>461</v>
      </c>
      <c r="C247" s="3" t="s">
        <v>1</v>
      </c>
      <c r="D247" s="3" t="s">
        <v>2</v>
      </c>
      <c r="E247" s="3" t="s">
        <v>93</v>
      </c>
      <c r="F247" s="3" t="s">
        <v>2326</v>
      </c>
      <c r="G247" s="3" t="s">
        <v>2327</v>
      </c>
      <c r="H247" s="3" t="s">
        <v>2328</v>
      </c>
      <c r="I247" s="3" t="s">
        <v>2329</v>
      </c>
      <c r="J247" s="3" t="s">
        <v>2330</v>
      </c>
      <c r="L247" s="3" t="s">
        <v>2331</v>
      </c>
      <c r="M247" s="3"/>
      <c r="N247" s="3" t="s">
        <v>1229</v>
      </c>
      <c r="O247" s="3" t="s">
        <v>919</v>
      </c>
      <c r="P247" s="3" t="s">
        <v>876</v>
      </c>
    </row>
    <row r="248" spans="1:16">
      <c r="A248" s="2">
        <v>5150097</v>
      </c>
      <c r="B248" s="3" t="s">
        <v>463</v>
      </c>
      <c r="C248" s="3" t="s">
        <v>1</v>
      </c>
      <c r="D248" s="3" t="s">
        <v>2</v>
      </c>
      <c r="E248" s="3" t="s">
        <v>464</v>
      </c>
      <c r="F248" s="3" t="s">
        <v>2332</v>
      </c>
      <c r="G248" s="3" t="s">
        <v>2333</v>
      </c>
      <c r="H248" s="3" t="s">
        <v>2334</v>
      </c>
      <c r="I248" s="3" t="s">
        <v>2335</v>
      </c>
      <c r="J248" s="3" t="s">
        <v>2336</v>
      </c>
      <c r="L248" s="3" t="s">
        <v>2337</v>
      </c>
      <c r="M248" s="3"/>
      <c r="N248" s="3" t="s">
        <v>918</v>
      </c>
      <c r="O248" s="3" t="s">
        <v>1026</v>
      </c>
      <c r="P248" s="3" t="s">
        <v>876</v>
      </c>
    </row>
    <row r="249" spans="1:16">
      <c r="A249" s="2">
        <v>5146097</v>
      </c>
      <c r="B249" s="3" t="s">
        <v>465</v>
      </c>
      <c r="C249" s="3" t="s">
        <v>1</v>
      </c>
      <c r="D249" s="3" t="s">
        <v>2</v>
      </c>
      <c r="E249" s="3" t="s">
        <v>370</v>
      </c>
      <c r="F249" s="3" t="s">
        <v>2338</v>
      </c>
      <c r="G249" s="3" t="s">
        <v>2339</v>
      </c>
      <c r="H249" s="3" t="s">
        <v>2340</v>
      </c>
      <c r="I249" s="3" t="s">
        <v>2341</v>
      </c>
      <c r="J249" s="3" t="s">
        <v>2342</v>
      </c>
      <c r="L249" s="3" t="s">
        <v>2038</v>
      </c>
      <c r="M249" s="3"/>
      <c r="N249" s="3" t="s">
        <v>1305</v>
      </c>
      <c r="O249" s="3" t="s">
        <v>919</v>
      </c>
      <c r="P249" s="3" t="s">
        <v>876</v>
      </c>
    </row>
    <row r="250" spans="1:16">
      <c r="A250" s="2">
        <v>5141097</v>
      </c>
      <c r="B250" s="3" t="s">
        <v>466</v>
      </c>
      <c r="C250" s="3" t="s">
        <v>1</v>
      </c>
      <c r="D250" s="3" t="s">
        <v>2</v>
      </c>
      <c r="E250" s="3" t="s">
        <v>467</v>
      </c>
      <c r="F250" s="3" t="s">
        <v>2343</v>
      </c>
      <c r="G250" s="3" t="s">
        <v>2344</v>
      </c>
      <c r="H250" s="3" t="s">
        <v>2345</v>
      </c>
      <c r="I250" s="3" t="s">
        <v>2346</v>
      </c>
      <c r="J250" s="3" t="s">
        <v>2347</v>
      </c>
      <c r="L250" s="3" t="s">
        <v>2348</v>
      </c>
      <c r="M250" s="3"/>
      <c r="N250" s="3" t="s">
        <v>1268</v>
      </c>
      <c r="O250" s="3" t="s">
        <v>919</v>
      </c>
      <c r="P250" s="3" t="s">
        <v>876</v>
      </c>
    </row>
    <row r="251" spans="1:16">
      <c r="A251" s="2">
        <v>5140097</v>
      </c>
      <c r="B251" s="3" t="s">
        <v>428</v>
      </c>
      <c r="C251" s="3" t="s">
        <v>1</v>
      </c>
      <c r="D251" s="3" t="s">
        <v>2</v>
      </c>
      <c r="E251" s="3" t="s">
        <v>429</v>
      </c>
      <c r="F251" s="3" t="s">
        <v>2349</v>
      </c>
      <c r="G251" s="3" t="s">
        <v>2350</v>
      </c>
      <c r="H251" s="3" t="s">
        <v>2351</v>
      </c>
      <c r="I251" s="3" t="s">
        <v>2352</v>
      </c>
      <c r="J251" s="3" t="s">
        <v>2353</v>
      </c>
      <c r="L251" s="3" t="s">
        <v>2227</v>
      </c>
      <c r="M251" s="3"/>
      <c r="N251" s="3" t="s">
        <v>1177</v>
      </c>
      <c r="O251" s="3" t="s">
        <v>919</v>
      </c>
      <c r="P251" s="3" t="s">
        <v>876</v>
      </c>
    </row>
    <row r="252" spans="1:16">
      <c r="A252" s="2">
        <v>5139097</v>
      </c>
      <c r="B252" s="3" t="s">
        <v>469</v>
      </c>
      <c r="C252" s="3" t="s">
        <v>1</v>
      </c>
      <c r="D252" s="3" t="s">
        <v>2</v>
      </c>
      <c r="E252" s="3" t="s">
        <v>470</v>
      </c>
      <c r="F252" s="3" t="s">
        <v>2354</v>
      </c>
      <c r="G252" s="3" t="s">
        <v>2355</v>
      </c>
      <c r="H252" s="3" t="s">
        <v>2356</v>
      </c>
      <c r="I252" s="3" t="s">
        <v>2357</v>
      </c>
      <c r="J252" s="3" t="s">
        <v>2358</v>
      </c>
      <c r="L252" s="3" t="s">
        <v>1103</v>
      </c>
      <c r="M252" s="3"/>
      <c r="N252" s="3" t="s">
        <v>1082</v>
      </c>
      <c r="O252" s="3" t="s">
        <v>1097</v>
      </c>
      <c r="P252" s="3" t="s">
        <v>876</v>
      </c>
    </row>
    <row r="253" spans="1:16">
      <c r="A253" s="2">
        <v>5138097</v>
      </c>
      <c r="B253" s="3" t="s">
        <v>471</v>
      </c>
      <c r="C253" s="3" t="s">
        <v>1</v>
      </c>
      <c r="D253" s="3" t="s">
        <v>7</v>
      </c>
      <c r="E253" s="3" t="s">
        <v>370</v>
      </c>
      <c r="F253" s="3" t="s">
        <v>2359</v>
      </c>
      <c r="G253" s="3" t="s">
        <v>2360</v>
      </c>
      <c r="H253" s="3" t="s">
        <v>2361</v>
      </c>
      <c r="I253" s="3" t="s">
        <v>2362</v>
      </c>
      <c r="J253" s="3" t="s">
        <v>2363</v>
      </c>
      <c r="L253" s="3" t="s">
        <v>2038</v>
      </c>
      <c r="M253" s="3"/>
      <c r="N253" s="3" t="s">
        <v>1089</v>
      </c>
      <c r="O253" s="3" t="s">
        <v>919</v>
      </c>
      <c r="P253" s="3" t="s">
        <v>876</v>
      </c>
    </row>
    <row r="254" spans="1:16">
      <c r="A254" s="2">
        <v>5137097</v>
      </c>
      <c r="B254" s="3" t="s">
        <v>472</v>
      </c>
      <c r="C254" s="3" t="s">
        <v>1</v>
      </c>
      <c r="D254" s="3" t="s">
        <v>2</v>
      </c>
      <c r="E254" s="3" t="s">
        <v>473</v>
      </c>
      <c r="F254" s="3" t="s">
        <v>2364</v>
      </c>
      <c r="G254" s="3" t="s">
        <v>2365</v>
      </c>
      <c r="H254" s="3" t="s">
        <v>2366</v>
      </c>
      <c r="I254" s="3" t="s">
        <v>2367</v>
      </c>
      <c r="J254" s="3" t="s">
        <v>2368</v>
      </c>
      <c r="L254" s="3" t="s">
        <v>2369</v>
      </c>
      <c r="M254" s="3"/>
      <c r="N254" s="3" t="s">
        <v>918</v>
      </c>
      <c r="O254" s="3" t="s">
        <v>919</v>
      </c>
      <c r="P254" s="3" t="s">
        <v>876</v>
      </c>
    </row>
    <row r="255" spans="1:16">
      <c r="A255" s="2">
        <v>5135097</v>
      </c>
      <c r="B255" s="3" t="s">
        <v>475</v>
      </c>
      <c r="C255" s="3" t="s">
        <v>1</v>
      </c>
      <c r="D255" s="3" t="s">
        <v>7</v>
      </c>
      <c r="E255" s="3" t="s">
        <v>456</v>
      </c>
      <c r="F255" s="3" t="s">
        <v>2370</v>
      </c>
      <c r="G255" s="3" t="s">
        <v>2371</v>
      </c>
      <c r="H255" s="3" t="s">
        <v>2372</v>
      </c>
      <c r="I255" s="3" t="s">
        <v>2373</v>
      </c>
      <c r="J255" s="3" t="s">
        <v>2374</v>
      </c>
      <c r="L255" s="3" t="s">
        <v>2302</v>
      </c>
      <c r="M255" s="3"/>
      <c r="N255" s="3" t="s">
        <v>1025</v>
      </c>
      <c r="O255" s="3" t="s">
        <v>875</v>
      </c>
      <c r="P255" s="3" t="s">
        <v>876</v>
      </c>
    </row>
    <row r="256" spans="1:16">
      <c r="A256" s="2">
        <v>5134097</v>
      </c>
      <c r="B256" s="3" t="s">
        <v>476</v>
      </c>
      <c r="C256" s="3" t="s">
        <v>1</v>
      </c>
      <c r="D256" s="3" t="s">
        <v>2</v>
      </c>
      <c r="E256" s="3" t="s">
        <v>20</v>
      </c>
      <c r="F256" s="3" t="s">
        <v>2375</v>
      </c>
      <c r="G256" s="3" t="s">
        <v>2376</v>
      </c>
      <c r="H256" s="3" t="s">
        <v>2377</v>
      </c>
      <c r="I256" s="3" t="s">
        <v>2378</v>
      </c>
      <c r="J256" s="3" t="s">
        <v>2379</v>
      </c>
      <c r="L256" s="3" t="s">
        <v>2380</v>
      </c>
      <c r="M256" s="3"/>
      <c r="N256" s="3" t="s">
        <v>2381</v>
      </c>
      <c r="O256" s="3" t="s">
        <v>919</v>
      </c>
      <c r="P256" s="3" t="s">
        <v>876</v>
      </c>
    </row>
    <row r="257" spans="1:16">
      <c r="A257" s="2">
        <v>5133097</v>
      </c>
      <c r="B257" s="3" t="s">
        <v>478</v>
      </c>
      <c r="C257" s="3" t="s">
        <v>1</v>
      </c>
      <c r="D257" s="3" t="s">
        <v>2</v>
      </c>
      <c r="E257" s="3" t="s">
        <v>107</v>
      </c>
      <c r="F257" s="3" t="s">
        <v>2382</v>
      </c>
      <c r="G257" s="3" t="s">
        <v>2383</v>
      </c>
      <c r="H257" s="3" t="s">
        <v>2384</v>
      </c>
      <c r="I257" s="3" t="s">
        <v>2385</v>
      </c>
      <c r="J257" s="3" t="s">
        <v>2386</v>
      </c>
      <c r="L257" s="3" t="s">
        <v>2387</v>
      </c>
      <c r="M257" s="3"/>
      <c r="N257" s="3" t="s">
        <v>1792</v>
      </c>
      <c r="O257" s="3" t="s">
        <v>919</v>
      </c>
      <c r="P257" s="3" t="s">
        <v>876</v>
      </c>
    </row>
    <row r="258" spans="1:16">
      <c r="A258" s="2">
        <v>5132097</v>
      </c>
      <c r="B258" s="3" t="s">
        <v>480</v>
      </c>
      <c r="C258" s="3" t="s">
        <v>1</v>
      </c>
      <c r="D258" s="3" t="s">
        <v>2</v>
      </c>
      <c r="E258" s="3" t="s">
        <v>53</v>
      </c>
      <c r="F258" s="3" t="s">
        <v>2388</v>
      </c>
      <c r="G258" s="3" t="s">
        <v>2389</v>
      </c>
      <c r="H258" s="3" t="s">
        <v>2390</v>
      </c>
      <c r="I258" s="3" t="s">
        <v>2391</v>
      </c>
      <c r="J258" s="3" t="s">
        <v>2392</v>
      </c>
      <c r="L258" s="3" t="s">
        <v>2393</v>
      </c>
      <c r="M258" s="3"/>
      <c r="N258" s="3" t="s">
        <v>2394</v>
      </c>
      <c r="O258" s="3" t="s">
        <v>919</v>
      </c>
      <c r="P258" s="3" t="s">
        <v>876</v>
      </c>
    </row>
    <row r="259" spans="1:16">
      <c r="A259" s="2">
        <v>5130097</v>
      </c>
      <c r="B259" s="3" t="s">
        <v>482</v>
      </c>
      <c r="C259" s="3" t="s">
        <v>1</v>
      </c>
      <c r="D259" s="3" t="s">
        <v>2</v>
      </c>
      <c r="E259" s="3" t="s">
        <v>28</v>
      </c>
      <c r="F259" s="3" t="s">
        <v>2395</v>
      </c>
      <c r="G259" s="3" t="s">
        <v>2396</v>
      </c>
      <c r="H259" s="3" t="s">
        <v>2397</v>
      </c>
      <c r="I259" s="3" t="s">
        <v>2398</v>
      </c>
      <c r="J259" s="3" t="s">
        <v>2399</v>
      </c>
      <c r="L259" s="3" t="s">
        <v>2400</v>
      </c>
      <c r="M259" s="3"/>
      <c r="N259" s="3" t="s">
        <v>1229</v>
      </c>
      <c r="O259" s="3" t="s">
        <v>875</v>
      </c>
      <c r="P259" s="3" t="s">
        <v>876</v>
      </c>
    </row>
    <row r="260" spans="1:16">
      <c r="A260" s="2">
        <v>5127097</v>
      </c>
      <c r="B260" s="3" t="s">
        <v>483</v>
      </c>
      <c r="C260" s="3" t="s">
        <v>1</v>
      </c>
      <c r="D260" s="3" t="s">
        <v>7</v>
      </c>
      <c r="E260" s="3" t="s">
        <v>370</v>
      </c>
      <c r="F260" s="3" t="s">
        <v>2401</v>
      </c>
      <c r="G260" s="3" t="s">
        <v>2402</v>
      </c>
      <c r="H260" s="3" t="s">
        <v>2403</v>
      </c>
      <c r="I260" s="3" t="s">
        <v>2404</v>
      </c>
      <c r="J260" s="3" t="s">
        <v>2405</v>
      </c>
      <c r="L260" s="3" t="s">
        <v>2038</v>
      </c>
      <c r="M260" s="3"/>
      <c r="N260" s="3" t="s">
        <v>1305</v>
      </c>
      <c r="O260" s="3" t="s">
        <v>919</v>
      </c>
      <c r="P260" s="3" t="s">
        <v>876</v>
      </c>
    </row>
    <row r="261" spans="1:16">
      <c r="A261" s="2">
        <v>5124097</v>
      </c>
      <c r="B261" s="3" t="s">
        <v>380</v>
      </c>
      <c r="C261" s="3" t="s">
        <v>1</v>
      </c>
      <c r="D261" s="3" t="s">
        <v>2</v>
      </c>
      <c r="E261" s="3" t="s">
        <v>370</v>
      </c>
      <c r="F261" s="3" t="s">
        <v>2406</v>
      </c>
      <c r="G261" s="3" t="s">
        <v>2407</v>
      </c>
      <c r="H261" s="3" t="s">
        <v>2408</v>
      </c>
      <c r="I261" s="3" t="s">
        <v>2409</v>
      </c>
      <c r="J261" s="3" t="s">
        <v>2410</v>
      </c>
      <c r="L261" s="3" t="s">
        <v>2038</v>
      </c>
      <c r="M261" s="3"/>
      <c r="N261" s="3" t="s">
        <v>1126</v>
      </c>
      <c r="O261" s="3" t="s">
        <v>919</v>
      </c>
      <c r="P261" s="3" t="s">
        <v>876</v>
      </c>
    </row>
    <row r="262" spans="1:16">
      <c r="A262" s="2">
        <v>5123097</v>
      </c>
      <c r="B262" s="3" t="s">
        <v>484</v>
      </c>
      <c r="C262" s="3" t="s">
        <v>1</v>
      </c>
      <c r="D262" s="3" t="s">
        <v>7</v>
      </c>
      <c r="E262" s="3" t="s">
        <v>107</v>
      </c>
      <c r="F262" s="3" t="s">
        <v>2411</v>
      </c>
      <c r="G262" s="3" t="s">
        <v>2412</v>
      </c>
      <c r="H262" s="3" t="s">
        <v>2413</v>
      </c>
      <c r="I262" s="3" t="s">
        <v>2414</v>
      </c>
      <c r="J262" s="3" t="s">
        <v>2415</v>
      </c>
      <c r="L262" s="3" t="s">
        <v>2387</v>
      </c>
      <c r="M262" s="3"/>
      <c r="N262" s="3" t="s">
        <v>1229</v>
      </c>
      <c r="O262" s="3" t="s">
        <v>919</v>
      </c>
      <c r="P262" s="3" t="s">
        <v>876</v>
      </c>
    </row>
    <row r="263" spans="1:16">
      <c r="A263" s="2">
        <v>5122097</v>
      </c>
      <c r="B263" s="3" t="s">
        <v>485</v>
      </c>
      <c r="C263" s="3" t="s">
        <v>1</v>
      </c>
      <c r="D263" s="3" t="s">
        <v>7</v>
      </c>
      <c r="E263" s="3" t="s">
        <v>20</v>
      </c>
      <c r="F263" s="3" t="s">
        <v>2416</v>
      </c>
      <c r="G263" s="3" t="s">
        <v>2417</v>
      </c>
      <c r="H263" s="3" t="s">
        <v>2418</v>
      </c>
      <c r="I263" s="3" t="s">
        <v>2419</v>
      </c>
      <c r="J263" s="3" t="s">
        <v>2420</v>
      </c>
      <c r="L263" s="3" t="s">
        <v>2380</v>
      </c>
      <c r="M263" s="3"/>
      <c r="N263" s="3" t="s">
        <v>1268</v>
      </c>
      <c r="O263" s="3" t="s">
        <v>919</v>
      </c>
      <c r="P263" s="3" t="s">
        <v>876</v>
      </c>
    </row>
    <row r="264" spans="1:16">
      <c r="A264" s="2">
        <v>5119097</v>
      </c>
      <c r="B264" s="3" t="s">
        <v>486</v>
      </c>
      <c r="C264" s="3" t="s">
        <v>1</v>
      </c>
      <c r="D264" s="3" t="s">
        <v>2</v>
      </c>
      <c r="E264" s="3" t="s">
        <v>464</v>
      </c>
      <c r="F264" s="3" t="s">
        <v>2421</v>
      </c>
      <c r="G264" s="3" t="s">
        <v>2422</v>
      </c>
      <c r="H264" s="3" t="s">
        <v>2423</v>
      </c>
      <c r="I264" s="3" t="s">
        <v>2424</v>
      </c>
      <c r="J264" s="3" t="s">
        <v>2425</v>
      </c>
      <c r="L264" s="3" t="s">
        <v>2426</v>
      </c>
      <c r="M264" s="3"/>
      <c r="N264" s="3" t="s">
        <v>905</v>
      </c>
      <c r="O264" s="3" t="s">
        <v>919</v>
      </c>
      <c r="P264" s="3" t="s">
        <v>876</v>
      </c>
    </row>
    <row r="265" spans="1:16">
      <c r="A265" s="2">
        <v>5116097</v>
      </c>
      <c r="B265" s="3" t="s">
        <v>487</v>
      </c>
      <c r="C265" s="3" t="s">
        <v>1</v>
      </c>
      <c r="D265" s="3" t="s">
        <v>2</v>
      </c>
      <c r="E265" s="3" t="s">
        <v>488</v>
      </c>
      <c r="F265" s="3" t="s">
        <v>2427</v>
      </c>
      <c r="G265" s="3" t="s">
        <v>2428</v>
      </c>
      <c r="H265" s="3" t="s">
        <v>2429</v>
      </c>
      <c r="I265" s="3" t="s">
        <v>2430</v>
      </c>
      <c r="J265" s="3" t="s">
        <v>2431</v>
      </c>
      <c r="L265" s="3" t="s">
        <v>2432</v>
      </c>
      <c r="M265" s="3"/>
      <c r="N265" s="3" t="s">
        <v>994</v>
      </c>
      <c r="O265" s="3" t="s">
        <v>1097</v>
      </c>
      <c r="P265" s="3" t="s">
        <v>876</v>
      </c>
    </row>
    <row r="266" spans="1:16">
      <c r="A266" s="2">
        <v>5115097</v>
      </c>
      <c r="B266" s="3" t="s">
        <v>489</v>
      </c>
      <c r="C266" s="3" t="s">
        <v>1</v>
      </c>
      <c r="D266" s="3" t="s">
        <v>2</v>
      </c>
      <c r="E266" s="3" t="s">
        <v>137</v>
      </c>
      <c r="F266" s="3" t="s">
        <v>2433</v>
      </c>
      <c r="G266" s="3" t="s">
        <v>2434</v>
      </c>
      <c r="H266" s="3" t="s">
        <v>2435</v>
      </c>
      <c r="I266" s="3" t="s">
        <v>2436</v>
      </c>
      <c r="J266" s="3" t="s">
        <v>2437</v>
      </c>
      <c r="L266" s="3" t="s">
        <v>1095</v>
      </c>
      <c r="M266" s="3"/>
      <c r="N266" s="3" t="s">
        <v>1001</v>
      </c>
      <c r="O266" s="3" t="s">
        <v>1097</v>
      </c>
      <c r="P266" s="3" t="s">
        <v>876</v>
      </c>
    </row>
    <row r="267" spans="1:16">
      <c r="A267" s="2">
        <v>5113097</v>
      </c>
      <c r="B267" s="3" t="s">
        <v>490</v>
      </c>
      <c r="C267" s="3" t="s">
        <v>1</v>
      </c>
      <c r="D267" s="3" t="s">
        <v>7</v>
      </c>
      <c r="E267" s="3" t="s">
        <v>333</v>
      </c>
      <c r="F267" s="3" t="s">
        <v>2438</v>
      </c>
      <c r="G267" s="3" t="s">
        <v>2439</v>
      </c>
      <c r="H267" s="3" t="s">
        <v>2440</v>
      </c>
      <c r="I267" s="3" t="s">
        <v>2441</v>
      </c>
      <c r="J267" s="3" t="s">
        <v>2442</v>
      </c>
      <c r="L267" s="3" t="s">
        <v>1907</v>
      </c>
      <c r="M267" s="3"/>
      <c r="N267" s="3" t="s">
        <v>2443</v>
      </c>
      <c r="O267" s="3" t="s">
        <v>919</v>
      </c>
      <c r="P267" s="3" t="s">
        <v>876</v>
      </c>
    </row>
    <row r="268" spans="1:16">
      <c r="A268" s="2">
        <v>5109097</v>
      </c>
      <c r="B268" s="3" t="s">
        <v>491</v>
      </c>
      <c r="C268" s="3" t="s">
        <v>1</v>
      </c>
      <c r="D268" s="3" t="s">
        <v>2</v>
      </c>
      <c r="E268" s="3" t="s">
        <v>492</v>
      </c>
      <c r="F268" s="3" t="s">
        <v>2444</v>
      </c>
      <c r="G268" s="3" t="s">
        <v>2445</v>
      </c>
      <c r="H268" s="3" t="s">
        <v>2446</v>
      </c>
      <c r="I268" s="3" t="s">
        <v>2447</v>
      </c>
      <c r="J268" s="3" t="s">
        <v>2448</v>
      </c>
      <c r="L268" s="3" t="s">
        <v>2449</v>
      </c>
      <c r="M268" s="3"/>
      <c r="N268" s="3" t="s">
        <v>1056</v>
      </c>
      <c r="O268" s="3" t="s">
        <v>875</v>
      </c>
      <c r="P268" s="3" t="s">
        <v>876</v>
      </c>
    </row>
    <row r="269" spans="1:16">
      <c r="A269" s="2">
        <v>5108097</v>
      </c>
      <c r="B269" s="3" t="s">
        <v>494</v>
      </c>
      <c r="C269" s="3" t="s">
        <v>1</v>
      </c>
      <c r="D269" s="3" t="s">
        <v>2</v>
      </c>
      <c r="E269" s="3" t="s">
        <v>495</v>
      </c>
      <c r="F269" s="3" t="s">
        <v>2450</v>
      </c>
      <c r="G269" s="3" t="s">
        <v>2451</v>
      </c>
      <c r="H269" s="3" t="s">
        <v>2452</v>
      </c>
      <c r="I269" s="3" t="s">
        <v>2453</v>
      </c>
      <c r="J269" s="3" t="s">
        <v>2454</v>
      </c>
      <c r="L269" s="3" t="s">
        <v>1252</v>
      </c>
      <c r="M269" s="3"/>
      <c r="N269" s="3" t="s">
        <v>994</v>
      </c>
      <c r="O269" s="3" t="s">
        <v>919</v>
      </c>
      <c r="P269" s="3" t="s">
        <v>876</v>
      </c>
    </row>
    <row r="270" spans="1:16">
      <c r="A270" s="2">
        <v>5107097</v>
      </c>
      <c r="B270" s="3" t="s">
        <v>497</v>
      </c>
      <c r="C270" s="3" t="s">
        <v>1</v>
      </c>
      <c r="D270" s="3" t="s">
        <v>2</v>
      </c>
      <c r="E270" s="3" t="s">
        <v>498</v>
      </c>
      <c r="F270" s="3" t="s">
        <v>2455</v>
      </c>
      <c r="G270" s="3" t="s">
        <v>2456</v>
      </c>
      <c r="H270" s="3" t="s">
        <v>2457</v>
      </c>
      <c r="I270" s="3" t="s">
        <v>2458</v>
      </c>
      <c r="J270" s="3" t="s">
        <v>2459</v>
      </c>
      <c r="L270" s="3" t="s">
        <v>2460</v>
      </c>
      <c r="M270" s="3"/>
      <c r="N270" s="3" t="s">
        <v>1374</v>
      </c>
      <c r="O270" s="3" t="s">
        <v>875</v>
      </c>
      <c r="P270" s="3" t="s">
        <v>876</v>
      </c>
    </row>
    <row r="271" spans="1:16">
      <c r="A271" s="2">
        <v>5106097</v>
      </c>
      <c r="B271" s="3" t="s">
        <v>499</v>
      </c>
      <c r="C271" s="3" t="s">
        <v>1</v>
      </c>
      <c r="D271" s="3" t="s">
        <v>7</v>
      </c>
      <c r="E271" s="3" t="s">
        <v>48</v>
      </c>
      <c r="F271" s="3" t="s">
        <v>2461</v>
      </c>
      <c r="G271" s="3" t="s">
        <v>2462</v>
      </c>
      <c r="H271" s="3" t="s">
        <v>2463</v>
      </c>
      <c r="I271" s="3" t="s">
        <v>2464</v>
      </c>
      <c r="J271" s="3" t="s">
        <v>2465</v>
      </c>
      <c r="L271" s="3" t="s">
        <v>1157</v>
      </c>
      <c r="M271" s="3"/>
      <c r="N271" s="3" t="s">
        <v>1056</v>
      </c>
      <c r="O271" s="3" t="s">
        <v>875</v>
      </c>
      <c r="P271" s="3" t="s">
        <v>1033</v>
      </c>
    </row>
    <row r="272" spans="1:16">
      <c r="A272" s="2">
        <v>5105097</v>
      </c>
      <c r="B272" s="3" t="s">
        <v>500</v>
      </c>
      <c r="C272" s="3" t="s">
        <v>1</v>
      </c>
      <c r="D272" s="3" t="s">
        <v>2</v>
      </c>
      <c r="E272" s="3" t="s">
        <v>212</v>
      </c>
      <c r="F272" s="3" t="s">
        <v>2466</v>
      </c>
      <c r="G272" s="3" t="s">
        <v>2467</v>
      </c>
      <c r="H272" s="3" t="s">
        <v>2468</v>
      </c>
      <c r="I272" s="3" t="s">
        <v>2469</v>
      </c>
      <c r="J272" s="3" t="s">
        <v>2470</v>
      </c>
      <c r="L272" s="3" t="s">
        <v>1515</v>
      </c>
      <c r="M272" s="3"/>
      <c r="N272" s="3" t="s">
        <v>1443</v>
      </c>
      <c r="O272" s="3" t="s">
        <v>875</v>
      </c>
      <c r="P272" s="3" t="s">
        <v>1033</v>
      </c>
    </row>
    <row r="273" spans="1:16">
      <c r="A273" s="2">
        <v>5104097</v>
      </c>
      <c r="B273" s="3" t="s">
        <v>502</v>
      </c>
      <c r="C273" s="3" t="s">
        <v>1</v>
      </c>
      <c r="D273" s="3" t="s">
        <v>2</v>
      </c>
      <c r="E273" s="3" t="s">
        <v>503</v>
      </c>
      <c r="F273" s="3" t="s">
        <v>2471</v>
      </c>
      <c r="G273" s="3" t="s">
        <v>2472</v>
      </c>
      <c r="H273" s="3" t="s">
        <v>2473</v>
      </c>
      <c r="I273" s="3" t="s">
        <v>2474</v>
      </c>
      <c r="J273" s="3" t="s">
        <v>2475</v>
      </c>
      <c r="L273" s="3" t="s">
        <v>2476</v>
      </c>
      <c r="M273" s="3"/>
      <c r="N273" s="3" t="s">
        <v>1305</v>
      </c>
      <c r="O273" s="3" t="s">
        <v>1097</v>
      </c>
      <c r="P273" s="3" t="s">
        <v>876</v>
      </c>
    </row>
    <row r="274" spans="1:16">
      <c r="A274" s="2">
        <v>5103097</v>
      </c>
      <c r="B274" s="3" t="s">
        <v>504</v>
      </c>
      <c r="C274" s="3" t="s">
        <v>1</v>
      </c>
      <c r="D274" s="3" t="s">
        <v>2</v>
      </c>
      <c r="E274" s="3" t="s">
        <v>505</v>
      </c>
      <c r="F274" s="3" t="s">
        <v>2477</v>
      </c>
      <c r="G274" s="3" t="s">
        <v>2478</v>
      </c>
      <c r="H274" s="3" t="s">
        <v>2479</v>
      </c>
      <c r="I274" s="3" t="s">
        <v>2480</v>
      </c>
      <c r="J274" s="3" t="s">
        <v>2481</v>
      </c>
      <c r="L274" s="3" t="s">
        <v>2482</v>
      </c>
      <c r="M274" s="3"/>
      <c r="N274" s="3" t="s">
        <v>1672</v>
      </c>
      <c r="O274" s="3" t="s">
        <v>1097</v>
      </c>
      <c r="P274" s="3" t="s">
        <v>876</v>
      </c>
    </row>
    <row r="275" spans="1:16">
      <c r="A275" s="2">
        <v>5102097</v>
      </c>
      <c r="B275" s="3" t="s">
        <v>506</v>
      </c>
      <c r="C275" s="3" t="s">
        <v>1</v>
      </c>
      <c r="D275" s="3" t="s">
        <v>2</v>
      </c>
      <c r="E275" s="3" t="s">
        <v>507</v>
      </c>
      <c r="F275" s="3" t="s">
        <v>2483</v>
      </c>
      <c r="G275" s="3" t="s">
        <v>2484</v>
      </c>
      <c r="H275" s="3" t="s">
        <v>2485</v>
      </c>
      <c r="I275" s="3" t="s">
        <v>2486</v>
      </c>
      <c r="J275" s="3" t="s">
        <v>2487</v>
      </c>
      <c r="L275" s="3" t="s">
        <v>2488</v>
      </c>
      <c r="M275" s="3"/>
      <c r="N275" s="3" t="s">
        <v>1305</v>
      </c>
      <c r="O275" s="3" t="s">
        <v>1097</v>
      </c>
      <c r="P275" s="3" t="s">
        <v>876</v>
      </c>
    </row>
    <row r="276" spans="1:16">
      <c r="A276" s="2">
        <v>5101097</v>
      </c>
      <c r="B276" s="3" t="s">
        <v>508</v>
      </c>
      <c r="C276" s="3" t="s">
        <v>1</v>
      </c>
      <c r="D276" s="3" t="s">
        <v>2</v>
      </c>
      <c r="E276" s="3" t="s">
        <v>509</v>
      </c>
      <c r="F276" s="3" t="s">
        <v>2489</v>
      </c>
      <c r="G276" s="3" t="s">
        <v>2490</v>
      </c>
      <c r="H276" s="3" t="s">
        <v>2491</v>
      </c>
      <c r="I276" s="3" t="s">
        <v>2492</v>
      </c>
      <c r="J276" s="3" t="s">
        <v>2493</v>
      </c>
      <c r="L276" s="3" t="s">
        <v>2494</v>
      </c>
      <c r="M276" s="3"/>
      <c r="N276" s="3" t="s">
        <v>918</v>
      </c>
      <c r="O276" s="3" t="s">
        <v>1097</v>
      </c>
      <c r="P276" s="3" t="s">
        <v>876</v>
      </c>
    </row>
    <row r="277" spans="1:16">
      <c r="A277" s="2">
        <v>5100097</v>
      </c>
      <c r="B277" s="3" t="s">
        <v>510</v>
      </c>
      <c r="C277" s="3" t="s">
        <v>1</v>
      </c>
      <c r="D277" s="3" t="s">
        <v>2</v>
      </c>
      <c r="E277" s="3" t="s">
        <v>509</v>
      </c>
      <c r="F277" s="3" t="s">
        <v>2495</v>
      </c>
      <c r="G277" s="3" t="s">
        <v>2496</v>
      </c>
      <c r="H277" s="3" t="s">
        <v>2497</v>
      </c>
      <c r="I277" s="3" t="s">
        <v>2498</v>
      </c>
      <c r="J277" s="3" t="s">
        <v>2499</v>
      </c>
      <c r="L277" s="3" t="s">
        <v>2494</v>
      </c>
      <c r="M277" s="3"/>
      <c r="N277" s="3" t="s">
        <v>1268</v>
      </c>
      <c r="O277" s="3" t="s">
        <v>1097</v>
      </c>
      <c r="P277" s="3" t="s">
        <v>876</v>
      </c>
    </row>
    <row r="278" spans="1:16">
      <c r="A278" s="2">
        <v>5099097</v>
      </c>
      <c r="B278" s="3" t="s">
        <v>511</v>
      </c>
      <c r="C278" s="3" t="s">
        <v>1</v>
      </c>
      <c r="D278" s="3" t="s">
        <v>2</v>
      </c>
      <c r="E278" s="3" t="s">
        <v>460</v>
      </c>
      <c r="F278" s="3" t="s">
        <v>2500</v>
      </c>
      <c r="G278" s="3" t="s">
        <v>2501</v>
      </c>
      <c r="H278" s="3" t="s">
        <v>2502</v>
      </c>
      <c r="I278" s="3" t="s">
        <v>2503</v>
      </c>
      <c r="J278" s="3" t="s">
        <v>2504</v>
      </c>
      <c r="L278" s="3" t="s">
        <v>897</v>
      </c>
      <c r="M278" s="3"/>
      <c r="N278" s="3" t="s">
        <v>1672</v>
      </c>
      <c r="O278" s="3" t="s">
        <v>1097</v>
      </c>
      <c r="P278" s="3" t="s">
        <v>876</v>
      </c>
    </row>
    <row r="279" spans="1:16">
      <c r="A279" s="2">
        <v>5098097</v>
      </c>
      <c r="B279" s="3" t="s">
        <v>512</v>
      </c>
      <c r="C279" s="3" t="s">
        <v>1</v>
      </c>
      <c r="D279" s="3" t="s">
        <v>2</v>
      </c>
      <c r="E279" s="3" t="s">
        <v>513</v>
      </c>
      <c r="F279" s="3" t="s">
        <v>2505</v>
      </c>
      <c r="G279" s="3" t="s">
        <v>2506</v>
      </c>
      <c r="H279" s="3" t="s">
        <v>2507</v>
      </c>
      <c r="I279" s="3" t="s">
        <v>2508</v>
      </c>
      <c r="J279" s="3" t="s">
        <v>2509</v>
      </c>
      <c r="L279" s="3" t="s">
        <v>2510</v>
      </c>
      <c r="M279" s="3"/>
      <c r="N279" s="3" t="s">
        <v>1845</v>
      </c>
      <c r="O279" s="3" t="s">
        <v>875</v>
      </c>
      <c r="P279" s="3" t="s">
        <v>2511</v>
      </c>
    </row>
    <row r="280" spans="1:16">
      <c r="A280" s="2">
        <v>5096097</v>
      </c>
      <c r="B280" s="3" t="s">
        <v>514</v>
      </c>
      <c r="C280" s="3" t="s">
        <v>1</v>
      </c>
      <c r="D280" s="3" t="s">
        <v>2</v>
      </c>
      <c r="E280" s="3" t="s">
        <v>53</v>
      </c>
      <c r="F280" s="3" t="s">
        <v>2512</v>
      </c>
      <c r="G280" s="3" t="s">
        <v>2513</v>
      </c>
      <c r="H280" s="3" t="s">
        <v>2514</v>
      </c>
      <c r="I280" s="3" t="s">
        <v>2515</v>
      </c>
      <c r="J280" s="3" t="s">
        <v>2516</v>
      </c>
      <c r="L280" s="3" t="s">
        <v>2517</v>
      </c>
      <c r="M280" s="3"/>
      <c r="N280" s="3" t="s">
        <v>947</v>
      </c>
      <c r="O280" s="3" t="s">
        <v>919</v>
      </c>
      <c r="P280" s="3" t="s">
        <v>876</v>
      </c>
    </row>
    <row r="281" spans="1:16">
      <c r="A281" s="2">
        <v>5086097</v>
      </c>
      <c r="B281" s="3" t="s">
        <v>515</v>
      </c>
      <c r="C281" s="3" t="s">
        <v>1</v>
      </c>
      <c r="D281" s="3" t="s">
        <v>76</v>
      </c>
      <c r="E281" s="3" t="s">
        <v>405</v>
      </c>
      <c r="F281" s="3" t="s">
        <v>2518</v>
      </c>
      <c r="G281" s="3" t="s">
        <v>2519</v>
      </c>
      <c r="H281" s="3" t="s">
        <v>2520</v>
      </c>
      <c r="I281" s="3" t="s">
        <v>2521</v>
      </c>
      <c r="J281" s="3" t="s">
        <v>2522</v>
      </c>
      <c r="L281" s="3" t="s">
        <v>2157</v>
      </c>
      <c r="M281" s="3"/>
      <c r="N281" s="3" t="s">
        <v>1492</v>
      </c>
      <c r="O281" s="3" t="s">
        <v>1097</v>
      </c>
      <c r="P281" s="3" t="s">
        <v>876</v>
      </c>
    </row>
    <row r="282" spans="1:16">
      <c r="A282" s="2">
        <v>5085097</v>
      </c>
      <c r="B282" s="3" t="s">
        <v>516</v>
      </c>
      <c r="C282" s="3" t="s">
        <v>1</v>
      </c>
      <c r="D282" s="3" t="s">
        <v>76</v>
      </c>
      <c r="E282" s="3" t="s">
        <v>405</v>
      </c>
      <c r="F282" s="3" t="s">
        <v>2523</v>
      </c>
      <c r="G282" s="3" t="s">
        <v>2524</v>
      </c>
      <c r="H282" s="3" t="s">
        <v>2525</v>
      </c>
      <c r="I282" s="3" t="s">
        <v>2526</v>
      </c>
      <c r="J282" s="3" t="s">
        <v>2527</v>
      </c>
      <c r="L282" s="3" t="s">
        <v>2157</v>
      </c>
      <c r="M282" s="3"/>
      <c r="N282" s="3" t="s">
        <v>1443</v>
      </c>
      <c r="O282" s="3" t="s">
        <v>1097</v>
      </c>
      <c r="P282" s="3" t="s">
        <v>876</v>
      </c>
    </row>
    <row r="283" spans="1:16">
      <c r="A283" s="2">
        <v>5084097</v>
      </c>
      <c r="B283" s="3" t="s">
        <v>517</v>
      </c>
      <c r="C283" s="3" t="s">
        <v>1</v>
      </c>
      <c r="D283" s="3" t="s">
        <v>76</v>
      </c>
      <c r="E283" s="3" t="s">
        <v>422</v>
      </c>
      <c r="F283" s="3" t="s">
        <v>2528</v>
      </c>
      <c r="G283" s="3" t="s">
        <v>2529</v>
      </c>
      <c r="H283" s="3" t="s">
        <v>2530</v>
      </c>
      <c r="I283" s="3" t="s">
        <v>2531</v>
      </c>
      <c r="J283" s="3" t="s">
        <v>2532</v>
      </c>
      <c r="L283" s="3" t="s">
        <v>2203</v>
      </c>
      <c r="M283" s="3"/>
      <c r="N283" s="3" t="s">
        <v>1229</v>
      </c>
      <c r="O283" s="3" t="s">
        <v>1097</v>
      </c>
      <c r="P283" s="3" t="s">
        <v>876</v>
      </c>
    </row>
    <row r="284" spans="1:16">
      <c r="A284" s="2">
        <v>5083097</v>
      </c>
      <c r="B284" s="3" t="s">
        <v>518</v>
      </c>
      <c r="C284" s="3" t="s">
        <v>1</v>
      </c>
      <c r="D284" s="3" t="s">
        <v>76</v>
      </c>
      <c r="E284" s="3" t="s">
        <v>420</v>
      </c>
      <c r="F284" s="3" t="s">
        <v>2533</v>
      </c>
      <c r="G284" s="3" t="s">
        <v>2534</v>
      </c>
      <c r="H284" s="3" t="s">
        <v>2535</v>
      </c>
      <c r="I284" s="3" t="s">
        <v>2536</v>
      </c>
      <c r="J284" s="3" t="s">
        <v>2537</v>
      </c>
      <c r="L284" s="3" t="s">
        <v>2197</v>
      </c>
      <c r="M284" s="3"/>
      <c r="N284" s="3" t="s">
        <v>1229</v>
      </c>
      <c r="O284" s="3" t="s">
        <v>1097</v>
      </c>
      <c r="P284" s="3" t="s">
        <v>876</v>
      </c>
    </row>
    <row r="285" spans="1:16">
      <c r="A285" s="2">
        <v>5082097</v>
      </c>
      <c r="B285" s="3" t="s">
        <v>519</v>
      </c>
      <c r="C285" s="3" t="s">
        <v>1</v>
      </c>
      <c r="D285" s="3" t="s">
        <v>76</v>
      </c>
      <c r="E285" s="3" t="s">
        <v>418</v>
      </c>
      <c r="F285" s="3" t="s">
        <v>2538</v>
      </c>
      <c r="G285" s="3" t="s">
        <v>2539</v>
      </c>
      <c r="H285" s="3" t="s">
        <v>2540</v>
      </c>
      <c r="I285" s="3" t="s">
        <v>2541</v>
      </c>
      <c r="J285" s="3" t="s">
        <v>2542</v>
      </c>
      <c r="L285" s="3" t="s">
        <v>2191</v>
      </c>
      <c r="M285" s="3"/>
      <c r="N285" s="3" t="s">
        <v>1268</v>
      </c>
      <c r="O285" s="3" t="s">
        <v>1097</v>
      </c>
      <c r="P285" s="3" t="s">
        <v>876</v>
      </c>
    </row>
    <row r="286" spans="1:16">
      <c r="A286" s="2">
        <v>5081097</v>
      </c>
      <c r="B286" s="3" t="s">
        <v>520</v>
      </c>
      <c r="C286" s="3" t="s">
        <v>1</v>
      </c>
      <c r="D286" s="3" t="s">
        <v>76</v>
      </c>
      <c r="E286" s="3" t="s">
        <v>415</v>
      </c>
      <c r="F286" s="3" t="s">
        <v>2543</v>
      </c>
      <c r="G286" s="3" t="s">
        <v>2544</v>
      </c>
      <c r="H286" s="3" t="s">
        <v>2545</v>
      </c>
      <c r="I286" s="3" t="s">
        <v>2546</v>
      </c>
      <c r="J286" s="3" t="s">
        <v>2547</v>
      </c>
      <c r="L286" s="3" t="s">
        <v>2180</v>
      </c>
      <c r="M286" s="3"/>
      <c r="N286" s="3" t="s">
        <v>1672</v>
      </c>
      <c r="O286" s="3" t="s">
        <v>1097</v>
      </c>
      <c r="P286" s="3" t="s">
        <v>876</v>
      </c>
    </row>
    <row r="287" spans="1:16">
      <c r="A287" s="2">
        <v>5080097</v>
      </c>
      <c r="B287" s="3" t="s">
        <v>521</v>
      </c>
      <c r="C287" s="3" t="s">
        <v>1</v>
      </c>
      <c r="D287" s="3" t="s">
        <v>76</v>
      </c>
      <c r="E287" s="3" t="s">
        <v>415</v>
      </c>
      <c r="F287" s="3" t="s">
        <v>2548</v>
      </c>
      <c r="G287" s="3" t="s">
        <v>2549</v>
      </c>
      <c r="H287" s="3" t="s">
        <v>2550</v>
      </c>
      <c r="I287" s="3" t="s">
        <v>2551</v>
      </c>
      <c r="J287" s="3" t="s">
        <v>2552</v>
      </c>
      <c r="L287" s="3" t="s">
        <v>2180</v>
      </c>
      <c r="M287" s="3"/>
      <c r="N287" s="3" t="s">
        <v>1268</v>
      </c>
      <c r="O287" s="3" t="s">
        <v>1097</v>
      </c>
      <c r="P287" s="3" t="s">
        <v>876</v>
      </c>
    </row>
    <row r="288" spans="1:16">
      <c r="A288" s="2">
        <v>5077097</v>
      </c>
      <c r="B288" s="3" t="s">
        <v>522</v>
      </c>
      <c r="C288" s="3" t="s">
        <v>1</v>
      </c>
      <c r="D288" s="3" t="s">
        <v>2</v>
      </c>
      <c r="E288" s="3" t="s">
        <v>523</v>
      </c>
      <c r="F288" s="3" t="s">
        <v>2553</v>
      </c>
      <c r="G288" s="3" t="s">
        <v>2554</v>
      </c>
      <c r="H288" s="3" t="s">
        <v>2555</v>
      </c>
      <c r="I288" s="3" t="s">
        <v>2556</v>
      </c>
      <c r="J288" s="3" t="s">
        <v>2557</v>
      </c>
      <c r="L288" s="3" t="s">
        <v>2558</v>
      </c>
      <c r="M288" s="3"/>
      <c r="N288" s="3" t="s">
        <v>2559</v>
      </c>
      <c r="O288" s="3" t="s">
        <v>919</v>
      </c>
      <c r="P288" s="3" t="s">
        <v>876</v>
      </c>
    </row>
    <row r="289" spans="1:16">
      <c r="A289" s="2">
        <v>5070097</v>
      </c>
      <c r="B289" s="3" t="s">
        <v>525</v>
      </c>
      <c r="C289" s="3" t="s">
        <v>1</v>
      </c>
      <c r="D289" s="3" t="s">
        <v>7</v>
      </c>
      <c r="E289" s="3" t="s">
        <v>145</v>
      </c>
      <c r="F289" s="3" t="s">
        <v>2560</v>
      </c>
      <c r="G289" s="3" t="s">
        <v>2561</v>
      </c>
      <c r="H289" s="3" t="s">
        <v>2562</v>
      </c>
      <c r="I289" s="3" t="s">
        <v>2563</v>
      </c>
      <c r="J289" s="3" t="s">
        <v>2564</v>
      </c>
      <c r="L289" s="3" t="s">
        <v>1297</v>
      </c>
      <c r="M289" s="3"/>
      <c r="N289" s="3" t="s">
        <v>2443</v>
      </c>
      <c r="O289" s="3" t="s">
        <v>919</v>
      </c>
      <c r="P289" s="3" t="s">
        <v>876</v>
      </c>
    </row>
    <row r="290" spans="1:16">
      <c r="A290" s="2">
        <v>5069097</v>
      </c>
      <c r="B290" s="3" t="s">
        <v>526</v>
      </c>
      <c r="C290" s="3" t="s">
        <v>1</v>
      </c>
      <c r="D290" s="3" t="s">
        <v>2</v>
      </c>
      <c r="E290" s="3" t="s">
        <v>470</v>
      </c>
      <c r="F290" s="3" t="s">
        <v>2565</v>
      </c>
      <c r="G290" s="3" t="s">
        <v>2566</v>
      </c>
      <c r="H290" s="3" t="s">
        <v>2567</v>
      </c>
      <c r="I290" s="3" t="s">
        <v>2568</v>
      </c>
      <c r="J290" s="3" t="s">
        <v>2569</v>
      </c>
      <c r="L290" s="3" t="s">
        <v>1103</v>
      </c>
      <c r="M290" s="3"/>
      <c r="N290" s="3" t="s">
        <v>1492</v>
      </c>
      <c r="O290" s="3" t="s">
        <v>1097</v>
      </c>
      <c r="P290" s="3" t="s">
        <v>876</v>
      </c>
    </row>
    <row r="291" spans="1:16">
      <c r="A291" s="2">
        <v>5068097</v>
      </c>
      <c r="B291" s="3" t="s">
        <v>527</v>
      </c>
      <c r="C291" s="3" t="s">
        <v>1</v>
      </c>
      <c r="D291" s="3" t="s">
        <v>7</v>
      </c>
      <c r="E291" s="3" t="s">
        <v>400</v>
      </c>
      <c r="F291" s="3" t="s">
        <v>2570</v>
      </c>
      <c r="G291" s="3" t="s">
        <v>2571</v>
      </c>
      <c r="H291" s="3" t="s">
        <v>2572</v>
      </c>
      <c r="I291" s="3" t="s">
        <v>2573</v>
      </c>
      <c r="J291" s="3" t="s">
        <v>2574</v>
      </c>
      <c r="L291" s="3" t="s">
        <v>2140</v>
      </c>
      <c r="M291" s="3"/>
      <c r="N291" s="3" t="s">
        <v>1096</v>
      </c>
      <c r="O291" s="3" t="s">
        <v>919</v>
      </c>
      <c r="P291" s="3" t="s">
        <v>876</v>
      </c>
    </row>
    <row r="292" spans="1:16">
      <c r="A292" s="2">
        <v>5065097</v>
      </c>
      <c r="B292" s="3" t="s">
        <v>528</v>
      </c>
      <c r="C292" s="3" t="s">
        <v>1</v>
      </c>
      <c r="D292" s="3" t="s">
        <v>7</v>
      </c>
      <c r="E292" s="3" t="s">
        <v>408</v>
      </c>
      <c r="F292" s="3" t="s">
        <v>2575</v>
      </c>
      <c r="G292" s="3" t="s">
        <v>2576</v>
      </c>
      <c r="H292" s="3" t="s">
        <v>2577</v>
      </c>
      <c r="I292" s="3" t="s">
        <v>2578</v>
      </c>
      <c r="J292" s="3" t="s">
        <v>2579</v>
      </c>
      <c r="L292" s="3" t="s">
        <v>2168</v>
      </c>
      <c r="M292" s="3"/>
      <c r="N292" s="3" t="s">
        <v>1001</v>
      </c>
      <c r="O292" s="3" t="s">
        <v>919</v>
      </c>
      <c r="P292" s="3" t="s">
        <v>876</v>
      </c>
    </row>
    <row r="293" spans="1:16">
      <c r="A293" s="2">
        <v>5064097</v>
      </c>
      <c r="B293" s="3" t="s">
        <v>529</v>
      </c>
      <c r="C293" s="3" t="s">
        <v>1</v>
      </c>
      <c r="D293" s="3" t="s">
        <v>2</v>
      </c>
      <c r="E293" s="3" t="s">
        <v>530</v>
      </c>
      <c r="F293" s="3" t="s">
        <v>2580</v>
      </c>
      <c r="G293" s="3" t="s">
        <v>2581</v>
      </c>
      <c r="H293" s="3" t="s">
        <v>2582</v>
      </c>
      <c r="I293" s="3" t="s">
        <v>2583</v>
      </c>
      <c r="J293" s="3" t="s">
        <v>2584</v>
      </c>
      <c r="L293" s="3" t="s">
        <v>2585</v>
      </c>
      <c r="M293" s="3"/>
      <c r="N293" s="3" t="s">
        <v>1792</v>
      </c>
      <c r="O293" s="3" t="s">
        <v>919</v>
      </c>
      <c r="P293" s="3" t="s">
        <v>876</v>
      </c>
    </row>
    <row r="294" spans="1:16">
      <c r="A294" s="2">
        <v>5063097</v>
      </c>
      <c r="B294" s="3" t="s">
        <v>532</v>
      </c>
      <c r="C294" s="3" t="s">
        <v>1</v>
      </c>
      <c r="D294" s="3" t="s">
        <v>2</v>
      </c>
      <c r="E294" s="3" t="s">
        <v>400</v>
      </c>
      <c r="F294" s="3" t="s">
        <v>2586</v>
      </c>
      <c r="G294" s="3" t="s">
        <v>2587</v>
      </c>
      <c r="H294" s="3" t="s">
        <v>2588</v>
      </c>
      <c r="I294" s="3" t="s">
        <v>2589</v>
      </c>
      <c r="J294" s="3" t="s">
        <v>2590</v>
      </c>
      <c r="L294" s="3" t="s">
        <v>2140</v>
      </c>
      <c r="M294" s="3"/>
      <c r="N294" s="3" t="s">
        <v>905</v>
      </c>
      <c r="O294" s="3" t="s">
        <v>919</v>
      </c>
      <c r="P294" s="3" t="s">
        <v>876</v>
      </c>
    </row>
    <row r="295" spans="1:16">
      <c r="A295" s="2">
        <v>5062097</v>
      </c>
      <c r="B295" s="3" t="s">
        <v>533</v>
      </c>
      <c r="C295" s="3" t="s">
        <v>1</v>
      </c>
      <c r="D295" s="3" t="s">
        <v>7</v>
      </c>
      <c r="E295" s="3" t="s">
        <v>498</v>
      </c>
      <c r="F295" s="3" t="s">
        <v>2591</v>
      </c>
      <c r="G295" s="3" t="s">
        <v>2592</v>
      </c>
      <c r="H295" s="3" t="s">
        <v>2593</v>
      </c>
      <c r="I295" s="3" t="s">
        <v>2594</v>
      </c>
      <c r="J295" s="3" t="s">
        <v>2595</v>
      </c>
      <c r="L295" s="3" t="s">
        <v>2460</v>
      </c>
      <c r="M295" s="3"/>
      <c r="N295" s="3" t="s">
        <v>1792</v>
      </c>
      <c r="O295" s="3" t="s">
        <v>875</v>
      </c>
      <c r="P295" s="3" t="s">
        <v>876</v>
      </c>
    </row>
    <row r="296" spans="1:16">
      <c r="A296" s="2">
        <v>5060097</v>
      </c>
      <c r="B296" s="3" t="s">
        <v>534</v>
      </c>
      <c r="C296" s="3" t="s">
        <v>1</v>
      </c>
      <c r="D296" s="3" t="s">
        <v>2</v>
      </c>
      <c r="E296" s="3" t="s">
        <v>535</v>
      </c>
      <c r="F296" s="3" t="s">
        <v>2596</v>
      </c>
      <c r="G296" s="3" t="s">
        <v>2597</v>
      </c>
      <c r="H296" s="3" t="s">
        <v>2598</v>
      </c>
      <c r="I296" s="3" t="s">
        <v>2599</v>
      </c>
      <c r="J296" s="3" t="s">
        <v>2600</v>
      </c>
      <c r="L296" s="3" t="s">
        <v>2601</v>
      </c>
      <c r="M296" s="3"/>
      <c r="N296" s="3" t="s">
        <v>1235</v>
      </c>
      <c r="O296" s="3" t="s">
        <v>1097</v>
      </c>
      <c r="P296" s="3" t="s">
        <v>876</v>
      </c>
    </row>
    <row r="297" spans="1:16">
      <c r="A297" s="2">
        <v>5059097</v>
      </c>
      <c r="B297" s="3" t="s">
        <v>536</v>
      </c>
      <c r="C297" s="3" t="s">
        <v>1</v>
      </c>
      <c r="D297" s="3" t="s">
        <v>2</v>
      </c>
      <c r="E297" s="3" t="s">
        <v>537</v>
      </c>
      <c r="F297" s="3" t="s">
        <v>2602</v>
      </c>
      <c r="G297" s="3" t="s">
        <v>2603</v>
      </c>
      <c r="H297" s="3" t="s">
        <v>2604</v>
      </c>
      <c r="I297" s="3" t="s">
        <v>2605</v>
      </c>
      <c r="J297" s="3" t="s">
        <v>2606</v>
      </c>
      <c r="L297" s="3" t="s">
        <v>2302</v>
      </c>
      <c r="M297" s="3"/>
      <c r="N297" s="3" t="s">
        <v>1443</v>
      </c>
      <c r="O297" s="3" t="s">
        <v>1097</v>
      </c>
      <c r="P297" s="3" t="s">
        <v>876</v>
      </c>
    </row>
    <row r="298" spans="1:16">
      <c r="A298" s="2">
        <v>5058097</v>
      </c>
      <c r="B298" s="3" t="s">
        <v>538</v>
      </c>
      <c r="C298" s="3" t="s">
        <v>1</v>
      </c>
      <c r="D298" s="3" t="s">
        <v>2</v>
      </c>
      <c r="E298" s="3" t="s">
        <v>539</v>
      </c>
      <c r="F298" s="3" t="s">
        <v>2607</v>
      </c>
      <c r="G298" s="3" t="s">
        <v>2608</v>
      </c>
      <c r="H298" s="3" t="s">
        <v>2609</v>
      </c>
      <c r="I298" s="3" t="s">
        <v>2610</v>
      </c>
      <c r="J298" s="3" t="s">
        <v>2611</v>
      </c>
      <c r="L298" s="3" t="s">
        <v>2612</v>
      </c>
      <c r="M298" s="3"/>
      <c r="N298" s="3" t="s">
        <v>1126</v>
      </c>
      <c r="O298" s="3" t="s">
        <v>875</v>
      </c>
      <c r="P298" s="3" t="s">
        <v>876</v>
      </c>
    </row>
    <row r="299" spans="1:16">
      <c r="A299" s="2">
        <v>5057097</v>
      </c>
      <c r="B299" s="3" t="s">
        <v>541</v>
      </c>
      <c r="C299" s="3" t="s">
        <v>1</v>
      </c>
      <c r="D299" s="3" t="s">
        <v>7</v>
      </c>
      <c r="E299" s="3" t="s">
        <v>412</v>
      </c>
      <c r="F299" s="3" t="s">
        <v>2613</v>
      </c>
      <c r="G299" s="3" t="s">
        <v>2614</v>
      </c>
      <c r="H299" s="3" t="s">
        <v>2615</v>
      </c>
      <c r="I299" s="3" t="s">
        <v>2616</v>
      </c>
      <c r="J299" s="3" t="s">
        <v>2617</v>
      </c>
      <c r="L299" s="3" t="s">
        <v>2174</v>
      </c>
      <c r="M299" s="3"/>
      <c r="N299" s="3" t="s">
        <v>1063</v>
      </c>
      <c r="O299" s="3" t="s">
        <v>919</v>
      </c>
      <c r="P299" s="3" t="s">
        <v>876</v>
      </c>
    </row>
    <row r="300" spans="1:16">
      <c r="A300" s="2">
        <v>5056097</v>
      </c>
      <c r="B300" s="3" t="s">
        <v>542</v>
      </c>
      <c r="C300" s="3" t="s">
        <v>1</v>
      </c>
      <c r="D300" s="3" t="s">
        <v>2</v>
      </c>
      <c r="E300" s="3" t="s">
        <v>543</v>
      </c>
      <c r="F300" s="3" t="s">
        <v>2618</v>
      </c>
      <c r="G300" s="3" t="s">
        <v>2619</v>
      </c>
      <c r="H300" s="3" t="s">
        <v>2620</v>
      </c>
      <c r="I300" s="3" t="s">
        <v>2621</v>
      </c>
      <c r="J300" s="3" t="s">
        <v>2622</v>
      </c>
      <c r="L300" s="3" t="s">
        <v>1164</v>
      </c>
      <c r="M300" s="3"/>
      <c r="N300" s="3" t="s">
        <v>1305</v>
      </c>
      <c r="O300" s="3" t="s">
        <v>1097</v>
      </c>
      <c r="P300" s="3" t="s">
        <v>876</v>
      </c>
    </row>
    <row r="301" spans="1:16">
      <c r="A301" s="2">
        <v>5055097</v>
      </c>
      <c r="B301" s="3" t="s">
        <v>544</v>
      </c>
      <c r="C301" s="3" t="s">
        <v>1</v>
      </c>
      <c r="D301" s="3" t="s">
        <v>2</v>
      </c>
      <c r="E301" s="3" t="s">
        <v>543</v>
      </c>
      <c r="F301" s="3" t="s">
        <v>2623</v>
      </c>
      <c r="G301" s="3" t="s">
        <v>2624</v>
      </c>
      <c r="H301" s="3" t="s">
        <v>2625</v>
      </c>
      <c r="I301" s="3" t="s">
        <v>2626</v>
      </c>
      <c r="J301" s="3" t="s">
        <v>2627</v>
      </c>
      <c r="L301" s="3" t="s">
        <v>1164</v>
      </c>
      <c r="M301" s="3"/>
      <c r="N301" s="3" t="s">
        <v>1492</v>
      </c>
      <c r="O301" s="3" t="s">
        <v>1097</v>
      </c>
      <c r="P301" s="3" t="s">
        <v>876</v>
      </c>
    </row>
    <row r="302" spans="1:16">
      <c r="A302" s="2">
        <v>5049097</v>
      </c>
      <c r="B302" s="3" t="s">
        <v>545</v>
      </c>
      <c r="C302" s="3" t="s">
        <v>1</v>
      </c>
      <c r="D302" s="3" t="s">
        <v>2</v>
      </c>
      <c r="E302" s="3" t="s">
        <v>546</v>
      </c>
      <c r="F302" s="3" t="s">
        <v>2628</v>
      </c>
      <c r="G302" s="3" t="s">
        <v>2629</v>
      </c>
      <c r="H302" s="3" t="s">
        <v>2630</v>
      </c>
      <c r="I302" s="3" t="s">
        <v>2631</v>
      </c>
      <c r="J302" s="3" t="s">
        <v>2632</v>
      </c>
      <c r="L302" s="3" t="s">
        <v>2633</v>
      </c>
      <c r="M302" s="3"/>
      <c r="N302" s="3" t="s">
        <v>2320</v>
      </c>
      <c r="O302" s="3" t="s">
        <v>1026</v>
      </c>
      <c r="P302" s="3" t="s">
        <v>1033</v>
      </c>
    </row>
    <row r="303" spans="1:16">
      <c r="A303" s="2">
        <v>5043097</v>
      </c>
      <c r="B303" s="3" t="s">
        <v>547</v>
      </c>
      <c r="C303" s="3" t="s">
        <v>1</v>
      </c>
      <c r="D303" s="3" t="s">
        <v>2</v>
      </c>
      <c r="E303" s="3" t="s">
        <v>548</v>
      </c>
      <c r="F303" s="3" t="s">
        <v>2634</v>
      </c>
      <c r="G303" s="3" t="s">
        <v>2635</v>
      </c>
      <c r="H303" s="3" t="s">
        <v>2636</v>
      </c>
      <c r="I303" s="3" t="s">
        <v>2637</v>
      </c>
      <c r="J303" s="3" t="s">
        <v>2638</v>
      </c>
      <c r="L303" s="3" t="s">
        <v>2639</v>
      </c>
      <c r="M303" s="3"/>
      <c r="N303" s="3" t="s">
        <v>1229</v>
      </c>
      <c r="O303" s="3" t="s">
        <v>1097</v>
      </c>
      <c r="P303" s="3" t="s">
        <v>876</v>
      </c>
    </row>
    <row r="304" spans="1:16">
      <c r="A304" s="2">
        <v>5042097</v>
      </c>
      <c r="B304" s="3" t="s">
        <v>549</v>
      </c>
      <c r="C304" s="3" t="s">
        <v>1</v>
      </c>
      <c r="D304" s="3" t="s">
        <v>2</v>
      </c>
      <c r="E304" s="3" t="s">
        <v>550</v>
      </c>
      <c r="F304" s="3" t="s">
        <v>2640</v>
      </c>
      <c r="G304" s="3" t="s">
        <v>2641</v>
      </c>
      <c r="H304" s="3" t="s">
        <v>2642</v>
      </c>
      <c r="I304" s="3" t="s">
        <v>2643</v>
      </c>
      <c r="J304" s="3" t="s">
        <v>2644</v>
      </c>
      <c r="L304" s="3" t="s">
        <v>2645</v>
      </c>
      <c r="M304" s="3"/>
      <c r="N304" s="3" t="s">
        <v>1492</v>
      </c>
      <c r="O304" s="3" t="s">
        <v>1097</v>
      </c>
      <c r="P304" s="3" t="s">
        <v>876</v>
      </c>
    </row>
    <row r="305" spans="1:16">
      <c r="A305" s="2">
        <v>5041097</v>
      </c>
      <c r="B305" s="3" t="s">
        <v>551</v>
      </c>
      <c r="C305" s="3" t="s">
        <v>1</v>
      </c>
      <c r="D305" s="3" t="s">
        <v>2</v>
      </c>
      <c r="E305" s="3" t="s">
        <v>370</v>
      </c>
      <c r="F305" s="3" t="s">
        <v>2646</v>
      </c>
      <c r="G305" s="3" t="s">
        <v>2647</v>
      </c>
      <c r="H305" s="3" t="s">
        <v>2648</v>
      </c>
      <c r="I305" s="3" t="s">
        <v>2649</v>
      </c>
      <c r="J305" s="3" t="s">
        <v>2650</v>
      </c>
      <c r="L305" s="3" t="s">
        <v>2651</v>
      </c>
      <c r="M305" s="3"/>
      <c r="N305" s="3" t="s">
        <v>1305</v>
      </c>
      <c r="O305" s="3" t="s">
        <v>1097</v>
      </c>
      <c r="P305" s="3" t="s">
        <v>876</v>
      </c>
    </row>
    <row r="306" spans="1:16">
      <c r="A306" s="2">
        <v>5040097</v>
      </c>
      <c r="B306" s="3" t="s">
        <v>552</v>
      </c>
      <c r="C306" s="3" t="s">
        <v>1</v>
      </c>
      <c r="D306" s="3" t="s">
        <v>2</v>
      </c>
      <c r="E306" s="3" t="s">
        <v>553</v>
      </c>
      <c r="F306" s="3" t="s">
        <v>2652</v>
      </c>
      <c r="G306" s="3" t="s">
        <v>2653</v>
      </c>
      <c r="H306" s="3" t="s">
        <v>2654</v>
      </c>
      <c r="I306" s="3" t="s">
        <v>2655</v>
      </c>
      <c r="J306" s="3" t="s">
        <v>2656</v>
      </c>
      <c r="L306" s="3" t="s">
        <v>2639</v>
      </c>
      <c r="M306" s="3"/>
      <c r="N306" s="3" t="s">
        <v>1305</v>
      </c>
      <c r="O306" s="3" t="s">
        <v>1097</v>
      </c>
      <c r="P306" s="3" t="s">
        <v>876</v>
      </c>
    </row>
    <row r="307" spans="1:16">
      <c r="A307" s="2">
        <v>5039097</v>
      </c>
      <c r="B307" s="3" t="s">
        <v>554</v>
      </c>
      <c r="C307" s="3" t="s">
        <v>1</v>
      </c>
      <c r="D307" s="3" t="s">
        <v>2</v>
      </c>
      <c r="E307" s="3" t="s">
        <v>555</v>
      </c>
      <c r="F307" s="3" t="s">
        <v>2657</v>
      </c>
      <c r="G307" s="3" t="s">
        <v>2658</v>
      </c>
      <c r="H307" s="3" t="s">
        <v>2659</v>
      </c>
      <c r="I307" s="3" t="s">
        <v>2660</v>
      </c>
      <c r="J307" s="3" t="s">
        <v>2661</v>
      </c>
      <c r="L307" s="3" t="s">
        <v>1329</v>
      </c>
      <c r="M307" s="3"/>
      <c r="N307" s="3" t="s">
        <v>1235</v>
      </c>
      <c r="O307" s="3" t="s">
        <v>1097</v>
      </c>
      <c r="P307" s="3" t="s">
        <v>876</v>
      </c>
    </row>
    <row r="308" spans="1:16">
      <c r="A308" s="2">
        <v>5038097</v>
      </c>
      <c r="B308" s="3" t="s">
        <v>556</v>
      </c>
      <c r="C308" s="3" t="s">
        <v>1</v>
      </c>
      <c r="D308" s="3" t="s">
        <v>2</v>
      </c>
      <c r="E308" s="3" t="s">
        <v>557</v>
      </c>
      <c r="F308" s="3" t="s">
        <v>2662</v>
      </c>
      <c r="G308" s="3" t="s">
        <v>2663</v>
      </c>
      <c r="H308" s="3" t="s">
        <v>2664</v>
      </c>
      <c r="I308" s="3" t="s">
        <v>2665</v>
      </c>
      <c r="J308" s="3" t="s">
        <v>2666</v>
      </c>
      <c r="L308" s="3" t="s">
        <v>2038</v>
      </c>
      <c r="M308" s="3"/>
      <c r="N308" s="3" t="s">
        <v>972</v>
      </c>
      <c r="O308" s="3" t="s">
        <v>919</v>
      </c>
      <c r="P308" s="3" t="s">
        <v>876</v>
      </c>
    </row>
    <row r="309" spans="1:16">
      <c r="A309" s="2">
        <v>5036097</v>
      </c>
      <c r="B309" s="3" t="s">
        <v>558</v>
      </c>
      <c r="C309" s="3" t="s">
        <v>1</v>
      </c>
      <c r="D309" s="3" t="s">
        <v>2</v>
      </c>
      <c r="E309" s="3" t="s">
        <v>101</v>
      </c>
      <c r="F309" s="3" t="s">
        <v>2667</v>
      </c>
      <c r="G309" s="3" t="s">
        <v>2668</v>
      </c>
      <c r="H309" s="3" t="s">
        <v>2669</v>
      </c>
      <c r="I309" s="3" t="s">
        <v>2670</v>
      </c>
      <c r="J309" s="3" t="s">
        <v>2671</v>
      </c>
      <c r="L309" s="3" t="s">
        <v>2672</v>
      </c>
      <c r="M309" s="3"/>
      <c r="N309" s="3" t="s">
        <v>1672</v>
      </c>
      <c r="O309" s="3" t="s">
        <v>875</v>
      </c>
      <c r="P309" s="3" t="s">
        <v>876</v>
      </c>
    </row>
    <row r="310" spans="1:16">
      <c r="A310" s="2">
        <v>5034097</v>
      </c>
      <c r="B310" s="3" t="s">
        <v>559</v>
      </c>
      <c r="C310" s="3" t="s">
        <v>1</v>
      </c>
      <c r="D310" s="3" t="s">
        <v>2</v>
      </c>
      <c r="E310" s="3" t="s">
        <v>560</v>
      </c>
      <c r="F310" s="3" t="s">
        <v>2673</v>
      </c>
      <c r="G310" s="3" t="s">
        <v>2674</v>
      </c>
      <c r="H310" s="3" t="s">
        <v>2675</v>
      </c>
      <c r="I310" s="3" t="s">
        <v>2676</v>
      </c>
      <c r="J310" s="3" t="s">
        <v>2677</v>
      </c>
      <c r="L310" s="3" t="s">
        <v>2678</v>
      </c>
      <c r="M310" s="3"/>
      <c r="N310" s="3" t="s">
        <v>1492</v>
      </c>
      <c r="O310" s="3" t="s">
        <v>875</v>
      </c>
      <c r="P310" s="3" t="s">
        <v>876</v>
      </c>
    </row>
    <row r="311" spans="1:16">
      <c r="A311" s="2">
        <v>5032097</v>
      </c>
      <c r="B311" s="3" t="s">
        <v>561</v>
      </c>
      <c r="C311" s="3" t="s">
        <v>1</v>
      </c>
      <c r="D311" s="3" t="s">
        <v>2</v>
      </c>
      <c r="E311" s="3" t="s">
        <v>562</v>
      </c>
      <c r="F311" s="3" t="s">
        <v>2679</v>
      </c>
      <c r="G311" s="3" t="s">
        <v>2680</v>
      </c>
      <c r="H311" s="3" t="s">
        <v>2681</v>
      </c>
      <c r="I311" s="3" t="s">
        <v>2682</v>
      </c>
      <c r="J311" s="3" t="s">
        <v>2683</v>
      </c>
      <c r="L311" s="3" t="s">
        <v>2684</v>
      </c>
      <c r="M311" s="3"/>
      <c r="N311" s="3" t="s">
        <v>2685</v>
      </c>
      <c r="O311" s="3" t="s">
        <v>919</v>
      </c>
      <c r="P311" s="3" t="s">
        <v>876</v>
      </c>
    </row>
    <row r="312" spans="1:16">
      <c r="A312" s="2">
        <v>5030097</v>
      </c>
      <c r="B312" s="3" t="s">
        <v>564</v>
      </c>
      <c r="C312" s="3" t="s">
        <v>1</v>
      </c>
      <c r="D312" s="3" t="s">
        <v>2</v>
      </c>
      <c r="E312" s="3" t="s">
        <v>432</v>
      </c>
      <c r="F312" s="3" t="s">
        <v>2686</v>
      </c>
      <c r="G312" s="3" t="s">
        <v>2687</v>
      </c>
      <c r="H312" s="3" t="s">
        <v>2688</v>
      </c>
      <c r="I312" s="3" t="s">
        <v>2689</v>
      </c>
      <c r="J312" s="3" t="s">
        <v>2690</v>
      </c>
      <c r="L312" s="3" t="s">
        <v>2691</v>
      </c>
      <c r="M312" s="3"/>
      <c r="N312" s="3" t="s">
        <v>1792</v>
      </c>
      <c r="O312" s="3" t="s">
        <v>919</v>
      </c>
      <c r="P312" s="3" t="s">
        <v>876</v>
      </c>
    </row>
    <row r="313" spans="1:16">
      <c r="A313" s="2">
        <v>5029097</v>
      </c>
      <c r="B313" s="3" t="s">
        <v>566</v>
      </c>
      <c r="C313" s="3" t="s">
        <v>1</v>
      </c>
      <c r="D313" s="3" t="s">
        <v>2</v>
      </c>
      <c r="E313" s="3" t="s">
        <v>464</v>
      </c>
      <c r="F313" s="3" t="s">
        <v>2692</v>
      </c>
      <c r="G313" s="3" t="s">
        <v>2693</v>
      </c>
      <c r="H313" s="3" t="s">
        <v>2694</v>
      </c>
      <c r="I313" s="3" t="s">
        <v>2695</v>
      </c>
      <c r="J313" s="3" t="s">
        <v>2696</v>
      </c>
      <c r="L313" s="3" t="s">
        <v>2697</v>
      </c>
      <c r="M313" s="3"/>
      <c r="N313" s="3" t="s">
        <v>884</v>
      </c>
      <c r="O313" s="3" t="s">
        <v>875</v>
      </c>
      <c r="P313" s="3" t="s">
        <v>2274</v>
      </c>
    </row>
    <row r="314" spans="1:16">
      <c r="A314" s="2">
        <v>5027097</v>
      </c>
      <c r="B314" s="3" t="s">
        <v>568</v>
      </c>
      <c r="C314" s="3" t="s">
        <v>1</v>
      </c>
      <c r="D314" s="3" t="s">
        <v>2</v>
      </c>
      <c r="E314" s="3" t="s">
        <v>396</v>
      </c>
      <c r="F314" s="3" t="s">
        <v>2698</v>
      </c>
      <c r="G314" s="3" t="s">
        <v>2699</v>
      </c>
      <c r="H314" s="3" t="s">
        <v>2700</v>
      </c>
      <c r="I314" s="3" t="s">
        <v>2701</v>
      </c>
      <c r="J314" s="3" t="s">
        <v>2702</v>
      </c>
      <c r="L314" s="3" t="s">
        <v>2703</v>
      </c>
      <c r="M314" s="3"/>
      <c r="N314" s="3" t="s">
        <v>1138</v>
      </c>
      <c r="O314" s="3" t="s">
        <v>919</v>
      </c>
      <c r="P314" s="3" t="s">
        <v>876</v>
      </c>
    </row>
    <row r="315" spans="1:16">
      <c r="A315" s="2">
        <v>5023097</v>
      </c>
      <c r="B315" s="3" t="s">
        <v>569</v>
      </c>
      <c r="C315" s="3" t="s">
        <v>1</v>
      </c>
      <c r="D315" s="3" t="s">
        <v>2</v>
      </c>
      <c r="E315" s="3" t="s">
        <v>570</v>
      </c>
      <c r="F315" s="3" t="s">
        <v>2704</v>
      </c>
      <c r="G315" s="3" t="s">
        <v>2705</v>
      </c>
      <c r="H315" s="3" t="s">
        <v>2706</v>
      </c>
      <c r="I315" s="3" t="s">
        <v>2707</v>
      </c>
      <c r="J315" s="3" t="s">
        <v>2708</v>
      </c>
      <c r="L315" s="3" t="s">
        <v>2709</v>
      </c>
      <c r="M315" s="3"/>
      <c r="N315" s="3" t="s">
        <v>947</v>
      </c>
      <c r="O315" s="3" t="s">
        <v>875</v>
      </c>
      <c r="P315" s="3" t="s">
        <v>876</v>
      </c>
    </row>
    <row r="316" spans="1:16">
      <c r="A316" s="2">
        <v>5021097</v>
      </c>
      <c r="B316" s="3" t="s">
        <v>572</v>
      </c>
      <c r="C316" s="3" t="s">
        <v>1</v>
      </c>
      <c r="D316" s="3" t="s">
        <v>7</v>
      </c>
      <c r="E316" s="3" t="s">
        <v>74</v>
      </c>
      <c r="F316" s="3" t="s">
        <v>2710</v>
      </c>
      <c r="G316" s="3" t="s">
        <v>2711</v>
      </c>
      <c r="H316" s="3" t="s">
        <v>2712</v>
      </c>
      <c r="I316" s="3" t="s">
        <v>2713</v>
      </c>
      <c r="J316" s="3" t="s">
        <v>2714</v>
      </c>
      <c r="L316" s="3" t="s">
        <v>2715</v>
      </c>
      <c r="M316" s="3"/>
      <c r="N316" s="3" t="s">
        <v>1138</v>
      </c>
      <c r="O316" s="3" t="s">
        <v>919</v>
      </c>
      <c r="P316" s="3" t="s">
        <v>876</v>
      </c>
    </row>
    <row r="317" spans="1:16">
      <c r="A317" s="2">
        <v>5015097</v>
      </c>
      <c r="B317" s="3" t="s">
        <v>573</v>
      </c>
      <c r="C317" s="3" t="s">
        <v>1</v>
      </c>
      <c r="D317" s="3" t="s">
        <v>2</v>
      </c>
      <c r="E317" s="3" t="s">
        <v>574</v>
      </c>
      <c r="F317" s="3" t="s">
        <v>2716</v>
      </c>
      <c r="G317" s="3" t="s">
        <v>2717</v>
      </c>
      <c r="H317" s="3" t="s">
        <v>2718</v>
      </c>
      <c r="I317" s="3" t="s">
        <v>2719</v>
      </c>
      <c r="J317" s="3" t="s">
        <v>2720</v>
      </c>
      <c r="L317" s="3" t="s">
        <v>2721</v>
      </c>
      <c r="M317" s="3"/>
      <c r="N317" s="3" t="s">
        <v>1672</v>
      </c>
      <c r="O317" s="3" t="s">
        <v>875</v>
      </c>
      <c r="P317" s="3" t="s">
        <v>1033</v>
      </c>
    </row>
    <row r="318" spans="1:16">
      <c r="A318" s="2">
        <v>5014097</v>
      </c>
      <c r="B318" s="3" t="s">
        <v>575</v>
      </c>
      <c r="C318" s="3" t="s">
        <v>1</v>
      </c>
      <c r="D318" s="3" t="s">
        <v>2</v>
      </c>
      <c r="E318" s="3" t="s">
        <v>576</v>
      </c>
      <c r="F318" s="3" t="s">
        <v>2722</v>
      </c>
      <c r="G318" s="3" t="s">
        <v>2723</v>
      </c>
      <c r="H318" s="3" t="s">
        <v>2724</v>
      </c>
      <c r="I318" s="3" t="s">
        <v>2725</v>
      </c>
      <c r="J318" s="3" t="s">
        <v>2726</v>
      </c>
      <c r="L318" s="3" t="s">
        <v>1491</v>
      </c>
      <c r="M318" s="3"/>
      <c r="N318" s="3" t="s">
        <v>1151</v>
      </c>
      <c r="O318" s="3" t="s">
        <v>1097</v>
      </c>
      <c r="P318" s="3" t="s">
        <v>876</v>
      </c>
    </row>
    <row r="319" spans="1:16">
      <c r="A319" s="2">
        <v>5013097</v>
      </c>
      <c r="B319" s="3" t="s">
        <v>577</v>
      </c>
      <c r="C319" s="3" t="s">
        <v>1</v>
      </c>
      <c r="D319" s="3" t="s">
        <v>2</v>
      </c>
      <c r="E319" s="3" t="s">
        <v>578</v>
      </c>
      <c r="F319" s="3" t="s">
        <v>2727</v>
      </c>
      <c r="G319" s="3" t="s">
        <v>2728</v>
      </c>
      <c r="H319" s="3" t="s">
        <v>2729</v>
      </c>
      <c r="I319" s="3" t="s">
        <v>2730</v>
      </c>
      <c r="J319" s="3" t="s">
        <v>2731</v>
      </c>
      <c r="L319" s="3" t="s">
        <v>1157</v>
      </c>
      <c r="M319" s="3"/>
      <c r="N319" s="3" t="s">
        <v>1177</v>
      </c>
      <c r="O319" s="3" t="s">
        <v>1097</v>
      </c>
      <c r="P319" s="3" t="s">
        <v>876</v>
      </c>
    </row>
    <row r="320" spans="1:16">
      <c r="A320" s="2">
        <v>5012097</v>
      </c>
      <c r="B320" s="3" t="s">
        <v>579</v>
      </c>
      <c r="C320" s="3" t="s">
        <v>1</v>
      </c>
      <c r="D320" s="3" t="s">
        <v>2</v>
      </c>
      <c r="E320" s="3" t="s">
        <v>580</v>
      </c>
      <c r="F320" s="3" t="s">
        <v>2732</v>
      </c>
      <c r="G320" s="3" t="s">
        <v>2733</v>
      </c>
      <c r="H320" s="3" t="s">
        <v>2734</v>
      </c>
      <c r="I320" s="3" t="s">
        <v>2735</v>
      </c>
      <c r="J320" s="3" t="s">
        <v>2736</v>
      </c>
      <c r="L320" s="3" t="s">
        <v>2737</v>
      </c>
      <c r="M320" s="3"/>
      <c r="N320" s="3" t="s">
        <v>1158</v>
      </c>
      <c r="O320" s="3" t="s">
        <v>1097</v>
      </c>
      <c r="P320" s="3" t="s">
        <v>876</v>
      </c>
    </row>
    <row r="321" spans="1:16">
      <c r="A321" s="2">
        <v>5010097</v>
      </c>
      <c r="B321" s="3" t="s">
        <v>581</v>
      </c>
      <c r="C321" s="3" t="s">
        <v>1</v>
      </c>
      <c r="D321" s="3" t="s">
        <v>2</v>
      </c>
      <c r="E321" s="3" t="s">
        <v>582</v>
      </c>
      <c r="F321" s="3" t="s">
        <v>2738</v>
      </c>
      <c r="G321" s="3" t="s">
        <v>2739</v>
      </c>
      <c r="H321" s="3" t="s">
        <v>2740</v>
      </c>
      <c r="I321" s="3" t="s">
        <v>2741</v>
      </c>
      <c r="J321" s="3" t="s">
        <v>2742</v>
      </c>
      <c r="L321" s="3" t="s">
        <v>1032</v>
      </c>
      <c r="M321" s="3"/>
      <c r="N321" s="3" t="s">
        <v>1342</v>
      </c>
      <c r="O321" s="3" t="s">
        <v>919</v>
      </c>
      <c r="P321" s="3" t="s">
        <v>876</v>
      </c>
    </row>
    <row r="322" spans="1:16">
      <c r="A322" s="2">
        <v>5009097</v>
      </c>
      <c r="B322" s="3" t="s">
        <v>583</v>
      </c>
      <c r="C322" s="3" t="s">
        <v>1</v>
      </c>
      <c r="D322" s="3" t="s">
        <v>76</v>
      </c>
      <c r="E322" s="3" t="s">
        <v>543</v>
      </c>
      <c r="F322" s="3" t="s">
        <v>2743</v>
      </c>
      <c r="G322" s="3" t="s">
        <v>2744</v>
      </c>
      <c r="H322" s="3" t="s">
        <v>2745</v>
      </c>
      <c r="I322" s="3" t="s">
        <v>2746</v>
      </c>
      <c r="J322" s="3" t="s">
        <v>2747</v>
      </c>
      <c r="L322" s="3" t="s">
        <v>1164</v>
      </c>
      <c r="M322" s="3"/>
      <c r="N322" s="3" t="s">
        <v>966</v>
      </c>
      <c r="O322" s="3" t="s">
        <v>1097</v>
      </c>
      <c r="P322" s="3" t="s">
        <v>876</v>
      </c>
    </row>
    <row r="323" spans="1:16">
      <c r="A323" s="2">
        <v>5008097</v>
      </c>
      <c r="B323" s="3" t="s">
        <v>584</v>
      </c>
      <c r="C323" s="3" t="s">
        <v>1</v>
      </c>
      <c r="D323" s="3" t="s">
        <v>76</v>
      </c>
      <c r="E323" s="3" t="s">
        <v>543</v>
      </c>
      <c r="F323" s="3" t="s">
        <v>2748</v>
      </c>
      <c r="G323" s="3" t="s">
        <v>2749</v>
      </c>
      <c r="H323" s="3" t="s">
        <v>2750</v>
      </c>
      <c r="I323" s="3" t="s">
        <v>2751</v>
      </c>
      <c r="J323" s="3" t="s">
        <v>2752</v>
      </c>
      <c r="L323" s="3" t="s">
        <v>1164</v>
      </c>
      <c r="M323" s="3"/>
      <c r="N323" s="3" t="s">
        <v>1096</v>
      </c>
      <c r="O323" s="3" t="s">
        <v>1097</v>
      </c>
      <c r="P323" s="3" t="s">
        <v>876</v>
      </c>
    </row>
    <row r="324" spans="1:16">
      <c r="A324" s="2">
        <v>5007097</v>
      </c>
      <c r="B324" s="3" t="s">
        <v>585</v>
      </c>
      <c r="C324" s="3" t="s">
        <v>1</v>
      </c>
      <c r="D324" s="3" t="s">
        <v>7</v>
      </c>
      <c r="E324" s="3" t="s">
        <v>289</v>
      </c>
      <c r="F324" s="3" t="s">
        <v>2753</v>
      </c>
      <c r="G324" s="3" t="s">
        <v>2754</v>
      </c>
      <c r="H324" s="3" t="s">
        <v>2755</v>
      </c>
      <c r="I324" s="3" t="s">
        <v>2756</v>
      </c>
      <c r="J324" s="3" t="s">
        <v>2757</v>
      </c>
      <c r="L324" s="3" t="s">
        <v>2070</v>
      </c>
      <c r="M324" s="3"/>
      <c r="N324" s="3" t="s">
        <v>2559</v>
      </c>
      <c r="O324" s="3" t="s">
        <v>919</v>
      </c>
      <c r="P324" s="3" t="s">
        <v>876</v>
      </c>
    </row>
    <row r="325" spans="1:16">
      <c r="A325" s="2">
        <v>5001097</v>
      </c>
      <c r="B325" s="3" t="s">
        <v>586</v>
      </c>
      <c r="C325" s="3" t="s">
        <v>1</v>
      </c>
      <c r="D325" s="3" t="s">
        <v>76</v>
      </c>
      <c r="E325" s="3" t="s">
        <v>460</v>
      </c>
      <c r="F325" s="3" t="s">
        <v>2758</v>
      </c>
      <c r="G325" s="3" t="s">
        <v>2759</v>
      </c>
      <c r="H325" s="3" t="s">
        <v>2760</v>
      </c>
      <c r="I325" s="3" t="s">
        <v>2761</v>
      </c>
      <c r="J325" s="3" t="s">
        <v>2762</v>
      </c>
      <c r="L325" s="3" t="s">
        <v>897</v>
      </c>
      <c r="M325" s="3"/>
      <c r="N325" s="3" t="s">
        <v>1158</v>
      </c>
      <c r="O325" s="3" t="s">
        <v>1097</v>
      </c>
      <c r="P325" s="3" t="s">
        <v>876</v>
      </c>
    </row>
    <row r="326" spans="1:16">
      <c r="A326" s="2">
        <v>5000097</v>
      </c>
      <c r="B326" s="3" t="s">
        <v>587</v>
      </c>
      <c r="C326" s="3" t="s">
        <v>1</v>
      </c>
      <c r="D326" s="3" t="s">
        <v>2</v>
      </c>
      <c r="E326" s="3" t="s">
        <v>20</v>
      </c>
      <c r="F326" s="3" t="s">
        <v>2763</v>
      </c>
      <c r="G326" s="3" t="s">
        <v>2764</v>
      </c>
      <c r="H326" s="3" t="s">
        <v>2765</v>
      </c>
      <c r="I326" s="3" t="s">
        <v>2766</v>
      </c>
      <c r="J326" s="3" t="s">
        <v>2767</v>
      </c>
      <c r="L326" s="3" t="s">
        <v>2768</v>
      </c>
      <c r="M326" s="3"/>
      <c r="N326" s="3" t="s">
        <v>1298</v>
      </c>
      <c r="O326" s="3" t="s">
        <v>919</v>
      </c>
      <c r="P326" s="3" t="s">
        <v>876</v>
      </c>
    </row>
    <row r="327" spans="1:16">
      <c r="A327" s="2">
        <v>4999097</v>
      </c>
      <c r="B327" s="3" t="s">
        <v>588</v>
      </c>
      <c r="C327" s="3" t="s">
        <v>1</v>
      </c>
      <c r="D327" s="3" t="s">
        <v>2</v>
      </c>
      <c r="E327" s="3" t="s">
        <v>460</v>
      </c>
      <c r="F327" s="3" t="s">
        <v>2769</v>
      </c>
      <c r="G327" s="3" t="s">
        <v>2770</v>
      </c>
      <c r="H327" s="3" t="s">
        <v>2771</v>
      </c>
      <c r="I327" s="3" t="s">
        <v>2772</v>
      </c>
      <c r="J327" s="3" t="s">
        <v>2773</v>
      </c>
      <c r="L327" s="3" t="s">
        <v>897</v>
      </c>
      <c r="M327" s="3"/>
      <c r="N327" s="3" t="s">
        <v>2774</v>
      </c>
      <c r="O327" s="3" t="s">
        <v>919</v>
      </c>
      <c r="P327" s="3" t="s">
        <v>876</v>
      </c>
    </row>
    <row r="328" spans="1:16">
      <c r="A328" s="2">
        <v>4997097</v>
      </c>
      <c r="B328" s="3" t="s">
        <v>589</v>
      </c>
      <c r="C328" s="3" t="s">
        <v>1</v>
      </c>
      <c r="D328" s="3" t="s">
        <v>2</v>
      </c>
      <c r="E328" s="3" t="s">
        <v>464</v>
      </c>
      <c r="F328" s="3" t="s">
        <v>2775</v>
      </c>
      <c r="G328" s="3" t="s">
        <v>2776</v>
      </c>
      <c r="H328" s="3" t="s">
        <v>2777</v>
      </c>
      <c r="I328" s="3" t="s">
        <v>2778</v>
      </c>
      <c r="J328" s="3" t="s">
        <v>2779</v>
      </c>
      <c r="L328" s="3" t="s">
        <v>2780</v>
      </c>
      <c r="M328" s="3"/>
      <c r="N328" s="3" t="s">
        <v>1056</v>
      </c>
      <c r="O328" s="3" t="s">
        <v>875</v>
      </c>
      <c r="P328" s="3" t="s">
        <v>876</v>
      </c>
    </row>
    <row r="329" spans="1:16">
      <c r="A329" s="2">
        <v>4986097</v>
      </c>
      <c r="B329" s="3" t="s">
        <v>591</v>
      </c>
      <c r="C329" s="3" t="s">
        <v>1</v>
      </c>
      <c r="D329" s="3" t="s">
        <v>7</v>
      </c>
      <c r="E329" s="3" t="s">
        <v>289</v>
      </c>
      <c r="F329" s="3" t="s">
        <v>2781</v>
      </c>
      <c r="G329" s="3" t="s">
        <v>2782</v>
      </c>
      <c r="H329" s="3" t="s">
        <v>2783</v>
      </c>
      <c r="I329" s="3" t="s">
        <v>2784</v>
      </c>
      <c r="J329" s="3" t="s">
        <v>2785</v>
      </c>
      <c r="L329" s="3" t="s">
        <v>1762</v>
      </c>
      <c r="M329" s="3"/>
      <c r="N329" s="3" t="s">
        <v>2071</v>
      </c>
      <c r="O329" s="3" t="s">
        <v>919</v>
      </c>
      <c r="P329" s="3" t="s">
        <v>876</v>
      </c>
    </row>
    <row r="330" spans="1:16">
      <c r="A330" s="2">
        <v>4984097</v>
      </c>
      <c r="B330" s="3" t="s">
        <v>592</v>
      </c>
      <c r="C330" s="3" t="s">
        <v>1</v>
      </c>
      <c r="D330" s="3" t="s">
        <v>76</v>
      </c>
      <c r="E330" s="3" t="s">
        <v>470</v>
      </c>
      <c r="F330" s="3" t="s">
        <v>2786</v>
      </c>
      <c r="G330" s="3" t="s">
        <v>2787</v>
      </c>
      <c r="H330" s="3" t="s">
        <v>2788</v>
      </c>
      <c r="I330" s="3" t="s">
        <v>2789</v>
      </c>
      <c r="J330" s="3" t="s">
        <v>2790</v>
      </c>
      <c r="L330" s="3" t="s">
        <v>1103</v>
      </c>
      <c r="M330" s="3"/>
      <c r="N330" s="3" t="s">
        <v>1235</v>
      </c>
      <c r="O330" s="3" t="s">
        <v>1097</v>
      </c>
      <c r="P330" s="3" t="s">
        <v>876</v>
      </c>
    </row>
    <row r="331" spans="1:16">
      <c r="A331" s="2">
        <v>4981097</v>
      </c>
      <c r="B331" s="3" t="s">
        <v>593</v>
      </c>
      <c r="C331" s="3" t="s">
        <v>1</v>
      </c>
      <c r="D331" s="3" t="s">
        <v>2</v>
      </c>
      <c r="E331" s="3" t="s">
        <v>594</v>
      </c>
      <c r="F331" s="3" t="s">
        <v>2791</v>
      </c>
      <c r="G331" s="3" t="s">
        <v>2792</v>
      </c>
      <c r="H331" s="3" t="s">
        <v>2793</v>
      </c>
      <c r="I331" s="3" t="s">
        <v>2794</v>
      </c>
      <c r="J331" s="3" t="s">
        <v>2795</v>
      </c>
      <c r="L331" s="3" t="s">
        <v>2796</v>
      </c>
      <c r="M331" s="3"/>
      <c r="N331" s="3" t="s">
        <v>1126</v>
      </c>
      <c r="O331" s="3" t="s">
        <v>919</v>
      </c>
      <c r="P331" s="3" t="s">
        <v>876</v>
      </c>
    </row>
    <row r="332" spans="1:16">
      <c r="A332" s="2">
        <v>4980097</v>
      </c>
      <c r="B332" s="3" t="s">
        <v>595</v>
      </c>
      <c r="C332" s="3" t="s">
        <v>1</v>
      </c>
      <c r="D332" s="3" t="s">
        <v>2</v>
      </c>
      <c r="E332" s="3" t="s">
        <v>594</v>
      </c>
      <c r="F332" s="3" t="s">
        <v>2797</v>
      </c>
      <c r="G332" s="3" t="s">
        <v>2798</v>
      </c>
      <c r="H332" s="3" t="s">
        <v>2799</v>
      </c>
      <c r="I332" s="3" t="s">
        <v>2800</v>
      </c>
      <c r="J332" s="3" t="s">
        <v>2801</v>
      </c>
      <c r="L332" s="3" t="s">
        <v>2796</v>
      </c>
      <c r="M332" s="3"/>
      <c r="N332" s="3" t="s">
        <v>918</v>
      </c>
      <c r="O332" s="3" t="s">
        <v>919</v>
      </c>
      <c r="P332" s="3" t="s">
        <v>876</v>
      </c>
    </row>
    <row r="333" spans="1:16">
      <c r="A333" s="2">
        <v>4978097</v>
      </c>
      <c r="B333" s="3" t="s">
        <v>596</v>
      </c>
      <c r="C333" s="3" t="s">
        <v>1</v>
      </c>
      <c r="D333" s="3" t="s">
        <v>76</v>
      </c>
      <c r="E333" s="3" t="s">
        <v>597</v>
      </c>
      <c r="F333" s="3" t="s">
        <v>2802</v>
      </c>
      <c r="G333" s="3" t="s">
        <v>2803</v>
      </c>
      <c r="H333" s="3" t="s">
        <v>2804</v>
      </c>
      <c r="I333" s="3" t="s">
        <v>2805</v>
      </c>
      <c r="J333" s="3" t="s">
        <v>2806</v>
      </c>
      <c r="L333" s="3" t="s">
        <v>1274</v>
      </c>
      <c r="M333" s="3"/>
      <c r="N333" s="3" t="s">
        <v>1672</v>
      </c>
      <c r="O333" s="3" t="s">
        <v>1097</v>
      </c>
      <c r="P333" s="3" t="s">
        <v>876</v>
      </c>
    </row>
    <row r="334" spans="1:16">
      <c r="A334" s="2">
        <v>4977097</v>
      </c>
      <c r="B334" s="3" t="s">
        <v>598</v>
      </c>
      <c r="C334" s="3" t="s">
        <v>1</v>
      </c>
      <c r="D334" s="3" t="s">
        <v>2</v>
      </c>
      <c r="E334" s="3" t="s">
        <v>599</v>
      </c>
      <c r="F334" s="3" t="s">
        <v>2807</v>
      </c>
      <c r="G334" s="3" t="s">
        <v>2808</v>
      </c>
      <c r="H334" s="3" t="s">
        <v>2809</v>
      </c>
      <c r="I334" s="3" t="s">
        <v>2810</v>
      </c>
      <c r="J334" s="3" t="s">
        <v>2811</v>
      </c>
      <c r="L334" s="3" t="s">
        <v>1032</v>
      </c>
      <c r="M334" s="3"/>
      <c r="N334" s="3" t="s">
        <v>1229</v>
      </c>
      <c r="O334" s="3" t="s">
        <v>1097</v>
      </c>
      <c r="P334" s="3" t="s">
        <v>876</v>
      </c>
    </row>
    <row r="335" spans="1:16">
      <c r="A335" s="2">
        <v>4976097</v>
      </c>
      <c r="B335" s="3" t="s">
        <v>600</v>
      </c>
      <c r="C335" s="3" t="s">
        <v>1</v>
      </c>
      <c r="D335" s="3" t="s">
        <v>7</v>
      </c>
      <c r="E335" s="3" t="s">
        <v>464</v>
      </c>
      <c r="F335" s="3" t="s">
        <v>2812</v>
      </c>
      <c r="G335" s="3" t="s">
        <v>2813</v>
      </c>
      <c r="H335" s="3" t="s">
        <v>2814</v>
      </c>
      <c r="I335" s="3" t="s">
        <v>2815</v>
      </c>
      <c r="J335" s="3" t="s">
        <v>2816</v>
      </c>
      <c r="L335" s="3" t="s">
        <v>2780</v>
      </c>
      <c r="M335" s="3"/>
      <c r="N335" s="3" t="s">
        <v>1920</v>
      </c>
      <c r="O335" s="3" t="s">
        <v>875</v>
      </c>
      <c r="P335" s="3" t="s">
        <v>876</v>
      </c>
    </row>
    <row r="336" spans="1:16">
      <c r="A336" s="2">
        <v>4975097</v>
      </c>
      <c r="B336" s="3" t="s">
        <v>601</v>
      </c>
      <c r="C336" s="3" t="s">
        <v>1</v>
      </c>
      <c r="D336" s="3" t="s">
        <v>2</v>
      </c>
      <c r="E336" s="3" t="s">
        <v>602</v>
      </c>
      <c r="F336" s="3" t="s">
        <v>2817</v>
      </c>
      <c r="G336" s="3" t="s">
        <v>2818</v>
      </c>
      <c r="H336" s="3" t="s">
        <v>2819</v>
      </c>
      <c r="I336" s="3" t="s">
        <v>2820</v>
      </c>
      <c r="J336" s="3" t="s">
        <v>2821</v>
      </c>
      <c r="L336" s="3" t="s">
        <v>2822</v>
      </c>
      <c r="M336" s="3"/>
      <c r="N336" s="3" t="s">
        <v>2823</v>
      </c>
      <c r="O336" s="3" t="s">
        <v>919</v>
      </c>
      <c r="P336" s="3" t="s">
        <v>876</v>
      </c>
    </row>
    <row r="337" spans="1:16">
      <c r="A337" s="2">
        <v>4974097</v>
      </c>
      <c r="B337" s="3" t="s">
        <v>604</v>
      </c>
      <c r="C337" s="3" t="s">
        <v>1</v>
      </c>
      <c r="D337" s="3" t="s">
        <v>2</v>
      </c>
      <c r="E337" s="3" t="s">
        <v>275</v>
      </c>
      <c r="F337" s="3" t="s">
        <v>2824</v>
      </c>
      <c r="G337" s="3" t="s">
        <v>2825</v>
      </c>
      <c r="H337" s="3" t="s">
        <v>2826</v>
      </c>
      <c r="I337" s="3" t="s">
        <v>2827</v>
      </c>
      <c r="J337" s="3" t="s">
        <v>2828</v>
      </c>
      <c r="L337" s="3" t="s">
        <v>2829</v>
      </c>
      <c r="M337" s="3"/>
      <c r="N337" s="3" t="s">
        <v>1557</v>
      </c>
      <c r="O337" s="3" t="s">
        <v>919</v>
      </c>
      <c r="P337" s="3" t="s">
        <v>876</v>
      </c>
    </row>
    <row r="338" spans="1:16">
      <c r="A338" s="2">
        <v>4973097</v>
      </c>
      <c r="B338" s="3" t="s">
        <v>606</v>
      </c>
      <c r="C338" s="3" t="s">
        <v>1</v>
      </c>
      <c r="D338" s="3" t="s">
        <v>2</v>
      </c>
      <c r="E338" s="3" t="s">
        <v>607</v>
      </c>
      <c r="F338" s="3" t="s">
        <v>2830</v>
      </c>
      <c r="G338" s="3" t="s">
        <v>2831</v>
      </c>
      <c r="H338" s="3" t="s">
        <v>2832</v>
      </c>
      <c r="I338" s="3" t="s">
        <v>2833</v>
      </c>
      <c r="J338" s="3" t="s">
        <v>2834</v>
      </c>
      <c r="L338" s="3" t="s">
        <v>2835</v>
      </c>
      <c r="M338" s="3"/>
      <c r="N338" s="3" t="s">
        <v>1876</v>
      </c>
      <c r="O338" s="3" t="s">
        <v>919</v>
      </c>
      <c r="P338" s="3" t="s">
        <v>876</v>
      </c>
    </row>
    <row r="339" spans="1:16">
      <c r="A339" s="2">
        <v>4963097</v>
      </c>
      <c r="B339" s="3" t="s">
        <v>609</v>
      </c>
      <c r="C339" s="3" t="s">
        <v>1</v>
      </c>
      <c r="D339" s="3" t="s">
        <v>7</v>
      </c>
      <c r="E339" s="3" t="s">
        <v>300</v>
      </c>
      <c r="F339" s="3" t="s">
        <v>2836</v>
      </c>
      <c r="G339" s="3" t="s">
        <v>2837</v>
      </c>
      <c r="H339" s="3" t="s">
        <v>2838</v>
      </c>
      <c r="I339" s="3" t="s">
        <v>2839</v>
      </c>
      <c r="J339" s="3" t="s">
        <v>2840</v>
      </c>
      <c r="L339" s="3" t="s">
        <v>1791</v>
      </c>
      <c r="M339" s="3"/>
      <c r="N339" s="3" t="s">
        <v>1075</v>
      </c>
      <c r="O339" s="3" t="s">
        <v>919</v>
      </c>
      <c r="P339" s="3" t="s">
        <v>876</v>
      </c>
    </row>
    <row r="340" spans="1:16">
      <c r="A340" s="2">
        <v>4962097</v>
      </c>
      <c r="B340" s="3" t="s">
        <v>610</v>
      </c>
      <c r="C340" s="3" t="s">
        <v>1</v>
      </c>
      <c r="D340" s="3" t="s">
        <v>7</v>
      </c>
      <c r="E340" s="3" t="s">
        <v>464</v>
      </c>
      <c r="F340" s="3" t="s">
        <v>2841</v>
      </c>
      <c r="G340" s="3" t="s">
        <v>2842</v>
      </c>
      <c r="H340" s="3" t="s">
        <v>2843</v>
      </c>
      <c r="I340" s="3" t="s">
        <v>2844</v>
      </c>
      <c r="J340" s="3" t="s">
        <v>2845</v>
      </c>
      <c r="L340" s="3" t="s">
        <v>2697</v>
      </c>
      <c r="M340" s="3"/>
      <c r="N340" s="3" t="s">
        <v>1920</v>
      </c>
      <c r="O340" s="3" t="s">
        <v>875</v>
      </c>
      <c r="P340" s="3" t="s">
        <v>2274</v>
      </c>
    </row>
    <row r="341" spans="1:16">
      <c r="A341" s="2">
        <v>4960097</v>
      </c>
      <c r="B341" s="3" t="s">
        <v>611</v>
      </c>
      <c r="C341" s="3" t="s">
        <v>1</v>
      </c>
      <c r="D341" s="3" t="s">
        <v>2</v>
      </c>
      <c r="E341" s="3" t="s">
        <v>612</v>
      </c>
      <c r="F341" s="3" t="s">
        <v>2846</v>
      </c>
      <c r="G341" s="3" t="s">
        <v>2847</v>
      </c>
      <c r="H341" s="3" t="s">
        <v>2848</v>
      </c>
      <c r="I341" s="3" t="s">
        <v>2849</v>
      </c>
      <c r="J341" s="3" t="s">
        <v>2850</v>
      </c>
      <c r="L341" s="3" t="s">
        <v>1528</v>
      </c>
      <c r="M341" s="3"/>
      <c r="N341" s="3" t="s">
        <v>1492</v>
      </c>
      <c r="O341" s="3" t="s">
        <v>1097</v>
      </c>
      <c r="P341" s="3" t="s">
        <v>876</v>
      </c>
    </row>
    <row r="342" spans="1:16">
      <c r="A342" s="2">
        <v>4959097</v>
      </c>
      <c r="B342" s="3" t="s">
        <v>613</v>
      </c>
      <c r="C342" s="3" t="s">
        <v>1</v>
      </c>
      <c r="D342" s="3" t="s">
        <v>2</v>
      </c>
      <c r="E342" s="3" t="s">
        <v>228</v>
      </c>
      <c r="F342" s="3" t="s">
        <v>2851</v>
      </c>
      <c r="G342" s="3" t="s">
        <v>2852</v>
      </c>
      <c r="H342" s="3" t="s">
        <v>2853</v>
      </c>
      <c r="I342" s="3" t="s">
        <v>2854</v>
      </c>
      <c r="J342" s="3" t="s">
        <v>2855</v>
      </c>
      <c r="L342" s="3" t="s">
        <v>1503</v>
      </c>
      <c r="M342" s="3"/>
      <c r="N342" s="3" t="s">
        <v>1082</v>
      </c>
      <c r="O342" s="3" t="s">
        <v>1097</v>
      </c>
      <c r="P342" s="3" t="s">
        <v>876</v>
      </c>
    </row>
    <row r="343" spans="1:16">
      <c r="A343" s="2">
        <v>4958097</v>
      </c>
      <c r="B343" s="3" t="s">
        <v>614</v>
      </c>
      <c r="C343" s="3" t="s">
        <v>1</v>
      </c>
      <c r="D343" s="3" t="s">
        <v>2</v>
      </c>
      <c r="E343" s="3" t="s">
        <v>615</v>
      </c>
      <c r="F343" s="3" t="s">
        <v>2856</v>
      </c>
      <c r="G343" s="3" t="s">
        <v>2857</v>
      </c>
      <c r="H343" s="3" t="s">
        <v>2858</v>
      </c>
      <c r="I343" s="3" t="s">
        <v>2859</v>
      </c>
      <c r="J343" s="3" t="s">
        <v>2860</v>
      </c>
      <c r="L343" s="3" t="s">
        <v>2861</v>
      </c>
      <c r="M343" s="3"/>
      <c r="N343" s="3" t="s">
        <v>1455</v>
      </c>
      <c r="O343" s="3" t="s">
        <v>919</v>
      </c>
      <c r="P343" s="3" t="s">
        <v>876</v>
      </c>
    </row>
    <row r="344" spans="1:16">
      <c r="A344" s="2">
        <v>4957097</v>
      </c>
      <c r="B344" s="3" t="s">
        <v>617</v>
      </c>
      <c r="C344" s="3" t="s">
        <v>1</v>
      </c>
      <c r="D344" s="3" t="s">
        <v>2</v>
      </c>
      <c r="E344" s="3" t="s">
        <v>618</v>
      </c>
      <c r="F344" s="3" t="s">
        <v>2862</v>
      </c>
      <c r="G344" s="3" t="s">
        <v>2863</v>
      </c>
      <c r="H344" s="3" t="s">
        <v>2864</v>
      </c>
      <c r="I344" s="3" t="s">
        <v>2865</v>
      </c>
      <c r="J344" s="3" t="s">
        <v>2866</v>
      </c>
      <c r="L344" s="3" t="s">
        <v>2867</v>
      </c>
      <c r="M344" s="3"/>
      <c r="N344" s="3" t="s">
        <v>994</v>
      </c>
      <c r="O344" s="3" t="s">
        <v>1097</v>
      </c>
      <c r="P344" s="3" t="s">
        <v>876</v>
      </c>
    </row>
    <row r="345" spans="1:16">
      <c r="A345" s="2">
        <v>4956097</v>
      </c>
      <c r="B345" s="3" t="s">
        <v>619</v>
      </c>
      <c r="C345" s="3" t="s">
        <v>1</v>
      </c>
      <c r="D345" s="3" t="s">
        <v>2</v>
      </c>
      <c r="E345" s="3" t="s">
        <v>620</v>
      </c>
      <c r="F345" s="3" t="s">
        <v>2868</v>
      </c>
      <c r="G345" s="3" t="s">
        <v>2869</v>
      </c>
      <c r="H345" s="3" t="s">
        <v>2870</v>
      </c>
      <c r="I345" s="3" t="s">
        <v>2871</v>
      </c>
      <c r="J345" s="3" t="s">
        <v>2872</v>
      </c>
      <c r="L345" s="3" t="s">
        <v>2873</v>
      </c>
      <c r="M345" s="3"/>
      <c r="N345" s="3" t="s">
        <v>1474</v>
      </c>
      <c r="O345" s="3" t="s">
        <v>1097</v>
      </c>
      <c r="P345" s="3" t="s">
        <v>876</v>
      </c>
    </row>
    <row r="346" spans="1:16">
      <c r="A346" s="2">
        <v>4955097</v>
      </c>
      <c r="B346" s="3" t="s">
        <v>621</v>
      </c>
      <c r="C346" s="3" t="s">
        <v>1</v>
      </c>
      <c r="D346" s="3" t="s">
        <v>2</v>
      </c>
      <c r="E346" s="3" t="s">
        <v>622</v>
      </c>
      <c r="F346" s="3" t="s">
        <v>2874</v>
      </c>
      <c r="G346" s="3" t="s">
        <v>2875</v>
      </c>
      <c r="H346" s="3" t="s">
        <v>2876</v>
      </c>
      <c r="I346" s="3" t="s">
        <v>2877</v>
      </c>
      <c r="J346" s="3" t="s">
        <v>2878</v>
      </c>
      <c r="L346" s="3" t="s">
        <v>2168</v>
      </c>
      <c r="M346" s="3"/>
      <c r="N346" s="3" t="s">
        <v>1205</v>
      </c>
      <c r="O346" s="3" t="s">
        <v>1097</v>
      </c>
      <c r="P346" s="3" t="s">
        <v>876</v>
      </c>
    </row>
    <row r="347" spans="1:16">
      <c r="A347" s="2">
        <v>4954097</v>
      </c>
      <c r="B347" s="3" t="s">
        <v>623</v>
      </c>
      <c r="C347" s="3" t="s">
        <v>1</v>
      </c>
      <c r="D347" s="3" t="s">
        <v>2</v>
      </c>
      <c r="E347" s="3" t="s">
        <v>624</v>
      </c>
      <c r="F347" s="3" t="s">
        <v>2879</v>
      </c>
      <c r="G347" s="3" t="s">
        <v>2880</v>
      </c>
      <c r="H347" s="3" t="s">
        <v>2881</v>
      </c>
      <c r="I347" s="3" t="s">
        <v>2882</v>
      </c>
      <c r="J347" s="3" t="s">
        <v>2883</v>
      </c>
      <c r="L347" s="3" t="s">
        <v>1157</v>
      </c>
      <c r="M347" s="3"/>
      <c r="N347" s="3" t="s">
        <v>947</v>
      </c>
      <c r="O347" s="3" t="s">
        <v>1097</v>
      </c>
      <c r="P347" s="3" t="s">
        <v>876</v>
      </c>
    </row>
    <row r="348" spans="1:16">
      <c r="A348" s="2">
        <v>4953097</v>
      </c>
      <c r="B348" s="3" t="s">
        <v>625</v>
      </c>
      <c r="C348" s="3" t="s">
        <v>1</v>
      </c>
      <c r="D348" s="3" t="s">
        <v>2</v>
      </c>
      <c r="E348" s="3" t="s">
        <v>523</v>
      </c>
      <c r="F348" s="3" t="s">
        <v>2884</v>
      </c>
      <c r="G348" s="3" t="s">
        <v>2885</v>
      </c>
      <c r="H348" s="3" t="s">
        <v>2886</v>
      </c>
      <c r="I348" s="3" t="s">
        <v>2887</v>
      </c>
      <c r="J348" s="3" t="s">
        <v>2888</v>
      </c>
      <c r="L348" s="3" t="s">
        <v>2889</v>
      </c>
      <c r="M348" s="3"/>
      <c r="N348" s="3" t="s">
        <v>1462</v>
      </c>
      <c r="O348" s="3" t="s">
        <v>919</v>
      </c>
      <c r="P348" s="3" t="s">
        <v>876</v>
      </c>
    </row>
    <row r="349" spans="1:16">
      <c r="A349" s="2">
        <v>4952097</v>
      </c>
      <c r="B349" s="3" t="s">
        <v>627</v>
      </c>
      <c r="C349" s="3" t="s">
        <v>1</v>
      </c>
      <c r="D349" s="3" t="s">
        <v>2</v>
      </c>
      <c r="E349" s="3" t="s">
        <v>628</v>
      </c>
      <c r="F349" s="3" t="s">
        <v>2890</v>
      </c>
      <c r="G349" s="3" t="s">
        <v>2891</v>
      </c>
      <c r="H349" s="3" t="s">
        <v>2892</v>
      </c>
      <c r="I349" s="3" t="s">
        <v>2893</v>
      </c>
      <c r="J349" s="3" t="s">
        <v>2894</v>
      </c>
      <c r="L349" s="3" t="s">
        <v>2895</v>
      </c>
      <c r="M349" s="3"/>
      <c r="N349" s="3" t="s">
        <v>947</v>
      </c>
      <c r="O349" s="3" t="s">
        <v>919</v>
      </c>
      <c r="P349" s="3" t="s">
        <v>876</v>
      </c>
    </row>
    <row r="350" spans="1:16">
      <c r="A350" s="2">
        <v>4951097</v>
      </c>
      <c r="B350" s="3" t="s">
        <v>630</v>
      </c>
      <c r="C350" s="3" t="s">
        <v>1</v>
      </c>
      <c r="D350" s="3" t="s">
        <v>2</v>
      </c>
      <c r="E350" s="3" t="s">
        <v>631</v>
      </c>
      <c r="F350" s="3" t="s">
        <v>2896</v>
      </c>
      <c r="G350" s="3" t="s">
        <v>2897</v>
      </c>
      <c r="H350" s="3" t="s">
        <v>2898</v>
      </c>
      <c r="I350" s="3" t="s">
        <v>2899</v>
      </c>
      <c r="J350" s="3" t="s">
        <v>2900</v>
      </c>
      <c r="L350" s="3" t="s">
        <v>2901</v>
      </c>
      <c r="M350" s="3"/>
      <c r="N350" s="3" t="s">
        <v>1551</v>
      </c>
      <c r="O350" s="3" t="s">
        <v>919</v>
      </c>
      <c r="P350" s="3" t="s">
        <v>876</v>
      </c>
    </row>
    <row r="351" spans="1:16">
      <c r="A351" s="2">
        <v>4949097</v>
      </c>
      <c r="B351" s="3" t="s">
        <v>633</v>
      </c>
      <c r="C351" s="3" t="s">
        <v>1</v>
      </c>
      <c r="D351" s="3" t="s">
        <v>7</v>
      </c>
      <c r="E351" s="3" t="s">
        <v>523</v>
      </c>
      <c r="F351" s="3" t="s">
        <v>2902</v>
      </c>
      <c r="G351" s="3" t="s">
        <v>2903</v>
      </c>
      <c r="H351" s="3" t="s">
        <v>2904</v>
      </c>
      <c r="I351" s="3" t="s">
        <v>2905</v>
      </c>
      <c r="J351" s="3" t="s">
        <v>2906</v>
      </c>
      <c r="L351" s="3" t="s">
        <v>2558</v>
      </c>
      <c r="M351" s="3"/>
      <c r="N351" s="3" t="s">
        <v>1792</v>
      </c>
      <c r="O351" s="3" t="s">
        <v>919</v>
      </c>
      <c r="P351" s="3" t="s">
        <v>876</v>
      </c>
    </row>
    <row r="352" spans="1:16">
      <c r="A352" s="2">
        <v>4942097</v>
      </c>
      <c r="B352" s="3" t="s">
        <v>634</v>
      </c>
      <c r="C352" s="3" t="s">
        <v>1</v>
      </c>
      <c r="D352" s="3" t="s">
        <v>2</v>
      </c>
      <c r="E352" s="3" t="s">
        <v>635</v>
      </c>
      <c r="F352" s="3" t="s">
        <v>2907</v>
      </c>
      <c r="G352" s="3" t="s">
        <v>2908</v>
      </c>
      <c r="H352" s="3" t="s">
        <v>2909</v>
      </c>
      <c r="I352" s="3" t="s">
        <v>2910</v>
      </c>
      <c r="J352" s="3" t="s">
        <v>2911</v>
      </c>
      <c r="L352" s="3" t="s">
        <v>2912</v>
      </c>
      <c r="M352" s="3"/>
      <c r="N352" s="3" t="s">
        <v>1424</v>
      </c>
      <c r="O352" s="3" t="s">
        <v>919</v>
      </c>
      <c r="P352" s="3" t="s">
        <v>876</v>
      </c>
    </row>
    <row r="353" spans="1:16">
      <c r="A353" s="2">
        <v>4941097</v>
      </c>
      <c r="B353" s="3" t="s">
        <v>637</v>
      </c>
      <c r="C353" s="3" t="s">
        <v>1</v>
      </c>
      <c r="D353" s="3" t="s">
        <v>2</v>
      </c>
      <c r="E353" s="3" t="s">
        <v>638</v>
      </c>
      <c r="F353" s="3" t="s">
        <v>2913</v>
      </c>
      <c r="G353" s="3" t="s">
        <v>2914</v>
      </c>
      <c r="H353" s="3" t="s">
        <v>2915</v>
      </c>
      <c r="I353" s="3" t="s">
        <v>2916</v>
      </c>
      <c r="J353" s="3" t="s">
        <v>2917</v>
      </c>
      <c r="L353" s="3" t="s">
        <v>2918</v>
      </c>
      <c r="M353" s="3"/>
      <c r="N353" s="3" t="s">
        <v>2394</v>
      </c>
      <c r="O353" s="3" t="s">
        <v>919</v>
      </c>
      <c r="P353" s="3" t="s">
        <v>876</v>
      </c>
    </row>
    <row r="354" spans="1:16">
      <c r="A354" s="2">
        <v>4940097</v>
      </c>
      <c r="B354" s="3" t="s">
        <v>640</v>
      </c>
      <c r="C354" s="3" t="s">
        <v>1</v>
      </c>
      <c r="D354" s="3" t="s">
        <v>2</v>
      </c>
      <c r="E354" s="3" t="s">
        <v>641</v>
      </c>
      <c r="F354" s="3" t="s">
        <v>2919</v>
      </c>
      <c r="G354" s="3" t="s">
        <v>2920</v>
      </c>
      <c r="H354" s="3" t="s">
        <v>2921</v>
      </c>
      <c r="I354" s="3" t="s">
        <v>2922</v>
      </c>
      <c r="J354" s="3" t="s">
        <v>2923</v>
      </c>
      <c r="L354" s="3" t="s">
        <v>2924</v>
      </c>
      <c r="M354" s="3"/>
      <c r="N354" s="3" t="s">
        <v>2925</v>
      </c>
      <c r="O354" s="3" t="s">
        <v>919</v>
      </c>
      <c r="P354" s="3" t="s">
        <v>876</v>
      </c>
    </row>
    <row r="355" spans="1:16">
      <c r="A355" s="2">
        <v>4939097</v>
      </c>
      <c r="B355" s="3" t="s">
        <v>643</v>
      </c>
      <c r="C355" s="3" t="s">
        <v>1</v>
      </c>
      <c r="D355" s="3" t="s">
        <v>2</v>
      </c>
      <c r="E355" s="3" t="s">
        <v>644</v>
      </c>
      <c r="F355" s="3" t="s">
        <v>2926</v>
      </c>
      <c r="G355" s="3" t="s">
        <v>2927</v>
      </c>
      <c r="H355" s="3" t="s">
        <v>2928</v>
      </c>
      <c r="I355" s="3" t="s">
        <v>2929</v>
      </c>
      <c r="J355" s="3" t="s">
        <v>2930</v>
      </c>
      <c r="L355" s="3" t="s">
        <v>2931</v>
      </c>
      <c r="M355" s="3"/>
      <c r="N355" s="3" t="s">
        <v>1926</v>
      </c>
      <c r="O355" s="3" t="s">
        <v>919</v>
      </c>
      <c r="P355" s="3" t="s">
        <v>876</v>
      </c>
    </row>
    <row r="356" spans="1:16">
      <c r="A356" s="2">
        <v>4938097</v>
      </c>
      <c r="B356" s="3" t="s">
        <v>646</v>
      </c>
      <c r="C356" s="3" t="s">
        <v>1</v>
      </c>
      <c r="D356" s="3" t="s">
        <v>2</v>
      </c>
      <c r="E356" s="3" t="s">
        <v>647</v>
      </c>
      <c r="F356" s="3" t="s">
        <v>2932</v>
      </c>
      <c r="G356" s="3" t="s">
        <v>2933</v>
      </c>
      <c r="H356" s="3" t="s">
        <v>2934</v>
      </c>
      <c r="I356" s="3" t="s">
        <v>2935</v>
      </c>
      <c r="J356" s="3" t="s">
        <v>2936</v>
      </c>
      <c r="L356" s="3" t="s">
        <v>2937</v>
      </c>
      <c r="M356" s="3"/>
      <c r="N356" s="3" t="s">
        <v>1551</v>
      </c>
      <c r="O356" s="3" t="s">
        <v>919</v>
      </c>
      <c r="P356" s="3" t="s">
        <v>876</v>
      </c>
    </row>
    <row r="357" spans="1:16">
      <c r="A357" s="2">
        <v>4937097</v>
      </c>
      <c r="B357" s="3" t="s">
        <v>649</v>
      </c>
      <c r="C357" s="3" t="s">
        <v>1</v>
      </c>
      <c r="D357" s="3" t="s">
        <v>2</v>
      </c>
      <c r="E357" s="3" t="s">
        <v>650</v>
      </c>
      <c r="F357" s="3" t="s">
        <v>2938</v>
      </c>
      <c r="G357" s="3" t="s">
        <v>2939</v>
      </c>
      <c r="H357" s="3" t="s">
        <v>2940</v>
      </c>
      <c r="I357" s="3" t="s">
        <v>2941</v>
      </c>
      <c r="J357" s="3" t="s">
        <v>2942</v>
      </c>
      <c r="L357" s="3" t="s">
        <v>2943</v>
      </c>
      <c r="M357" s="3"/>
      <c r="N357" s="3" t="s">
        <v>1901</v>
      </c>
      <c r="O357" s="3" t="s">
        <v>919</v>
      </c>
      <c r="P357" s="3" t="s">
        <v>876</v>
      </c>
    </row>
    <row r="358" spans="1:16">
      <c r="A358" s="2">
        <v>4936097</v>
      </c>
      <c r="B358" s="3" t="s">
        <v>652</v>
      </c>
      <c r="C358" s="3" t="s">
        <v>1</v>
      </c>
      <c r="D358" s="3" t="s">
        <v>2</v>
      </c>
      <c r="E358" s="3" t="s">
        <v>653</v>
      </c>
      <c r="F358" s="3" t="s">
        <v>2944</v>
      </c>
      <c r="G358" s="3" t="s">
        <v>2945</v>
      </c>
      <c r="H358" s="3" t="s">
        <v>2946</v>
      </c>
      <c r="I358" s="3" t="s">
        <v>2947</v>
      </c>
      <c r="J358" s="3" t="s">
        <v>2948</v>
      </c>
      <c r="L358" s="3" t="s">
        <v>2949</v>
      </c>
      <c r="M358" s="3"/>
      <c r="N358" s="3" t="s">
        <v>1926</v>
      </c>
      <c r="O358" s="3" t="s">
        <v>919</v>
      </c>
      <c r="P358" s="3" t="s">
        <v>876</v>
      </c>
    </row>
    <row r="359" spans="1:16">
      <c r="A359" s="2">
        <v>4935097</v>
      </c>
      <c r="B359" s="3" t="s">
        <v>655</v>
      </c>
      <c r="C359" s="3" t="s">
        <v>1</v>
      </c>
      <c r="D359" s="3" t="s">
        <v>2</v>
      </c>
      <c r="E359" s="3" t="s">
        <v>26</v>
      </c>
      <c r="F359" s="3" t="s">
        <v>2950</v>
      </c>
      <c r="G359" s="3" t="s">
        <v>2951</v>
      </c>
      <c r="H359" s="3" t="s">
        <v>2952</v>
      </c>
      <c r="I359" s="3" t="s">
        <v>2953</v>
      </c>
      <c r="J359" s="3" t="s">
        <v>2954</v>
      </c>
      <c r="L359" s="3" t="s">
        <v>939</v>
      </c>
      <c r="M359" s="3"/>
      <c r="N359" s="3" t="s">
        <v>1075</v>
      </c>
      <c r="O359" s="3" t="s">
        <v>919</v>
      </c>
      <c r="P359" s="3" t="s">
        <v>876</v>
      </c>
    </row>
    <row r="360" spans="1:16">
      <c r="A360" s="2">
        <v>4934097</v>
      </c>
      <c r="B360" s="3" t="s">
        <v>657</v>
      </c>
      <c r="C360" s="3" t="s">
        <v>1</v>
      </c>
      <c r="D360" s="3" t="s">
        <v>2</v>
      </c>
      <c r="E360" s="3" t="s">
        <v>165</v>
      </c>
      <c r="F360" s="3" t="s">
        <v>2955</v>
      </c>
      <c r="G360" s="3" t="s">
        <v>2956</v>
      </c>
      <c r="H360" s="3" t="s">
        <v>2957</v>
      </c>
      <c r="I360" s="3" t="s">
        <v>2958</v>
      </c>
      <c r="J360" s="3" t="s">
        <v>2959</v>
      </c>
      <c r="L360" s="3" t="s">
        <v>2960</v>
      </c>
      <c r="M360" s="3"/>
      <c r="N360" s="3" t="s">
        <v>1075</v>
      </c>
      <c r="O360" s="3" t="s">
        <v>919</v>
      </c>
      <c r="P360" s="3" t="s">
        <v>876</v>
      </c>
    </row>
    <row r="361" spans="1:16">
      <c r="A361" s="2">
        <v>4932097</v>
      </c>
      <c r="B361" s="3" t="s">
        <v>659</v>
      </c>
      <c r="C361" s="3" t="s">
        <v>1</v>
      </c>
      <c r="D361" s="3" t="s">
        <v>2</v>
      </c>
      <c r="E361" s="3" t="s">
        <v>198</v>
      </c>
      <c r="F361" s="3" t="s">
        <v>2961</v>
      </c>
      <c r="G361" s="3" t="s">
        <v>2962</v>
      </c>
      <c r="H361" s="3" t="s">
        <v>2963</v>
      </c>
      <c r="I361" s="3" t="s">
        <v>2964</v>
      </c>
      <c r="J361" s="3" t="s">
        <v>2965</v>
      </c>
      <c r="L361" s="3" t="s">
        <v>1521</v>
      </c>
      <c r="M361" s="3"/>
      <c r="N361" s="3" t="s">
        <v>947</v>
      </c>
      <c r="O361" s="3" t="s">
        <v>919</v>
      </c>
      <c r="P361" s="3" t="s">
        <v>876</v>
      </c>
    </row>
    <row r="362" spans="1:16">
      <c r="A362" s="2">
        <v>4930097</v>
      </c>
      <c r="B362" s="3" t="s">
        <v>661</v>
      </c>
      <c r="C362" s="3" t="s">
        <v>1</v>
      </c>
      <c r="D362" s="3" t="s">
        <v>2</v>
      </c>
      <c r="E362" s="3" t="s">
        <v>662</v>
      </c>
      <c r="F362" s="3" t="s">
        <v>2966</v>
      </c>
      <c r="G362" s="3" t="s">
        <v>2967</v>
      </c>
      <c r="H362" s="3" t="s">
        <v>2968</v>
      </c>
      <c r="I362" s="3" t="s">
        <v>2969</v>
      </c>
      <c r="J362" s="3" t="s">
        <v>2970</v>
      </c>
      <c r="L362" s="3" t="s">
        <v>2971</v>
      </c>
      <c r="M362" s="3"/>
      <c r="N362" s="3" t="s">
        <v>2027</v>
      </c>
      <c r="O362" s="3" t="s">
        <v>919</v>
      </c>
      <c r="P362" s="3" t="s">
        <v>876</v>
      </c>
    </row>
    <row r="363" spans="1:16">
      <c r="A363" s="2">
        <v>4929097</v>
      </c>
      <c r="B363" s="3" t="s">
        <v>664</v>
      </c>
      <c r="C363" s="3" t="s">
        <v>1</v>
      </c>
      <c r="D363" s="3" t="s">
        <v>2</v>
      </c>
      <c r="E363" s="3" t="s">
        <v>278</v>
      </c>
      <c r="F363" s="3" t="s">
        <v>2972</v>
      </c>
      <c r="G363" s="3" t="s">
        <v>2973</v>
      </c>
      <c r="H363" s="3" t="s">
        <v>2974</v>
      </c>
      <c r="I363" s="3" t="s">
        <v>2975</v>
      </c>
      <c r="J363" s="3" t="s">
        <v>2976</v>
      </c>
      <c r="L363" s="3" t="s">
        <v>2977</v>
      </c>
      <c r="M363" s="3"/>
      <c r="N363" s="3" t="s">
        <v>2978</v>
      </c>
      <c r="O363" s="3" t="s">
        <v>919</v>
      </c>
      <c r="P363" s="3" t="s">
        <v>876</v>
      </c>
    </row>
    <row r="364" spans="1:16">
      <c r="A364" s="2">
        <v>4924097</v>
      </c>
      <c r="B364" s="3" t="s">
        <v>666</v>
      </c>
      <c r="C364" s="3" t="s">
        <v>1</v>
      </c>
      <c r="D364" s="3" t="s">
        <v>2</v>
      </c>
      <c r="E364" s="3" t="s">
        <v>93</v>
      </c>
      <c r="F364" s="3" t="s">
        <v>2979</v>
      </c>
      <c r="G364" s="3" t="s">
        <v>2980</v>
      </c>
      <c r="H364" s="3" t="s">
        <v>2981</v>
      </c>
      <c r="I364" s="3" t="s">
        <v>2982</v>
      </c>
      <c r="J364" s="3" t="s">
        <v>2983</v>
      </c>
      <c r="L364" s="3" t="s">
        <v>2984</v>
      </c>
      <c r="M364" s="3"/>
      <c r="N364" s="3" t="s">
        <v>1063</v>
      </c>
      <c r="O364" s="3" t="s">
        <v>919</v>
      </c>
      <c r="P364" s="3" t="s">
        <v>2985</v>
      </c>
    </row>
    <row r="365" spans="1:16">
      <c r="A365" s="2">
        <v>4923097</v>
      </c>
      <c r="B365" s="3" t="s">
        <v>667</v>
      </c>
      <c r="C365" s="3" t="s">
        <v>1</v>
      </c>
      <c r="D365" s="3" t="s">
        <v>2</v>
      </c>
      <c r="E365" s="3" t="s">
        <v>668</v>
      </c>
      <c r="F365" s="3" t="s">
        <v>2986</v>
      </c>
      <c r="G365" s="3" t="s">
        <v>2987</v>
      </c>
      <c r="H365" s="3" t="s">
        <v>2988</v>
      </c>
      <c r="I365" s="3" t="s">
        <v>2989</v>
      </c>
      <c r="J365" s="3" t="s">
        <v>2990</v>
      </c>
      <c r="L365" s="3" t="s">
        <v>2991</v>
      </c>
      <c r="M365" s="3"/>
      <c r="N365" s="3" t="s">
        <v>2111</v>
      </c>
      <c r="O365" s="3" t="s">
        <v>919</v>
      </c>
      <c r="P365" s="3" t="s">
        <v>876</v>
      </c>
    </row>
    <row r="366" spans="1:16">
      <c r="A366" s="2">
        <v>4922097</v>
      </c>
      <c r="B366" s="3" t="s">
        <v>670</v>
      </c>
      <c r="C366" s="3" t="s">
        <v>1</v>
      </c>
      <c r="D366" s="3" t="s">
        <v>2</v>
      </c>
      <c r="E366" s="3" t="s">
        <v>671</v>
      </c>
      <c r="F366" s="3" t="s">
        <v>2992</v>
      </c>
      <c r="G366" s="3" t="s">
        <v>2993</v>
      </c>
      <c r="H366" s="3" t="s">
        <v>2994</v>
      </c>
      <c r="I366" s="3" t="s">
        <v>2995</v>
      </c>
      <c r="J366" s="3" t="s">
        <v>2996</v>
      </c>
      <c r="L366" s="3" t="s">
        <v>2997</v>
      </c>
      <c r="M366" s="3"/>
      <c r="N366" s="3" t="s">
        <v>1374</v>
      </c>
      <c r="O366" s="3" t="s">
        <v>919</v>
      </c>
      <c r="P366" s="3" t="s">
        <v>876</v>
      </c>
    </row>
    <row r="367" spans="1:16">
      <c r="A367" s="2">
        <v>4921097</v>
      </c>
      <c r="B367" s="3" t="s">
        <v>673</v>
      </c>
      <c r="C367" s="3" t="s">
        <v>1</v>
      </c>
      <c r="D367" s="3" t="s">
        <v>2</v>
      </c>
      <c r="E367" s="3" t="s">
        <v>674</v>
      </c>
      <c r="F367" s="3" t="s">
        <v>2998</v>
      </c>
      <c r="G367" s="3" t="s">
        <v>2999</v>
      </c>
      <c r="H367" s="3" t="s">
        <v>3000</v>
      </c>
      <c r="I367" s="3" t="s">
        <v>3001</v>
      </c>
      <c r="J367" s="3" t="s">
        <v>3002</v>
      </c>
      <c r="L367" s="3" t="s">
        <v>3003</v>
      </c>
      <c r="M367" s="3"/>
      <c r="N367" s="3" t="s">
        <v>1430</v>
      </c>
      <c r="O367" s="3" t="s">
        <v>919</v>
      </c>
      <c r="P367" s="3" t="s">
        <v>876</v>
      </c>
    </row>
    <row r="368" spans="1:16">
      <c r="A368" s="2">
        <v>4919097</v>
      </c>
      <c r="B368" s="3" t="s">
        <v>676</v>
      </c>
      <c r="C368" s="3" t="s">
        <v>1</v>
      </c>
      <c r="D368" s="3" t="s">
        <v>2</v>
      </c>
      <c r="E368" s="3" t="s">
        <v>107</v>
      </c>
      <c r="F368" s="3" t="s">
        <v>3004</v>
      </c>
      <c r="G368" s="3" t="s">
        <v>3005</v>
      </c>
      <c r="H368" s="3" t="s">
        <v>3006</v>
      </c>
      <c r="I368" s="3" t="s">
        <v>3007</v>
      </c>
      <c r="J368" s="3" t="s">
        <v>3008</v>
      </c>
      <c r="L368" s="3" t="s">
        <v>3009</v>
      </c>
      <c r="M368" s="3"/>
      <c r="N368" s="3" t="s">
        <v>1235</v>
      </c>
      <c r="O368" s="3" t="s">
        <v>875</v>
      </c>
      <c r="P368" s="3" t="s">
        <v>2985</v>
      </c>
    </row>
    <row r="369" spans="1:16">
      <c r="A369" s="2">
        <v>4915097</v>
      </c>
      <c r="B369" s="3" t="s">
        <v>677</v>
      </c>
      <c r="C369" s="3" t="s">
        <v>1</v>
      </c>
      <c r="D369" s="3" t="s">
        <v>2</v>
      </c>
      <c r="E369" s="3" t="s">
        <v>678</v>
      </c>
      <c r="F369" s="3" t="s">
        <v>3010</v>
      </c>
      <c r="G369" s="3" t="s">
        <v>3011</v>
      </c>
      <c r="H369" s="3" t="s">
        <v>3012</v>
      </c>
      <c r="I369" s="3" t="s">
        <v>3013</v>
      </c>
      <c r="J369" s="3" t="s">
        <v>3014</v>
      </c>
      <c r="L369" s="3" t="s">
        <v>1157</v>
      </c>
      <c r="M369" s="3"/>
      <c r="N369" s="3" t="s">
        <v>1158</v>
      </c>
      <c r="O369" s="3" t="s">
        <v>1097</v>
      </c>
      <c r="P369" s="3" t="s">
        <v>876</v>
      </c>
    </row>
    <row r="370" spans="1:16">
      <c r="A370" s="2">
        <v>4914097</v>
      </c>
      <c r="B370" s="3" t="s">
        <v>680</v>
      </c>
      <c r="C370" s="3" t="s">
        <v>1</v>
      </c>
      <c r="D370" s="3" t="s">
        <v>2</v>
      </c>
      <c r="E370" s="3" t="s">
        <v>681</v>
      </c>
      <c r="F370" s="3" t="s">
        <v>3015</v>
      </c>
      <c r="G370" s="3" t="s">
        <v>3016</v>
      </c>
      <c r="H370" s="3" t="s">
        <v>3017</v>
      </c>
      <c r="I370" s="3" t="s">
        <v>3018</v>
      </c>
      <c r="J370" s="3" t="s">
        <v>3019</v>
      </c>
      <c r="L370" s="3" t="s">
        <v>2867</v>
      </c>
      <c r="M370" s="3"/>
      <c r="N370" s="3" t="s">
        <v>1158</v>
      </c>
      <c r="O370" s="3" t="s">
        <v>1097</v>
      </c>
      <c r="P370" s="3" t="s">
        <v>876</v>
      </c>
    </row>
    <row r="371" spans="1:16">
      <c r="A371" s="2">
        <v>4913097</v>
      </c>
      <c r="B371" s="3" t="s">
        <v>682</v>
      </c>
      <c r="C371" s="3" t="s">
        <v>1</v>
      </c>
      <c r="D371" s="3" t="s">
        <v>76</v>
      </c>
      <c r="E371" s="3" t="s">
        <v>296</v>
      </c>
      <c r="F371" s="3" t="s">
        <v>3020</v>
      </c>
      <c r="G371" s="3" t="s">
        <v>3021</v>
      </c>
      <c r="H371" s="3" t="s">
        <v>3022</v>
      </c>
      <c r="I371" s="3" t="s">
        <v>3023</v>
      </c>
      <c r="J371" s="3" t="s">
        <v>3024</v>
      </c>
      <c r="L371" s="3" t="s">
        <v>1779</v>
      </c>
      <c r="M371" s="3"/>
      <c r="N371" s="3" t="s">
        <v>1177</v>
      </c>
      <c r="O371" s="3" t="s">
        <v>1097</v>
      </c>
      <c r="P371" s="3" t="s">
        <v>876</v>
      </c>
    </row>
    <row r="372" spans="1:16">
      <c r="A372" s="2">
        <v>4912097</v>
      </c>
      <c r="B372" s="3" t="s">
        <v>683</v>
      </c>
      <c r="C372" s="3" t="s">
        <v>1</v>
      </c>
      <c r="D372" s="3" t="s">
        <v>2</v>
      </c>
      <c r="E372" s="3" t="s">
        <v>684</v>
      </c>
      <c r="F372" s="3" t="s">
        <v>3025</v>
      </c>
      <c r="G372" s="3" t="s">
        <v>3026</v>
      </c>
      <c r="H372" s="3" t="s">
        <v>3027</v>
      </c>
      <c r="I372" s="3" t="s">
        <v>3028</v>
      </c>
      <c r="J372" s="3" t="s">
        <v>3029</v>
      </c>
      <c r="L372" s="3" t="s">
        <v>1095</v>
      </c>
      <c r="M372" s="3"/>
      <c r="N372" s="3" t="s">
        <v>1672</v>
      </c>
      <c r="O372" s="3" t="s">
        <v>1097</v>
      </c>
      <c r="P372" s="3" t="s">
        <v>876</v>
      </c>
    </row>
    <row r="373" spans="1:16">
      <c r="A373" s="2">
        <v>4910097</v>
      </c>
      <c r="B373" s="3" t="s">
        <v>685</v>
      </c>
      <c r="C373" s="3" t="s">
        <v>1</v>
      </c>
      <c r="D373" s="3" t="s">
        <v>2</v>
      </c>
      <c r="E373" s="3" t="s">
        <v>578</v>
      </c>
      <c r="F373" s="3" t="s">
        <v>3030</v>
      </c>
      <c r="G373" s="3" t="s">
        <v>3031</v>
      </c>
      <c r="H373" s="3" t="s">
        <v>3032</v>
      </c>
      <c r="I373" s="3" t="s">
        <v>3033</v>
      </c>
      <c r="J373" s="3" t="s">
        <v>3034</v>
      </c>
      <c r="L373" s="3" t="s">
        <v>1157</v>
      </c>
      <c r="M373" s="3"/>
      <c r="N373" s="3" t="s">
        <v>918</v>
      </c>
      <c r="O373" s="3" t="s">
        <v>1097</v>
      </c>
      <c r="P373" s="3" t="s">
        <v>876</v>
      </c>
    </row>
    <row r="374" spans="1:16">
      <c r="A374" s="2">
        <v>4909097</v>
      </c>
      <c r="B374" s="3" t="s">
        <v>686</v>
      </c>
      <c r="C374" s="3" t="s">
        <v>1</v>
      </c>
      <c r="D374" s="3" t="s">
        <v>2</v>
      </c>
      <c r="E374" s="3" t="s">
        <v>460</v>
      </c>
      <c r="F374" s="3" t="s">
        <v>3035</v>
      </c>
      <c r="G374" s="3" t="s">
        <v>3036</v>
      </c>
      <c r="H374" s="3" t="s">
        <v>3037</v>
      </c>
      <c r="I374" s="3" t="s">
        <v>3038</v>
      </c>
      <c r="J374" s="3" t="s">
        <v>3039</v>
      </c>
      <c r="L374" s="3" t="s">
        <v>897</v>
      </c>
      <c r="M374" s="3"/>
      <c r="N374" s="3" t="s">
        <v>1158</v>
      </c>
      <c r="O374" s="3" t="s">
        <v>1097</v>
      </c>
      <c r="P374" s="3" t="s">
        <v>876</v>
      </c>
    </row>
    <row r="375" spans="1:16">
      <c r="A375" s="2">
        <v>4903097</v>
      </c>
      <c r="B375" s="3" t="s">
        <v>687</v>
      </c>
      <c r="C375" s="3" t="s">
        <v>1</v>
      </c>
      <c r="D375" s="3" t="s">
        <v>7</v>
      </c>
      <c r="E375" s="3" t="s">
        <v>574</v>
      </c>
      <c r="F375" s="3" t="s">
        <v>3040</v>
      </c>
      <c r="G375" s="3" t="s">
        <v>3041</v>
      </c>
      <c r="H375" s="3" t="s">
        <v>3042</v>
      </c>
      <c r="I375" s="3" t="s">
        <v>3043</v>
      </c>
      <c r="J375" s="3" t="s">
        <v>3044</v>
      </c>
      <c r="L375" s="3" t="s">
        <v>2721</v>
      </c>
      <c r="M375" s="3"/>
      <c r="N375" s="3" t="s">
        <v>966</v>
      </c>
      <c r="O375" s="3" t="s">
        <v>875</v>
      </c>
      <c r="P375" s="3" t="s">
        <v>1033</v>
      </c>
    </row>
    <row r="376" spans="1:16">
      <c r="A376" s="2">
        <v>4901097</v>
      </c>
      <c r="B376" s="3" t="s">
        <v>688</v>
      </c>
      <c r="C376" s="3" t="s">
        <v>1</v>
      </c>
      <c r="D376" s="3" t="s">
        <v>76</v>
      </c>
      <c r="E376" s="3" t="s">
        <v>294</v>
      </c>
      <c r="F376" s="3" t="s">
        <v>3045</v>
      </c>
      <c r="G376" s="3" t="s">
        <v>3046</v>
      </c>
      <c r="H376" s="3" t="s">
        <v>3047</v>
      </c>
      <c r="I376" s="3" t="s">
        <v>3048</v>
      </c>
      <c r="J376" s="3" t="s">
        <v>3049</v>
      </c>
      <c r="L376" s="3" t="s">
        <v>1103</v>
      </c>
      <c r="M376" s="3"/>
      <c r="N376" s="3" t="s">
        <v>911</v>
      </c>
      <c r="O376" s="3" t="s">
        <v>1097</v>
      </c>
      <c r="P376" s="3" t="s">
        <v>876</v>
      </c>
    </row>
    <row r="377" spans="1:16">
      <c r="A377" s="2">
        <v>4900097</v>
      </c>
      <c r="B377" s="3" t="s">
        <v>689</v>
      </c>
      <c r="C377" s="3" t="s">
        <v>1</v>
      </c>
      <c r="D377" s="3" t="s">
        <v>2</v>
      </c>
      <c r="E377" s="3" t="s">
        <v>690</v>
      </c>
      <c r="F377" s="3" t="s">
        <v>3050</v>
      </c>
      <c r="G377" s="3" t="s">
        <v>3051</v>
      </c>
      <c r="H377" s="3" t="s">
        <v>3052</v>
      </c>
      <c r="I377" s="3" t="s">
        <v>3053</v>
      </c>
      <c r="J377" s="3" t="s">
        <v>3054</v>
      </c>
      <c r="L377" s="3" t="s">
        <v>1114</v>
      </c>
      <c r="M377" s="3"/>
      <c r="N377" s="3" t="s">
        <v>1229</v>
      </c>
      <c r="O377" s="3" t="s">
        <v>1097</v>
      </c>
      <c r="P377" s="3" t="s">
        <v>876</v>
      </c>
    </row>
    <row r="378" spans="1:16">
      <c r="A378" s="2">
        <v>4898097</v>
      </c>
      <c r="B378" s="3" t="s">
        <v>691</v>
      </c>
      <c r="C378" s="3" t="s">
        <v>1</v>
      </c>
      <c r="D378" s="3" t="s">
        <v>2</v>
      </c>
      <c r="E378" s="3" t="s">
        <v>692</v>
      </c>
      <c r="F378" s="3" t="s">
        <v>3055</v>
      </c>
      <c r="G378" s="3" t="s">
        <v>3056</v>
      </c>
      <c r="H378" s="3" t="s">
        <v>3057</v>
      </c>
      <c r="I378" s="3" t="s">
        <v>3058</v>
      </c>
      <c r="J378" s="3" t="s">
        <v>3059</v>
      </c>
      <c r="L378" s="3" t="s">
        <v>2038</v>
      </c>
      <c r="M378" s="3"/>
      <c r="N378" s="3" t="s">
        <v>1672</v>
      </c>
      <c r="O378" s="3" t="s">
        <v>1097</v>
      </c>
      <c r="P378" s="3" t="s">
        <v>876</v>
      </c>
    </row>
    <row r="379" spans="1:16">
      <c r="A379" s="2">
        <v>4897097</v>
      </c>
      <c r="B379" s="3" t="s">
        <v>693</v>
      </c>
      <c r="C379" s="3" t="s">
        <v>1</v>
      </c>
      <c r="D379" s="3" t="s">
        <v>2</v>
      </c>
      <c r="E379" s="3" t="s">
        <v>694</v>
      </c>
      <c r="F379" s="3" t="s">
        <v>3060</v>
      </c>
      <c r="G379" s="3" t="s">
        <v>3061</v>
      </c>
      <c r="H379" s="3" t="s">
        <v>3062</v>
      </c>
      <c r="I379" s="3" t="s">
        <v>3063</v>
      </c>
      <c r="J379" s="3" t="s">
        <v>3064</v>
      </c>
      <c r="L379" s="3" t="s">
        <v>3065</v>
      </c>
      <c r="M379" s="3"/>
      <c r="N379" s="3" t="s">
        <v>1235</v>
      </c>
      <c r="O379" s="3" t="s">
        <v>1097</v>
      </c>
      <c r="P379" s="3" t="s">
        <v>876</v>
      </c>
    </row>
    <row r="380" spans="1:16">
      <c r="A380" s="2">
        <v>4895097</v>
      </c>
      <c r="B380" s="3" t="s">
        <v>695</v>
      </c>
      <c r="C380" s="3" t="s">
        <v>1</v>
      </c>
      <c r="D380" s="3" t="s">
        <v>7</v>
      </c>
      <c r="E380" s="3" t="s">
        <v>696</v>
      </c>
      <c r="F380" s="3" t="s">
        <v>3066</v>
      </c>
      <c r="G380" s="3" t="s">
        <v>3067</v>
      </c>
      <c r="H380" s="3" t="s">
        <v>3068</v>
      </c>
      <c r="I380" s="3" t="s">
        <v>3069</v>
      </c>
      <c r="J380" s="3" t="s">
        <v>3070</v>
      </c>
      <c r="L380" s="3" t="s">
        <v>3071</v>
      </c>
      <c r="M380" s="3"/>
      <c r="N380" s="3" t="s">
        <v>1025</v>
      </c>
      <c r="O380" s="3" t="s">
        <v>875</v>
      </c>
      <c r="P380" s="3" t="s">
        <v>876</v>
      </c>
    </row>
    <row r="381" spans="1:16">
      <c r="A381" s="2">
        <v>4892097</v>
      </c>
      <c r="B381" s="3" t="s">
        <v>697</v>
      </c>
      <c r="C381" s="3" t="s">
        <v>1</v>
      </c>
      <c r="D381" s="3" t="s">
        <v>7</v>
      </c>
      <c r="E381" s="3" t="s">
        <v>582</v>
      </c>
      <c r="F381" s="3" t="s">
        <v>3072</v>
      </c>
      <c r="G381" s="3" t="s">
        <v>3073</v>
      </c>
      <c r="H381" s="3" t="s">
        <v>3074</v>
      </c>
      <c r="I381" s="3" t="s">
        <v>3075</v>
      </c>
      <c r="J381" s="3" t="s">
        <v>3076</v>
      </c>
      <c r="L381" s="3" t="s">
        <v>1032</v>
      </c>
      <c r="M381" s="3"/>
      <c r="N381" s="3" t="s">
        <v>1914</v>
      </c>
      <c r="O381" s="3" t="s">
        <v>919</v>
      </c>
      <c r="P381" s="3" t="s">
        <v>876</v>
      </c>
    </row>
    <row r="382" spans="1:16">
      <c r="A382" s="2">
        <v>4890097</v>
      </c>
      <c r="B382" s="3" t="s">
        <v>698</v>
      </c>
      <c r="C382" s="3" t="s">
        <v>1</v>
      </c>
      <c r="D382" s="3" t="s">
        <v>2</v>
      </c>
      <c r="E382" s="3" t="s">
        <v>699</v>
      </c>
      <c r="F382" s="3" t="s">
        <v>3077</v>
      </c>
      <c r="G382" s="3" t="s">
        <v>3078</v>
      </c>
      <c r="H382" s="3" t="s">
        <v>3079</v>
      </c>
      <c r="I382" s="3" t="s">
        <v>3080</v>
      </c>
      <c r="J382" s="3" t="s">
        <v>3081</v>
      </c>
      <c r="L382" s="3" t="s">
        <v>3082</v>
      </c>
      <c r="M382" s="3"/>
      <c r="N382" s="3" t="s">
        <v>1056</v>
      </c>
      <c r="O382" s="3" t="s">
        <v>1097</v>
      </c>
      <c r="P382" s="3" t="s">
        <v>876</v>
      </c>
    </row>
    <row r="383" spans="1:16">
      <c r="A383" s="2">
        <v>4889097</v>
      </c>
      <c r="B383" s="3" t="s">
        <v>700</v>
      </c>
      <c r="C383" s="3" t="s">
        <v>1</v>
      </c>
      <c r="D383" s="3" t="s">
        <v>2</v>
      </c>
      <c r="E383" s="3" t="s">
        <v>701</v>
      </c>
      <c r="F383" s="3" t="s">
        <v>3083</v>
      </c>
      <c r="G383" s="3" t="s">
        <v>3084</v>
      </c>
      <c r="H383" s="3" t="s">
        <v>3085</v>
      </c>
      <c r="I383" s="3" t="s">
        <v>3086</v>
      </c>
      <c r="J383" s="3" t="s">
        <v>3087</v>
      </c>
      <c r="L383" s="3" t="s">
        <v>1095</v>
      </c>
      <c r="M383" s="3"/>
      <c r="N383" s="3" t="s">
        <v>918</v>
      </c>
      <c r="O383" s="3" t="s">
        <v>1097</v>
      </c>
      <c r="P383" s="3" t="s">
        <v>876</v>
      </c>
    </row>
    <row r="384" spans="1:16">
      <c r="A384" s="2">
        <v>4888097</v>
      </c>
      <c r="B384" s="3" t="s">
        <v>702</v>
      </c>
      <c r="C384" s="3" t="s">
        <v>1</v>
      </c>
      <c r="D384" s="3" t="s">
        <v>76</v>
      </c>
      <c r="E384" s="3" t="s">
        <v>703</v>
      </c>
      <c r="F384" s="3" t="s">
        <v>3088</v>
      </c>
      <c r="G384" s="3" t="s">
        <v>3089</v>
      </c>
      <c r="H384" s="3" t="s">
        <v>3090</v>
      </c>
      <c r="I384" s="3" t="s">
        <v>3091</v>
      </c>
      <c r="J384" s="3" t="s">
        <v>3092</v>
      </c>
      <c r="L384" s="3" t="s">
        <v>1157</v>
      </c>
      <c r="M384" s="3"/>
      <c r="N384" s="3" t="s">
        <v>1672</v>
      </c>
      <c r="O384" s="3" t="s">
        <v>1097</v>
      </c>
      <c r="P384" s="3" t="s">
        <v>876</v>
      </c>
    </row>
    <row r="385" spans="1:16">
      <c r="A385" s="2">
        <v>4887097</v>
      </c>
      <c r="B385" s="3" t="s">
        <v>704</v>
      </c>
      <c r="C385" s="3" t="s">
        <v>1</v>
      </c>
      <c r="D385" s="3" t="s">
        <v>2</v>
      </c>
      <c r="E385" s="3" t="s">
        <v>396</v>
      </c>
      <c r="F385" s="3" t="s">
        <v>3093</v>
      </c>
      <c r="G385" s="3" t="s">
        <v>3094</v>
      </c>
      <c r="H385" s="3" t="s">
        <v>3095</v>
      </c>
      <c r="I385" s="3" t="s">
        <v>3096</v>
      </c>
      <c r="J385" s="3" t="s">
        <v>3097</v>
      </c>
      <c r="L385" s="3" t="s">
        <v>3098</v>
      </c>
      <c r="M385" s="3"/>
      <c r="N385" s="3" t="s">
        <v>1268</v>
      </c>
      <c r="O385" s="3" t="s">
        <v>875</v>
      </c>
      <c r="P385" s="3" t="s">
        <v>876</v>
      </c>
    </row>
    <row r="386" spans="1:16">
      <c r="A386" s="2">
        <v>4886097</v>
      </c>
      <c r="B386" s="3" t="s">
        <v>706</v>
      </c>
      <c r="C386" s="3" t="s">
        <v>1</v>
      </c>
      <c r="D386" s="3" t="s">
        <v>76</v>
      </c>
      <c r="E386" s="3" t="s">
        <v>620</v>
      </c>
      <c r="F386" s="3" t="s">
        <v>3099</v>
      </c>
      <c r="G386" s="3" t="s">
        <v>3100</v>
      </c>
      <c r="H386" s="3" t="s">
        <v>3101</v>
      </c>
      <c r="I386" s="3" t="s">
        <v>3102</v>
      </c>
      <c r="J386" s="3" t="s">
        <v>3103</v>
      </c>
      <c r="L386" s="3" t="s">
        <v>2873</v>
      </c>
      <c r="M386" s="3"/>
      <c r="N386" s="3" t="s">
        <v>932</v>
      </c>
      <c r="O386" s="3" t="s">
        <v>1097</v>
      </c>
      <c r="P386" s="3" t="s">
        <v>876</v>
      </c>
    </row>
    <row r="387" spans="1:16">
      <c r="A387" s="2">
        <v>4885097</v>
      </c>
      <c r="B387" s="3" t="s">
        <v>707</v>
      </c>
      <c r="C387" s="3" t="s">
        <v>1</v>
      </c>
      <c r="D387" s="3" t="s">
        <v>76</v>
      </c>
      <c r="E387" s="3" t="s">
        <v>622</v>
      </c>
      <c r="F387" s="3" t="s">
        <v>3104</v>
      </c>
      <c r="G387" s="3" t="s">
        <v>3105</v>
      </c>
      <c r="H387" s="3" t="s">
        <v>3106</v>
      </c>
      <c r="I387" s="3" t="s">
        <v>3107</v>
      </c>
      <c r="J387" s="3" t="s">
        <v>3108</v>
      </c>
      <c r="L387" s="3" t="s">
        <v>2168</v>
      </c>
      <c r="M387" s="3"/>
      <c r="N387" s="3" t="s">
        <v>966</v>
      </c>
      <c r="O387" s="3" t="s">
        <v>1097</v>
      </c>
      <c r="P387" s="3" t="s">
        <v>876</v>
      </c>
    </row>
    <row r="388" spans="1:16">
      <c r="A388" s="2">
        <v>4884097</v>
      </c>
      <c r="B388" s="3" t="s">
        <v>708</v>
      </c>
      <c r="C388" s="3" t="s">
        <v>1</v>
      </c>
      <c r="D388" s="3" t="s">
        <v>76</v>
      </c>
      <c r="E388" s="3" t="s">
        <v>624</v>
      </c>
      <c r="F388" s="3" t="s">
        <v>3109</v>
      </c>
      <c r="G388" s="3" t="s">
        <v>3110</v>
      </c>
      <c r="H388" s="3" t="s">
        <v>3111</v>
      </c>
      <c r="I388" s="3" t="s">
        <v>3112</v>
      </c>
      <c r="J388" s="3" t="s">
        <v>3113</v>
      </c>
      <c r="L388" s="3" t="s">
        <v>1157</v>
      </c>
      <c r="M388" s="3"/>
      <c r="N388" s="3" t="s">
        <v>932</v>
      </c>
      <c r="O388" s="3" t="s">
        <v>1097</v>
      </c>
      <c r="P388" s="3" t="s">
        <v>876</v>
      </c>
    </row>
    <row r="389" spans="1:16">
      <c r="A389" s="2">
        <v>4883097</v>
      </c>
      <c r="B389" s="3" t="s">
        <v>709</v>
      </c>
      <c r="C389" s="3" t="s">
        <v>1</v>
      </c>
      <c r="D389" s="3" t="s">
        <v>2</v>
      </c>
      <c r="E389" s="3" t="s">
        <v>710</v>
      </c>
      <c r="F389" s="3" t="s">
        <v>3114</v>
      </c>
      <c r="G389" s="3" t="s">
        <v>3115</v>
      </c>
      <c r="H389" s="3" t="s">
        <v>3116</v>
      </c>
      <c r="I389" s="3" t="s">
        <v>3117</v>
      </c>
      <c r="J389" s="3" t="s">
        <v>3118</v>
      </c>
      <c r="L389" s="3" t="s">
        <v>3119</v>
      </c>
      <c r="M389" s="3"/>
      <c r="N389" s="3" t="s">
        <v>925</v>
      </c>
      <c r="O389" s="3" t="s">
        <v>1097</v>
      </c>
      <c r="P389" s="3" t="s">
        <v>876</v>
      </c>
    </row>
    <row r="390" spans="1:16">
      <c r="A390" s="2">
        <v>4882097</v>
      </c>
      <c r="B390" s="3" t="s">
        <v>711</v>
      </c>
      <c r="C390" s="3" t="s">
        <v>1</v>
      </c>
      <c r="D390" s="3" t="s">
        <v>7</v>
      </c>
      <c r="E390" s="3" t="s">
        <v>464</v>
      </c>
      <c r="F390" s="3" t="s">
        <v>3120</v>
      </c>
      <c r="G390" s="3" t="s">
        <v>3121</v>
      </c>
      <c r="H390" s="3" t="s">
        <v>3122</v>
      </c>
      <c r="I390" s="3" t="s">
        <v>3123</v>
      </c>
      <c r="J390" s="3" t="s">
        <v>3124</v>
      </c>
      <c r="L390" s="3" t="s">
        <v>2780</v>
      </c>
      <c r="M390" s="3"/>
      <c r="N390" s="3" t="s">
        <v>972</v>
      </c>
      <c r="O390" s="3" t="s">
        <v>875</v>
      </c>
      <c r="P390" s="3" t="s">
        <v>876</v>
      </c>
    </row>
    <row r="391" spans="1:16">
      <c r="A391" s="2">
        <v>4881097</v>
      </c>
      <c r="B391" s="3" t="s">
        <v>712</v>
      </c>
      <c r="C391" s="3" t="s">
        <v>1</v>
      </c>
      <c r="D391" s="3" t="s">
        <v>76</v>
      </c>
      <c r="E391" s="3" t="s">
        <v>618</v>
      </c>
      <c r="F391" s="3" t="s">
        <v>3125</v>
      </c>
      <c r="G391" s="3" t="s">
        <v>3126</v>
      </c>
      <c r="H391" s="3" t="s">
        <v>3127</v>
      </c>
      <c r="I391" s="3" t="s">
        <v>3128</v>
      </c>
      <c r="J391" s="3" t="s">
        <v>3129</v>
      </c>
      <c r="L391" s="3" t="s">
        <v>2867</v>
      </c>
      <c r="M391" s="3"/>
      <c r="N391" s="3" t="s">
        <v>1132</v>
      </c>
      <c r="O391" s="3" t="s">
        <v>1097</v>
      </c>
      <c r="P391" s="3" t="s">
        <v>876</v>
      </c>
    </row>
    <row r="392" spans="1:16">
      <c r="A392" s="2">
        <v>4879097</v>
      </c>
      <c r="B392" s="3" t="s">
        <v>713</v>
      </c>
      <c r="C392" s="3" t="s">
        <v>1</v>
      </c>
      <c r="D392" s="3" t="s">
        <v>2</v>
      </c>
      <c r="E392" s="3" t="s">
        <v>714</v>
      </c>
      <c r="F392" s="3" t="s">
        <v>3130</v>
      </c>
      <c r="G392" s="3" t="s">
        <v>3131</v>
      </c>
      <c r="H392" s="3" t="s">
        <v>3132</v>
      </c>
      <c r="I392" s="3" t="s">
        <v>3133</v>
      </c>
      <c r="J392" s="3" t="s">
        <v>3134</v>
      </c>
      <c r="L392" s="3" t="s">
        <v>3135</v>
      </c>
      <c r="M392" s="3"/>
      <c r="N392" s="3" t="s">
        <v>1305</v>
      </c>
      <c r="O392" s="3" t="s">
        <v>875</v>
      </c>
      <c r="P392" s="3" t="s">
        <v>876</v>
      </c>
    </row>
    <row r="393" spans="1:16">
      <c r="A393" s="2">
        <v>4875097</v>
      </c>
      <c r="B393" s="3" t="s">
        <v>715</v>
      </c>
      <c r="C393" s="3" t="s">
        <v>1</v>
      </c>
      <c r="D393" s="3" t="s">
        <v>76</v>
      </c>
      <c r="E393" s="3" t="s">
        <v>543</v>
      </c>
      <c r="F393" s="3" t="s">
        <v>3136</v>
      </c>
      <c r="G393" s="3" t="s">
        <v>3137</v>
      </c>
      <c r="H393" s="3" t="s">
        <v>3138</v>
      </c>
      <c r="I393" s="3" t="s">
        <v>3139</v>
      </c>
      <c r="J393" s="3" t="s">
        <v>3140</v>
      </c>
      <c r="L393" s="3" t="s">
        <v>1164</v>
      </c>
      <c r="M393" s="3"/>
      <c r="N393" s="3" t="s">
        <v>966</v>
      </c>
      <c r="O393" s="3" t="s">
        <v>1097</v>
      </c>
      <c r="P393" s="3" t="s">
        <v>876</v>
      </c>
    </row>
    <row r="394" spans="1:16">
      <c r="A394" s="2">
        <v>4874097</v>
      </c>
      <c r="B394" s="3" t="s">
        <v>716</v>
      </c>
      <c r="C394" s="3" t="s">
        <v>1</v>
      </c>
      <c r="D394" s="3" t="s">
        <v>76</v>
      </c>
      <c r="E394" s="3" t="s">
        <v>543</v>
      </c>
      <c r="F394" s="3" t="s">
        <v>3141</v>
      </c>
      <c r="G394" s="3" t="s">
        <v>3142</v>
      </c>
      <c r="H394" s="3" t="s">
        <v>3143</v>
      </c>
      <c r="I394" s="3" t="s">
        <v>3144</v>
      </c>
      <c r="J394" s="3" t="s">
        <v>3145</v>
      </c>
      <c r="L394" s="3" t="s">
        <v>1164</v>
      </c>
      <c r="M394" s="3"/>
      <c r="N394" s="3" t="s">
        <v>1138</v>
      </c>
      <c r="O394" s="3" t="s">
        <v>1097</v>
      </c>
      <c r="P394" s="3" t="s">
        <v>876</v>
      </c>
    </row>
    <row r="395" spans="1:16">
      <c r="A395" s="2">
        <v>4872097</v>
      </c>
      <c r="B395" s="3" t="s">
        <v>717</v>
      </c>
      <c r="C395" s="3" t="s">
        <v>1</v>
      </c>
      <c r="D395" s="3" t="s">
        <v>2</v>
      </c>
      <c r="E395" s="3" t="s">
        <v>718</v>
      </c>
      <c r="F395" s="3" t="s">
        <v>3146</v>
      </c>
      <c r="G395" s="3" t="s">
        <v>3147</v>
      </c>
      <c r="H395" s="3" t="s">
        <v>3148</v>
      </c>
      <c r="I395" s="3" t="s">
        <v>3149</v>
      </c>
      <c r="J395" s="3" t="s">
        <v>3150</v>
      </c>
      <c r="L395" s="3" t="s">
        <v>3151</v>
      </c>
      <c r="M395" s="3"/>
      <c r="N395" s="3" t="s">
        <v>966</v>
      </c>
      <c r="O395" s="3" t="s">
        <v>1097</v>
      </c>
      <c r="P395" s="3" t="s">
        <v>876</v>
      </c>
    </row>
    <row r="396" spans="1:16">
      <c r="A396" s="2">
        <v>4870097</v>
      </c>
      <c r="B396" s="3" t="s">
        <v>719</v>
      </c>
      <c r="C396" s="3" t="s">
        <v>1</v>
      </c>
      <c r="D396" s="3" t="s">
        <v>2</v>
      </c>
      <c r="E396" s="3" t="s">
        <v>720</v>
      </c>
      <c r="F396" s="3" t="s">
        <v>3152</v>
      </c>
      <c r="G396" s="3" t="s">
        <v>3153</v>
      </c>
      <c r="H396" s="3" t="s">
        <v>3154</v>
      </c>
      <c r="I396" s="3" t="s">
        <v>3155</v>
      </c>
      <c r="J396" s="3" t="s">
        <v>3156</v>
      </c>
      <c r="L396" s="3" t="s">
        <v>2651</v>
      </c>
      <c r="M396" s="3"/>
      <c r="N396" s="3" t="s">
        <v>1177</v>
      </c>
      <c r="O396" s="3" t="s">
        <v>1097</v>
      </c>
      <c r="P396" s="3" t="s">
        <v>876</v>
      </c>
    </row>
    <row r="397" spans="1:16">
      <c r="A397" s="2">
        <v>4868097</v>
      </c>
      <c r="B397" s="3" t="s">
        <v>721</v>
      </c>
      <c r="C397" s="3" t="s">
        <v>1</v>
      </c>
      <c r="D397" s="3" t="s">
        <v>2</v>
      </c>
      <c r="E397" s="3" t="s">
        <v>722</v>
      </c>
      <c r="F397" s="3" t="s">
        <v>3157</v>
      </c>
      <c r="G397" s="3" t="s">
        <v>3158</v>
      </c>
      <c r="H397" s="3" t="s">
        <v>3159</v>
      </c>
      <c r="I397" s="3" t="s">
        <v>3160</v>
      </c>
      <c r="J397" s="3" t="s">
        <v>3161</v>
      </c>
      <c r="L397" s="3" t="s">
        <v>3162</v>
      </c>
      <c r="M397" s="3"/>
      <c r="N397" s="3" t="s">
        <v>1138</v>
      </c>
      <c r="O397" s="3" t="s">
        <v>1097</v>
      </c>
      <c r="P397" s="3" t="s">
        <v>876</v>
      </c>
    </row>
    <row r="398" spans="1:16">
      <c r="A398" s="2">
        <v>4866097</v>
      </c>
      <c r="B398" s="3" t="s">
        <v>723</v>
      </c>
      <c r="C398" s="3" t="s">
        <v>1</v>
      </c>
      <c r="D398" s="3" t="s">
        <v>2</v>
      </c>
      <c r="E398" s="3" t="s">
        <v>720</v>
      </c>
      <c r="F398" s="3" t="s">
        <v>3163</v>
      </c>
      <c r="G398" s="3" t="s">
        <v>3164</v>
      </c>
      <c r="H398" s="3" t="s">
        <v>3165</v>
      </c>
      <c r="I398" s="3" t="s">
        <v>3166</v>
      </c>
      <c r="J398" s="3" t="s">
        <v>3167</v>
      </c>
      <c r="L398" s="3" t="s">
        <v>2651</v>
      </c>
      <c r="M398" s="3"/>
      <c r="N398" s="3" t="s">
        <v>1177</v>
      </c>
      <c r="O398" s="3" t="s">
        <v>1097</v>
      </c>
      <c r="P398" s="3" t="s">
        <v>876</v>
      </c>
    </row>
    <row r="399" spans="1:16">
      <c r="A399" s="2">
        <v>4864097</v>
      </c>
      <c r="B399" s="3" t="s">
        <v>724</v>
      </c>
      <c r="C399" s="3" t="s">
        <v>1</v>
      </c>
      <c r="D399" s="3" t="s">
        <v>2</v>
      </c>
      <c r="E399" s="3" t="s">
        <v>725</v>
      </c>
      <c r="F399" s="3" t="s">
        <v>3168</v>
      </c>
      <c r="G399" s="3" t="s">
        <v>3169</v>
      </c>
      <c r="H399" s="3" t="s">
        <v>3170</v>
      </c>
      <c r="I399" s="3" t="s">
        <v>3171</v>
      </c>
      <c r="J399" s="3" t="s">
        <v>3172</v>
      </c>
      <c r="L399" s="3" t="s">
        <v>3173</v>
      </c>
      <c r="M399" s="3"/>
      <c r="N399" s="3" t="s">
        <v>1126</v>
      </c>
      <c r="O399" s="3" t="s">
        <v>1097</v>
      </c>
      <c r="P399" s="3" t="s">
        <v>876</v>
      </c>
    </row>
    <row r="400" spans="1:16">
      <c r="A400" s="2">
        <v>4862097</v>
      </c>
      <c r="B400" s="3" t="s">
        <v>726</v>
      </c>
      <c r="C400" s="3" t="s">
        <v>1</v>
      </c>
      <c r="D400" s="3" t="s">
        <v>2</v>
      </c>
      <c r="E400" s="3" t="s">
        <v>727</v>
      </c>
      <c r="F400" s="3" t="s">
        <v>3174</v>
      </c>
      <c r="G400" s="3" t="s">
        <v>3175</v>
      </c>
      <c r="H400" s="3" t="s">
        <v>3176</v>
      </c>
      <c r="I400" s="3" t="s">
        <v>3177</v>
      </c>
      <c r="J400" s="3" t="s">
        <v>3178</v>
      </c>
      <c r="L400" s="3" t="s">
        <v>3179</v>
      </c>
      <c r="M400" s="3"/>
      <c r="N400" s="3" t="s">
        <v>1063</v>
      </c>
      <c r="O400" s="3" t="s">
        <v>1097</v>
      </c>
      <c r="P400" s="3" t="s">
        <v>876</v>
      </c>
    </row>
    <row r="401" spans="1:16">
      <c r="A401" s="2">
        <v>4860097</v>
      </c>
      <c r="B401" s="3" t="s">
        <v>728</v>
      </c>
      <c r="C401" s="3" t="s">
        <v>1</v>
      </c>
      <c r="D401" s="3" t="s">
        <v>2</v>
      </c>
      <c r="E401" s="3" t="s">
        <v>729</v>
      </c>
      <c r="F401" s="3" t="s">
        <v>3180</v>
      </c>
      <c r="G401" s="3" t="s">
        <v>3181</v>
      </c>
      <c r="H401" s="3" t="s">
        <v>3182</v>
      </c>
      <c r="I401" s="3" t="s">
        <v>3183</v>
      </c>
      <c r="J401" s="3" t="s">
        <v>3184</v>
      </c>
      <c r="L401" s="3" t="s">
        <v>3185</v>
      </c>
      <c r="M401" s="3"/>
      <c r="N401" s="3" t="s">
        <v>1063</v>
      </c>
      <c r="O401" s="3" t="s">
        <v>1097</v>
      </c>
      <c r="P401" s="3" t="s">
        <v>876</v>
      </c>
    </row>
    <row r="402" spans="1:16">
      <c r="A402" s="2">
        <v>4858097</v>
      </c>
      <c r="B402" s="3" t="s">
        <v>730</v>
      </c>
      <c r="C402" s="3" t="s">
        <v>1</v>
      </c>
      <c r="D402" s="3" t="s">
        <v>2</v>
      </c>
      <c r="E402" s="3" t="s">
        <v>731</v>
      </c>
      <c r="F402" s="3" t="s">
        <v>3186</v>
      </c>
      <c r="G402" s="3" t="s">
        <v>3187</v>
      </c>
      <c r="H402" s="3" t="s">
        <v>3188</v>
      </c>
      <c r="I402" s="3" t="s">
        <v>3189</v>
      </c>
      <c r="J402" s="3" t="s">
        <v>3190</v>
      </c>
      <c r="L402" s="3" t="s">
        <v>3191</v>
      </c>
      <c r="M402" s="3"/>
      <c r="N402" s="3" t="s">
        <v>1126</v>
      </c>
      <c r="O402" s="3" t="s">
        <v>1097</v>
      </c>
      <c r="P402" s="3" t="s">
        <v>876</v>
      </c>
    </row>
    <row r="403" spans="1:16">
      <c r="A403" s="2">
        <v>4856097</v>
      </c>
      <c r="B403" s="3" t="s">
        <v>732</v>
      </c>
      <c r="C403" s="3" t="s">
        <v>1</v>
      </c>
      <c r="D403" s="3" t="s">
        <v>2</v>
      </c>
      <c r="E403" s="3" t="s">
        <v>733</v>
      </c>
      <c r="F403" s="3" t="s">
        <v>3192</v>
      </c>
      <c r="G403" s="3" t="s">
        <v>3193</v>
      </c>
      <c r="H403" s="3" t="s">
        <v>3194</v>
      </c>
      <c r="I403" s="3" t="s">
        <v>3195</v>
      </c>
      <c r="J403" s="3" t="s">
        <v>3196</v>
      </c>
      <c r="L403" s="3" t="s">
        <v>3197</v>
      </c>
      <c r="M403" s="3"/>
      <c r="N403" s="3" t="s">
        <v>1177</v>
      </c>
      <c r="O403" s="3" t="s">
        <v>1097</v>
      </c>
      <c r="P403" s="3" t="s">
        <v>876</v>
      </c>
    </row>
    <row r="404" spans="1:16">
      <c r="A404" s="2">
        <v>4854097</v>
      </c>
      <c r="B404" s="3" t="s">
        <v>734</v>
      </c>
      <c r="C404" s="3" t="s">
        <v>1</v>
      </c>
      <c r="D404" s="3" t="s">
        <v>2</v>
      </c>
      <c r="E404" s="3" t="s">
        <v>735</v>
      </c>
      <c r="F404" s="3" t="s">
        <v>3198</v>
      </c>
      <c r="G404" s="3" t="s">
        <v>3199</v>
      </c>
      <c r="H404" s="3" t="s">
        <v>3200</v>
      </c>
      <c r="I404" s="3" t="s">
        <v>3201</v>
      </c>
      <c r="J404" s="3" t="s">
        <v>3202</v>
      </c>
      <c r="L404" s="3" t="s">
        <v>3203</v>
      </c>
      <c r="M404" s="3"/>
      <c r="N404" s="3" t="s">
        <v>1205</v>
      </c>
      <c r="O404" s="3" t="s">
        <v>1097</v>
      </c>
      <c r="P404" s="3" t="s">
        <v>876</v>
      </c>
    </row>
    <row r="405" spans="1:16">
      <c r="A405" s="2">
        <v>4852097</v>
      </c>
      <c r="B405" s="3" t="s">
        <v>736</v>
      </c>
      <c r="C405" s="3" t="s">
        <v>1</v>
      </c>
      <c r="D405" s="3" t="s">
        <v>2</v>
      </c>
      <c r="E405" s="3" t="s">
        <v>720</v>
      </c>
      <c r="F405" s="3" t="s">
        <v>3204</v>
      </c>
      <c r="G405" s="3" t="s">
        <v>3205</v>
      </c>
      <c r="H405" s="3" t="s">
        <v>3206</v>
      </c>
      <c r="I405" s="3" t="s">
        <v>3207</v>
      </c>
      <c r="J405" s="3" t="s">
        <v>3208</v>
      </c>
      <c r="L405" s="3" t="s">
        <v>2651</v>
      </c>
      <c r="M405" s="3"/>
      <c r="N405" s="3" t="s">
        <v>1138</v>
      </c>
      <c r="O405" s="3" t="s">
        <v>1097</v>
      </c>
      <c r="P405" s="3" t="s">
        <v>876</v>
      </c>
    </row>
    <row r="406" spans="1:16">
      <c r="A406" s="2">
        <v>4850097</v>
      </c>
      <c r="B406" s="3" t="s">
        <v>737</v>
      </c>
      <c r="C406" s="3" t="s">
        <v>1</v>
      </c>
      <c r="D406" s="3" t="s">
        <v>2</v>
      </c>
      <c r="E406" s="3" t="s">
        <v>738</v>
      </c>
      <c r="F406" s="3" t="s">
        <v>3209</v>
      </c>
      <c r="G406" s="3" t="s">
        <v>3210</v>
      </c>
      <c r="H406" s="3" t="s">
        <v>3211</v>
      </c>
      <c r="I406" s="3" t="s">
        <v>3212</v>
      </c>
      <c r="J406" s="3" t="s">
        <v>3213</v>
      </c>
      <c r="L406" s="3" t="s">
        <v>3214</v>
      </c>
      <c r="M406" s="3"/>
      <c r="N406" s="3" t="s">
        <v>1205</v>
      </c>
      <c r="O406" s="3" t="s">
        <v>1097</v>
      </c>
      <c r="P406" s="3" t="s">
        <v>876</v>
      </c>
    </row>
    <row r="407" spans="1:16">
      <c r="A407" s="2">
        <v>4848097</v>
      </c>
      <c r="B407" s="3" t="s">
        <v>739</v>
      </c>
      <c r="C407" s="3" t="s">
        <v>1</v>
      </c>
      <c r="D407" s="3" t="s">
        <v>2</v>
      </c>
      <c r="E407" s="3" t="s">
        <v>740</v>
      </c>
      <c r="F407" s="3" t="s">
        <v>3215</v>
      </c>
      <c r="G407" s="3" t="s">
        <v>3216</v>
      </c>
      <c r="H407" s="3" t="s">
        <v>3217</v>
      </c>
      <c r="I407" s="3" t="s">
        <v>3218</v>
      </c>
      <c r="J407" s="3" t="s">
        <v>3219</v>
      </c>
      <c r="L407" s="3" t="s">
        <v>3220</v>
      </c>
      <c r="M407" s="3"/>
      <c r="N407" s="3" t="s">
        <v>1205</v>
      </c>
      <c r="O407" s="3" t="s">
        <v>1097</v>
      </c>
      <c r="P407" s="3" t="s">
        <v>876</v>
      </c>
    </row>
    <row r="408" spans="1:16">
      <c r="A408" s="2">
        <v>4846097</v>
      </c>
      <c r="B408" s="3" t="s">
        <v>741</v>
      </c>
      <c r="C408" s="3" t="s">
        <v>1</v>
      </c>
      <c r="D408" s="3" t="s">
        <v>2</v>
      </c>
      <c r="E408" s="3" t="s">
        <v>742</v>
      </c>
      <c r="F408" s="3" t="s">
        <v>3221</v>
      </c>
      <c r="G408" s="3" t="s">
        <v>3222</v>
      </c>
      <c r="H408" s="3" t="s">
        <v>3223</v>
      </c>
      <c r="I408" s="3" t="s">
        <v>3224</v>
      </c>
      <c r="J408" s="3" t="s">
        <v>3225</v>
      </c>
      <c r="L408" s="3" t="s">
        <v>3226</v>
      </c>
      <c r="M408" s="3"/>
      <c r="N408" s="3" t="s">
        <v>1138</v>
      </c>
      <c r="O408" s="3" t="s">
        <v>1097</v>
      </c>
      <c r="P408" s="3" t="s">
        <v>876</v>
      </c>
    </row>
    <row r="409" spans="1:16">
      <c r="A409" s="2">
        <v>4844097</v>
      </c>
      <c r="B409" s="3" t="s">
        <v>743</v>
      </c>
      <c r="C409" s="3" t="s">
        <v>1</v>
      </c>
      <c r="D409" s="3" t="s">
        <v>2</v>
      </c>
      <c r="E409" s="3" t="s">
        <v>744</v>
      </c>
      <c r="F409" s="3" t="s">
        <v>3227</v>
      </c>
      <c r="G409" s="3" t="s">
        <v>3228</v>
      </c>
      <c r="H409" s="3" t="s">
        <v>3229</v>
      </c>
      <c r="I409" s="3" t="s">
        <v>3230</v>
      </c>
      <c r="J409" s="3" t="s">
        <v>3231</v>
      </c>
      <c r="L409" s="3" t="s">
        <v>3232</v>
      </c>
      <c r="M409" s="3"/>
      <c r="N409" s="3" t="s">
        <v>1474</v>
      </c>
      <c r="O409" s="3" t="s">
        <v>1097</v>
      </c>
      <c r="P409" s="3" t="s">
        <v>876</v>
      </c>
    </row>
    <row r="410" spans="1:16">
      <c r="A410" s="2">
        <v>4842097</v>
      </c>
      <c r="B410" s="3" t="s">
        <v>745</v>
      </c>
      <c r="C410" s="3" t="s">
        <v>1</v>
      </c>
      <c r="D410" s="3" t="s">
        <v>2</v>
      </c>
      <c r="E410" s="3" t="s">
        <v>746</v>
      </c>
      <c r="F410" s="3" t="s">
        <v>3233</v>
      </c>
      <c r="G410" s="3" t="s">
        <v>3234</v>
      </c>
      <c r="H410" s="3" t="s">
        <v>3235</v>
      </c>
      <c r="I410" s="3" t="s">
        <v>3236</v>
      </c>
      <c r="J410" s="3" t="s">
        <v>3237</v>
      </c>
      <c r="L410" s="3" t="s">
        <v>3238</v>
      </c>
      <c r="M410" s="3"/>
      <c r="N410" s="3" t="s">
        <v>1205</v>
      </c>
      <c r="O410" s="3" t="s">
        <v>1097</v>
      </c>
      <c r="P410" s="3" t="s">
        <v>876</v>
      </c>
    </row>
    <row r="411" spans="1:16">
      <c r="A411" s="2">
        <v>4840097</v>
      </c>
      <c r="B411" s="3" t="s">
        <v>747</v>
      </c>
      <c r="C411" s="3" t="s">
        <v>1</v>
      </c>
      <c r="D411" s="3" t="s">
        <v>2</v>
      </c>
      <c r="E411" s="3" t="s">
        <v>748</v>
      </c>
      <c r="F411" s="3" t="s">
        <v>3239</v>
      </c>
      <c r="G411" s="3" t="s">
        <v>3240</v>
      </c>
      <c r="H411" s="3" t="s">
        <v>3241</v>
      </c>
      <c r="I411" s="3" t="s">
        <v>3242</v>
      </c>
      <c r="J411" s="3" t="s">
        <v>3243</v>
      </c>
      <c r="L411" s="3" t="s">
        <v>3244</v>
      </c>
      <c r="M411" s="3"/>
      <c r="N411" s="3" t="s">
        <v>1177</v>
      </c>
      <c r="O411" s="3" t="s">
        <v>1097</v>
      </c>
      <c r="P411" s="3" t="s">
        <v>876</v>
      </c>
    </row>
    <row r="412" spans="1:16">
      <c r="A412" s="2">
        <v>4838097</v>
      </c>
      <c r="B412" s="3" t="s">
        <v>749</v>
      </c>
      <c r="C412" s="3" t="s">
        <v>1</v>
      </c>
      <c r="D412" s="3" t="s">
        <v>2</v>
      </c>
      <c r="E412" s="3" t="s">
        <v>750</v>
      </c>
      <c r="F412" s="3" t="s">
        <v>3245</v>
      </c>
      <c r="G412" s="3" t="s">
        <v>3246</v>
      </c>
      <c r="H412" s="3" t="s">
        <v>3247</v>
      </c>
      <c r="I412" s="3" t="s">
        <v>3248</v>
      </c>
      <c r="J412" s="3" t="s">
        <v>3249</v>
      </c>
      <c r="L412" s="3" t="s">
        <v>3250</v>
      </c>
      <c r="M412" s="3"/>
      <c r="N412" s="3" t="s">
        <v>1151</v>
      </c>
      <c r="O412" s="3" t="s">
        <v>1097</v>
      </c>
      <c r="P412" s="3" t="s">
        <v>876</v>
      </c>
    </row>
    <row r="413" spans="1:16">
      <c r="A413" s="2">
        <v>4836097</v>
      </c>
      <c r="B413" s="3" t="s">
        <v>751</v>
      </c>
      <c r="C413" s="3" t="s">
        <v>1</v>
      </c>
      <c r="D413" s="3" t="s">
        <v>2</v>
      </c>
      <c r="E413" s="3" t="s">
        <v>752</v>
      </c>
      <c r="F413" s="3" t="s">
        <v>3251</v>
      </c>
      <c r="G413" s="3" t="s">
        <v>3252</v>
      </c>
      <c r="H413" s="3" t="s">
        <v>3253</v>
      </c>
      <c r="I413" s="3" t="s">
        <v>3254</v>
      </c>
      <c r="J413" s="3" t="s">
        <v>3255</v>
      </c>
      <c r="L413" s="3" t="s">
        <v>3185</v>
      </c>
      <c r="M413" s="3"/>
      <c r="N413" s="3" t="s">
        <v>1205</v>
      </c>
      <c r="O413" s="3" t="s">
        <v>1097</v>
      </c>
      <c r="P413" s="3" t="s">
        <v>876</v>
      </c>
    </row>
    <row r="414" spans="1:16">
      <c r="A414" s="2">
        <v>4835097</v>
      </c>
      <c r="B414" s="3" t="s">
        <v>753</v>
      </c>
      <c r="C414" s="3" t="s">
        <v>1</v>
      </c>
      <c r="D414" s="3" t="s">
        <v>2</v>
      </c>
      <c r="E414" s="3" t="s">
        <v>754</v>
      </c>
      <c r="F414" s="3" t="s">
        <v>3256</v>
      </c>
      <c r="G414" s="3" t="s">
        <v>3257</v>
      </c>
      <c r="H414" s="3" t="s">
        <v>3258</v>
      </c>
      <c r="I414" s="3" t="s">
        <v>3259</v>
      </c>
      <c r="J414" s="3" t="s">
        <v>3260</v>
      </c>
      <c r="L414" s="3" t="s">
        <v>3261</v>
      </c>
      <c r="M414" s="3"/>
      <c r="N414" s="3" t="s">
        <v>1462</v>
      </c>
      <c r="O414" s="3" t="s">
        <v>919</v>
      </c>
      <c r="P414" s="3" t="s">
        <v>876</v>
      </c>
    </row>
    <row r="415" spans="1:16">
      <c r="A415" s="2">
        <v>4826097</v>
      </c>
      <c r="B415" s="3" t="s">
        <v>756</v>
      </c>
      <c r="C415" s="3" t="s">
        <v>1</v>
      </c>
      <c r="D415" s="3" t="s">
        <v>2</v>
      </c>
      <c r="E415" s="3" t="s">
        <v>757</v>
      </c>
      <c r="F415" s="3" t="s">
        <v>3262</v>
      </c>
      <c r="G415" s="3" t="s">
        <v>3263</v>
      </c>
      <c r="H415" s="3" t="s">
        <v>3264</v>
      </c>
      <c r="I415" s="3" t="s">
        <v>3265</v>
      </c>
      <c r="J415" s="3" t="s">
        <v>3266</v>
      </c>
      <c r="L415" s="3" t="s">
        <v>3267</v>
      </c>
      <c r="M415" s="3"/>
      <c r="N415" s="3" t="s">
        <v>1474</v>
      </c>
      <c r="O415" s="3" t="s">
        <v>1097</v>
      </c>
      <c r="P415" s="3" t="s">
        <v>876</v>
      </c>
    </row>
    <row r="416" spans="1:16">
      <c r="A416" s="2">
        <v>4822097</v>
      </c>
      <c r="B416" s="3" t="s">
        <v>758</v>
      </c>
      <c r="C416" s="3" t="s">
        <v>1</v>
      </c>
      <c r="D416" s="3" t="s">
        <v>2</v>
      </c>
      <c r="E416" s="3" t="s">
        <v>720</v>
      </c>
      <c r="F416" s="3" t="s">
        <v>3268</v>
      </c>
      <c r="G416" s="3" t="s">
        <v>3269</v>
      </c>
      <c r="H416" s="3" t="s">
        <v>3270</v>
      </c>
      <c r="I416" s="3" t="s">
        <v>3271</v>
      </c>
      <c r="J416" s="3" t="s">
        <v>3272</v>
      </c>
      <c r="L416" s="3" t="s">
        <v>2651</v>
      </c>
      <c r="M416" s="3"/>
      <c r="N416" s="3" t="s">
        <v>1126</v>
      </c>
      <c r="O416" s="3" t="s">
        <v>1097</v>
      </c>
      <c r="P416" s="3" t="s">
        <v>876</v>
      </c>
    </row>
    <row r="417" spans="1:16">
      <c r="A417" s="2">
        <v>4821097</v>
      </c>
      <c r="B417" s="3" t="s">
        <v>759</v>
      </c>
      <c r="C417" s="3" t="s">
        <v>1</v>
      </c>
      <c r="D417" s="3" t="s">
        <v>2</v>
      </c>
      <c r="E417" s="3" t="s">
        <v>757</v>
      </c>
      <c r="F417" s="3" t="s">
        <v>3273</v>
      </c>
      <c r="G417" s="3" t="s">
        <v>3274</v>
      </c>
      <c r="H417" s="3" t="s">
        <v>3275</v>
      </c>
      <c r="I417" s="3" t="s">
        <v>3276</v>
      </c>
      <c r="J417" s="3" t="s">
        <v>3277</v>
      </c>
      <c r="L417" s="3" t="s">
        <v>3278</v>
      </c>
      <c r="M417" s="3"/>
      <c r="N417" s="3" t="s">
        <v>1158</v>
      </c>
      <c r="O417" s="3" t="s">
        <v>1097</v>
      </c>
      <c r="P417" s="3" t="s">
        <v>876</v>
      </c>
    </row>
    <row r="418" spans="1:16">
      <c r="A418" s="2">
        <v>4816097</v>
      </c>
      <c r="B418" s="3" t="s">
        <v>760</v>
      </c>
      <c r="C418" s="3" t="s">
        <v>1</v>
      </c>
      <c r="D418" s="3" t="s">
        <v>2</v>
      </c>
      <c r="E418" s="3" t="s">
        <v>182</v>
      </c>
      <c r="F418" s="3" t="s">
        <v>3279</v>
      </c>
      <c r="G418" s="3" t="s">
        <v>3280</v>
      </c>
      <c r="H418" s="3" t="s">
        <v>3281</v>
      </c>
      <c r="I418" s="3" t="s">
        <v>3282</v>
      </c>
      <c r="J418" s="3" t="s">
        <v>3283</v>
      </c>
      <c r="L418" s="3" t="s">
        <v>3284</v>
      </c>
      <c r="M418" s="3"/>
      <c r="N418" s="3" t="s">
        <v>1342</v>
      </c>
      <c r="O418" s="3" t="s">
        <v>919</v>
      </c>
      <c r="P418" s="3" t="s">
        <v>876</v>
      </c>
    </row>
    <row r="419" spans="1:16">
      <c r="A419" s="2">
        <v>4811097</v>
      </c>
      <c r="B419" s="3" t="s">
        <v>762</v>
      </c>
      <c r="C419" s="3" t="s">
        <v>1</v>
      </c>
      <c r="D419" s="3" t="s">
        <v>2</v>
      </c>
      <c r="E419" s="3" t="s">
        <v>725</v>
      </c>
      <c r="F419" s="3" t="s">
        <v>3285</v>
      </c>
      <c r="G419" s="3" t="s">
        <v>3286</v>
      </c>
      <c r="H419" s="3" t="s">
        <v>3287</v>
      </c>
      <c r="I419" s="3" t="s">
        <v>3288</v>
      </c>
      <c r="J419" s="3" t="s">
        <v>3289</v>
      </c>
      <c r="L419" s="3" t="s">
        <v>3173</v>
      </c>
      <c r="M419" s="3"/>
      <c r="N419" s="3" t="s">
        <v>1177</v>
      </c>
      <c r="O419" s="3" t="s">
        <v>1097</v>
      </c>
      <c r="P419" s="3" t="s">
        <v>876</v>
      </c>
    </row>
    <row r="420" spans="1:16">
      <c r="A420" s="2">
        <v>4807097</v>
      </c>
      <c r="B420" s="3" t="s">
        <v>763</v>
      </c>
      <c r="C420" s="3" t="s">
        <v>1</v>
      </c>
      <c r="D420" s="3" t="s">
        <v>2</v>
      </c>
      <c r="E420" s="3" t="s">
        <v>10</v>
      </c>
      <c r="F420" s="3" t="s">
        <v>3290</v>
      </c>
      <c r="G420" s="3" t="s">
        <v>3291</v>
      </c>
      <c r="H420" s="3" t="s">
        <v>3292</v>
      </c>
      <c r="I420" s="3" t="s">
        <v>3293</v>
      </c>
      <c r="J420" s="3" t="s">
        <v>3294</v>
      </c>
      <c r="L420" s="3" t="s">
        <v>3295</v>
      </c>
      <c r="M420" s="3"/>
      <c r="N420" s="3" t="s">
        <v>3296</v>
      </c>
      <c r="O420" s="3" t="s">
        <v>919</v>
      </c>
      <c r="P420" s="3" t="s">
        <v>876</v>
      </c>
    </row>
    <row r="421" spans="1:16">
      <c r="A421" s="2">
        <v>4806097</v>
      </c>
      <c r="B421" s="3" t="s">
        <v>764</v>
      </c>
      <c r="C421" s="3" t="s">
        <v>1</v>
      </c>
      <c r="D421" s="3" t="s">
        <v>2</v>
      </c>
      <c r="E421" s="3" t="s">
        <v>464</v>
      </c>
      <c r="F421" s="3" t="s">
        <v>3297</v>
      </c>
      <c r="G421" s="3" t="s">
        <v>3298</v>
      </c>
      <c r="H421" s="3" t="s">
        <v>3299</v>
      </c>
      <c r="I421" s="3" t="s">
        <v>3300</v>
      </c>
      <c r="J421" s="3" t="s">
        <v>3301</v>
      </c>
      <c r="L421" s="3" t="s">
        <v>3302</v>
      </c>
      <c r="M421" s="3"/>
      <c r="N421" s="3" t="s">
        <v>3303</v>
      </c>
      <c r="O421" s="3" t="s">
        <v>919</v>
      </c>
      <c r="P421" s="3" t="s">
        <v>3304</v>
      </c>
    </row>
    <row r="422" spans="1:16">
      <c r="A422" s="2">
        <v>4803097</v>
      </c>
      <c r="B422" s="3" t="s">
        <v>433</v>
      </c>
      <c r="C422" s="3" t="s">
        <v>1</v>
      </c>
      <c r="D422" s="3" t="s">
        <v>76</v>
      </c>
      <c r="E422" s="3" t="s">
        <v>597</v>
      </c>
      <c r="F422" s="3" t="s">
        <v>3305</v>
      </c>
      <c r="G422" s="3" t="s">
        <v>3306</v>
      </c>
      <c r="H422" s="3" t="s">
        <v>3307</v>
      </c>
      <c r="I422" s="3" t="s">
        <v>3308</v>
      </c>
      <c r="J422" s="3" t="s">
        <v>3309</v>
      </c>
      <c r="L422" s="3" t="s">
        <v>1274</v>
      </c>
      <c r="M422" s="3"/>
      <c r="N422" s="3" t="s">
        <v>905</v>
      </c>
      <c r="O422" s="3" t="s">
        <v>1097</v>
      </c>
      <c r="P422" s="3" t="s">
        <v>876</v>
      </c>
    </row>
    <row r="423" spans="1:16">
      <c r="A423" s="2">
        <v>4801097</v>
      </c>
      <c r="B423" s="3" t="s">
        <v>765</v>
      </c>
      <c r="C423" s="3" t="s">
        <v>1</v>
      </c>
      <c r="D423" s="3" t="s">
        <v>76</v>
      </c>
      <c r="E423" s="3" t="s">
        <v>296</v>
      </c>
      <c r="F423" s="3" t="s">
        <v>3310</v>
      </c>
      <c r="G423" s="3" t="s">
        <v>3311</v>
      </c>
      <c r="H423" s="3" t="s">
        <v>3312</v>
      </c>
      <c r="I423" s="3" t="s">
        <v>3313</v>
      </c>
      <c r="J423" s="3" t="s">
        <v>3314</v>
      </c>
      <c r="L423" s="3" t="s">
        <v>1779</v>
      </c>
      <c r="M423" s="3"/>
      <c r="N423" s="3" t="s">
        <v>1132</v>
      </c>
      <c r="O423" s="3" t="s">
        <v>1097</v>
      </c>
      <c r="P423" s="3" t="s">
        <v>876</v>
      </c>
    </row>
    <row r="424" spans="1:16">
      <c r="A424" s="2">
        <v>4799097</v>
      </c>
      <c r="B424" s="3" t="s">
        <v>766</v>
      </c>
      <c r="C424" s="3" t="s">
        <v>1</v>
      </c>
      <c r="D424" s="3" t="s">
        <v>2</v>
      </c>
      <c r="E424" s="3" t="s">
        <v>767</v>
      </c>
      <c r="F424" s="3" t="s">
        <v>3315</v>
      </c>
      <c r="G424" s="3" t="s">
        <v>3316</v>
      </c>
      <c r="H424" s="3" t="s">
        <v>3317</v>
      </c>
      <c r="I424" s="3" t="s">
        <v>3318</v>
      </c>
      <c r="J424" s="3" t="s">
        <v>3319</v>
      </c>
      <c r="L424" s="3" t="s">
        <v>1114</v>
      </c>
      <c r="M424" s="3"/>
      <c r="N424" s="3" t="s">
        <v>1126</v>
      </c>
      <c r="O424" s="3" t="s">
        <v>1097</v>
      </c>
      <c r="P424" s="3" t="s">
        <v>876</v>
      </c>
    </row>
    <row r="425" spans="1:16">
      <c r="A425" s="2">
        <v>4797097</v>
      </c>
      <c r="B425" s="3" t="s">
        <v>768</v>
      </c>
      <c r="C425" s="3" t="s">
        <v>1</v>
      </c>
      <c r="D425" s="3" t="s">
        <v>76</v>
      </c>
      <c r="E425" s="3" t="s">
        <v>599</v>
      </c>
      <c r="F425" s="3" t="s">
        <v>3320</v>
      </c>
      <c r="G425" s="3" t="s">
        <v>3321</v>
      </c>
      <c r="H425" s="3" t="s">
        <v>3322</v>
      </c>
      <c r="I425" s="3" t="s">
        <v>3323</v>
      </c>
      <c r="J425" s="3" t="s">
        <v>3324</v>
      </c>
      <c r="L425" s="3" t="s">
        <v>1032</v>
      </c>
      <c r="M425" s="3"/>
      <c r="N425" s="3" t="s">
        <v>994</v>
      </c>
      <c r="O425" s="3" t="s">
        <v>1097</v>
      </c>
      <c r="P425" s="3" t="s">
        <v>876</v>
      </c>
    </row>
    <row r="426" spans="1:16">
      <c r="A426" s="2">
        <v>4795097</v>
      </c>
      <c r="B426" s="3" t="s">
        <v>769</v>
      </c>
      <c r="C426" s="3" t="s">
        <v>1</v>
      </c>
      <c r="D426" s="3" t="s">
        <v>7</v>
      </c>
      <c r="E426" s="3" t="s">
        <v>513</v>
      </c>
      <c r="F426" s="3" t="s">
        <v>3325</v>
      </c>
      <c r="G426" s="3" t="s">
        <v>3326</v>
      </c>
      <c r="H426" s="3" t="s">
        <v>3327</v>
      </c>
      <c r="I426" s="3" t="s">
        <v>3328</v>
      </c>
      <c r="J426" s="3" t="s">
        <v>3329</v>
      </c>
      <c r="L426" s="3" t="s">
        <v>2510</v>
      </c>
      <c r="M426" s="3"/>
      <c r="N426" s="3" t="s">
        <v>1082</v>
      </c>
      <c r="O426" s="3" t="s">
        <v>875</v>
      </c>
      <c r="P426" s="3" t="s">
        <v>2511</v>
      </c>
    </row>
    <row r="427" spans="1:16">
      <c r="A427" s="2">
        <v>4794097</v>
      </c>
      <c r="B427" s="3" t="s">
        <v>770</v>
      </c>
      <c r="C427" s="3" t="s">
        <v>1</v>
      </c>
      <c r="D427" s="3" t="s">
        <v>2</v>
      </c>
      <c r="E427" s="3" t="s">
        <v>771</v>
      </c>
      <c r="F427" s="3" t="s">
        <v>3330</v>
      </c>
      <c r="G427" s="3" t="s">
        <v>3331</v>
      </c>
      <c r="H427" s="3" t="s">
        <v>3332</v>
      </c>
      <c r="I427" s="3" t="s">
        <v>3333</v>
      </c>
      <c r="J427" s="3" t="s">
        <v>3334</v>
      </c>
      <c r="L427" s="3" t="s">
        <v>3335</v>
      </c>
      <c r="M427" s="3"/>
      <c r="N427" s="3" t="s">
        <v>1474</v>
      </c>
      <c r="O427" s="3" t="s">
        <v>1097</v>
      </c>
      <c r="P427" s="3" t="s">
        <v>876</v>
      </c>
    </row>
    <row r="428" spans="1:16">
      <c r="A428" s="2">
        <v>4792097</v>
      </c>
      <c r="B428" s="3" t="s">
        <v>772</v>
      </c>
      <c r="C428" s="3" t="s">
        <v>1</v>
      </c>
      <c r="D428" s="3" t="s">
        <v>7</v>
      </c>
      <c r="E428" s="3" t="s">
        <v>615</v>
      </c>
      <c r="F428" s="3" t="s">
        <v>3336</v>
      </c>
      <c r="G428" s="3" t="s">
        <v>3337</v>
      </c>
      <c r="H428" s="3" t="s">
        <v>3338</v>
      </c>
      <c r="I428" s="3" t="s">
        <v>3339</v>
      </c>
      <c r="J428" s="3" t="s">
        <v>3340</v>
      </c>
      <c r="L428" s="3" t="s">
        <v>2861</v>
      </c>
      <c r="M428" s="3"/>
      <c r="N428" s="3" t="s">
        <v>3341</v>
      </c>
      <c r="O428" s="3" t="s">
        <v>919</v>
      </c>
      <c r="P428" s="3" t="s">
        <v>876</v>
      </c>
    </row>
    <row r="429" spans="1:16">
      <c r="A429" s="2">
        <v>4789097</v>
      </c>
      <c r="B429" s="3" t="s">
        <v>773</v>
      </c>
      <c r="C429" s="3" t="s">
        <v>1</v>
      </c>
      <c r="D429" s="3" t="s">
        <v>2</v>
      </c>
      <c r="E429" s="3" t="s">
        <v>774</v>
      </c>
      <c r="F429" s="3" t="s">
        <v>3342</v>
      </c>
      <c r="G429" s="3" t="s">
        <v>3343</v>
      </c>
      <c r="H429" s="3" t="s">
        <v>3344</v>
      </c>
      <c r="I429" s="3" t="s">
        <v>3345</v>
      </c>
      <c r="J429" s="3" t="s">
        <v>3346</v>
      </c>
      <c r="L429" s="3" t="s">
        <v>3347</v>
      </c>
      <c r="M429" s="3"/>
      <c r="N429" s="3" t="s">
        <v>1342</v>
      </c>
      <c r="O429" s="3" t="s">
        <v>1097</v>
      </c>
      <c r="P429" s="3" t="s">
        <v>876</v>
      </c>
    </row>
    <row r="430" spans="1:16">
      <c r="A430" s="2">
        <v>4787097</v>
      </c>
      <c r="B430" s="3" t="s">
        <v>775</v>
      </c>
      <c r="C430" s="3" t="s">
        <v>1</v>
      </c>
      <c r="D430" s="3" t="s">
        <v>2</v>
      </c>
      <c r="E430" s="3" t="s">
        <v>776</v>
      </c>
      <c r="F430" s="3" t="s">
        <v>3348</v>
      </c>
      <c r="G430" s="3" t="s">
        <v>3349</v>
      </c>
      <c r="H430" s="3" t="s">
        <v>3350</v>
      </c>
      <c r="I430" s="3" t="s">
        <v>3351</v>
      </c>
      <c r="J430" s="3" t="s">
        <v>3352</v>
      </c>
      <c r="L430" s="3" t="s">
        <v>1252</v>
      </c>
      <c r="M430" s="3"/>
      <c r="N430" s="3" t="s">
        <v>1462</v>
      </c>
      <c r="O430" s="3" t="s">
        <v>1097</v>
      </c>
      <c r="P430" s="3" t="s">
        <v>876</v>
      </c>
    </row>
    <row r="431" spans="1:16">
      <c r="A431" s="2">
        <v>4785097</v>
      </c>
      <c r="B431" s="3" t="s">
        <v>695</v>
      </c>
      <c r="C431" s="3" t="s">
        <v>1</v>
      </c>
      <c r="D431" s="3" t="s">
        <v>7</v>
      </c>
      <c r="E431" s="3" t="s">
        <v>696</v>
      </c>
      <c r="F431" s="3" t="s">
        <v>3353</v>
      </c>
      <c r="G431" s="3" t="s">
        <v>3354</v>
      </c>
      <c r="H431" s="3" t="s">
        <v>3355</v>
      </c>
      <c r="I431" s="3" t="s">
        <v>3356</v>
      </c>
      <c r="J431" s="3" t="s">
        <v>3357</v>
      </c>
      <c r="L431" s="3" t="s">
        <v>3071</v>
      </c>
      <c r="M431" s="3"/>
      <c r="N431" s="3" t="s">
        <v>2320</v>
      </c>
      <c r="O431" s="3" t="s">
        <v>875</v>
      </c>
      <c r="P431" s="3" t="s">
        <v>876</v>
      </c>
    </row>
    <row r="432" spans="1:16">
      <c r="A432" s="2">
        <v>4784097</v>
      </c>
      <c r="B432" s="3" t="s">
        <v>777</v>
      </c>
      <c r="C432" s="3" t="s">
        <v>1</v>
      </c>
      <c r="D432" s="3" t="s">
        <v>2</v>
      </c>
      <c r="E432" s="3" t="s">
        <v>20</v>
      </c>
      <c r="F432" s="3" t="s">
        <v>3358</v>
      </c>
      <c r="G432" s="3" t="s">
        <v>3359</v>
      </c>
      <c r="H432" s="3" t="s">
        <v>3360</v>
      </c>
      <c r="I432" s="3" t="s">
        <v>3361</v>
      </c>
      <c r="J432" s="3" t="s">
        <v>3362</v>
      </c>
      <c r="L432" s="3" t="s">
        <v>3363</v>
      </c>
      <c r="M432" s="3"/>
      <c r="N432" s="3" t="s">
        <v>1920</v>
      </c>
      <c r="O432" s="3" t="s">
        <v>1026</v>
      </c>
      <c r="P432" s="3" t="s">
        <v>876</v>
      </c>
    </row>
    <row r="433" spans="1:16">
      <c r="A433" s="2">
        <v>4783097</v>
      </c>
      <c r="B433" s="3" t="s">
        <v>779</v>
      </c>
      <c r="C433" s="3" t="s">
        <v>1</v>
      </c>
      <c r="D433" s="3" t="s">
        <v>7</v>
      </c>
      <c r="E433" s="3" t="s">
        <v>570</v>
      </c>
      <c r="F433" s="3" t="s">
        <v>3364</v>
      </c>
      <c r="G433" s="3" t="s">
        <v>3365</v>
      </c>
      <c r="H433" s="3" t="s">
        <v>3366</v>
      </c>
      <c r="I433" s="3" t="s">
        <v>3367</v>
      </c>
      <c r="J433" s="3" t="s">
        <v>3368</v>
      </c>
      <c r="L433" s="3" t="s">
        <v>2709</v>
      </c>
      <c r="M433" s="3"/>
      <c r="N433" s="3" t="s">
        <v>1901</v>
      </c>
      <c r="O433" s="3" t="s">
        <v>875</v>
      </c>
      <c r="P433" s="3" t="s">
        <v>876</v>
      </c>
    </row>
    <row r="434" spans="1:16">
      <c r="A434" s="2">
        <v>4782097</v>
      </c>
      <c r="B434" s="3" t="s">
        <v>780</v>
      </c>
      <c r="C434" s="3" t="s">
        <v>1</v>
      </c>
      <c r="D434" s="3" t="s">
        <v>2</v>
      </c>
      <c r="E434" s="3" t="s">
        <v>95</v>
      </c>
      <c r="F434" s="3" t="s">
        <v>3369</v>
      </c>
      <c r="G434" s="3" t="s">
        <v>3370</v>
      </c>
      <c r="H434" s="3" t="s">
        <v>3371</v>
      </c>
      <c r="I434" s="3" t="s">
        <v>3372</v>
      </c>
      <c r="J434" s="3" t="s">
        <v>3373</v>
      </c>
      <c r="L434" s="3" t="s">
        <v>1157</v>
      </c>
      <c r="M434" s="3"/>
      <c r="N434" s="3" t="s">
        <v>932</v>
      </c>
      <c r="O434" s="3" t="s">
        <v>1097</v>
      </c>
      <c r="P434" s="3" t="s">
        <v>876</v>
      </c>
    </row>
    <row r="435" spans="1:16">
      <c r="A435" s="2">
        <v>4781097</v>
      </c>
      <c r="B435" s="3" t="s">
        <v>781</v>
      </c>
      <c r="C435" s="3" t="s">
        <v>1</v>
      </c>
      <c r="D435" s="3" t="s">
        <v>2</v>
      </c>
      <c r="E435" s="3" t="s">
        <v>782</v>
      </c>
      <c r="F435" s="3" t="s">
        <v>3374</v>
      </c>
      <c r="G435" s="3" t="s">
        <v>3375</v>
      </c>
      <c r="H435" s="3" t="s">
        <v>3376</v>
      </c>
      <c r="I435" s="3" t="s">
        <v>3377</v>
      </c>
      <c r="J435" s="3" t="s">
        <v>3378</v>
      </c>
      <c r="L435" s="3" t="s">
        <v>1032</v>
      </c>
      <c r="M435" s="3"/>
      <c r="N435" s="3" t="s">
        <v>994</v>
      </c>
      <c r="O435" s="3" t="s">
        <v>1097</v>
      </c>
      <c r="P435" s="3" t="s">
        <v>876</v>
      </c>
    </row>
    <row r="436" spans="1:16">
      <c r="A436" s="2">
        <v>4780097</v>
      </c>
      <c r="B436" s="3" t="s">
        <v>783</v>
      </c>
      <c r="C436" s="3" t="s">
        <v>1</v>
      </c>
      <c r="D436" s="3" t="s">
        <v>2</v>
      </c>
      <c r="E436" s="3" t="s">
        <v>782</v>
      </c>
      <c r="F436" s="3" t="s">
        <v>3379</v>
      </c>
      <c r="G436" s="3" t="s">
        <v>3380</v>
      </c>
      <c r="H436" s="3" t="s">
        <v>3381</v>
      </c>
      <c r="I436" s="3" t="s">
        <v>3382</v>
      </c>
      <c r="J436" s="3" t="s">
        <v>3383</v>
      </c>
      <c r="L436" s="3" t="s">
        <v>1032</v>
      </c>
      <c r="M436" s="3"/>
      <c r="N436" s="3" t="s">
        <v>994</v>
      </c>
      <c r="O436" s="3" t="s">
        <v>1097</v>
      </c>
      <c r="P436" s="3" t="s">
        <v>876</v>
      </c>
    </row>
    <row r="437" spans="1:16">
      <c r="A437" s="2">
        <v>4779097</v>
      </c>
      <c r="B437" s="3" t="s">
        <v>784</v>
      </c>
      <c r="C437" s="3" t="s">
        <v>1</v>
      </c>
      <c r="D437" s="3" t="s">
        <v>2</v>
      </c>
      <c r="E437" s="3" t="s">
        <v>137</v>
      </c>
      <c r="F437" s="3" t="s">
        <v>3384</v>
      </c>
      <c r="G437" s="3" t="s">
        <v>3385</v>
      </c>
      <c r="H437" s="3" t="s">
        <v>3386</v>
      </c>
      <c r="I437" s="3" t="s">
        <v>3387</v>
      </c>
      <c r="J437" s="3" t="s">
        <v>3388</v>
      </c>
      <c r="L437" s="3" t="s">
        <v>1095</v>
      </c>
      <c r="M437" s="3"/>
      <c r="N437" s="3" t="s">
        <v>1177</v>
      </c>
      <c r="O437" s="3" t="s">
        <v>1097</v>
      </c>
      <c r="P437" s="3" t="s">
        <v>876</v>
      </c>
    </row>
    <row r="438" spans="1:16">
      <c r="A438" s="2">
        <v>4778097</v>
      </c>
      <c r="B438" s="3" t="s">
        <v>785</v>
      </c>
      <c r="C438" s="3" t="s">
        <v>1</v>
      </c>
      <c r="D438" s="3" t="s">
        <v>2</v>
      </c>
      <c r="E438" s="3" t="s">
        <v>786</v>
      </c>
      <c r="F438" s="3" t="s">
        <v>3389</v>
      </c>
      <c r="G438" s="3" t="s">
        <v>3390</v>
      </c>
      <c r="H438" s="3" t="s">
        <v>3391</v>
      </c>
      <c r="I438" s="3" t="s">
        <v>3392</v>
      </c>
      <c r="J438" s="3" t="s">
        <v>3393</v>
      </c>
      <c r="L438" s="3" t="s">
        <v>2302</v>
      </c>
      <c r="M438" s="3"/>
      <c r="N438" s="3" t="s">
        <v>918</v>
      </c>
      <c r="O438" s="3" t="s">
        <v>1097</v>
      </c>
      <c r="P438" s="3" t="s">
        <v>876</v>
      </c>
    </row>
    <row r="439" spans="1:16">
      <c r="A439" s="2">
        <v>4777097</v>
      </c>
      <c r="B439" s="3" t="s">
        <v>787</v>
      </c>
      <c r="C439" s="3" t="s">
        <v>1</v>
      </c>
      <c r="D439" s="3" t="s">
        <v>2</v>
      </c>
      <c r="E439" s="3" t="s">
        <v>212</v>
      </c>
      <c r="F439" s="3" t="s">
        <v>3394</v>
      </c>
      <c r="G439" s="3" t="s">
        <v>3395</v>
      </c>
      <c r="H439" s="3" t="s">
        <v>3396</v>
      </c>
      <c r="I439" s="3" t="s">
        <v>3397</v>
      </c>
      <c r="J439" s="3" t="s">
        <v>3398</v>
      </c>
      <c r="L439" s="3" t="s">
        <v>1515</v>
      </c>
      <c r="M439" s="3"/>
      <c r="N439" s="3" t="s">
        <v>1001</v>
      </c>
      <c r="O439" s="3" t="s">
        <v>1097</v>
      </c>
      <c r="P439" s="3" t="s">
        <v>876</v>
      </c>
    </row>
    <row r="440" spans="1:16">
      <c r="A440" s="2">
        <v>4776097</v>
      </c>
      <c r="B440" s="3" t="s">
        <v>788</v>
      </c>
      <c r="C440" s="3" t="s">
        <v>1</v>
      </c>
      <c r="D440" s="3" t="s">
        <v>2</v>
      </c>
      <c r="E440" s="3" t="s">
        <v>789</v>
      </c>
      <c r="F440" s="3" t="s">
        <v>3399</v>
      </c>
      <c r="G440" s="3" t="s">
        <v>3400</v>
      </c>
      <c r="H440" s="3" t="s">
        <v>3401</v>
      </c>
      <c r="I440" s="3" t="s">
        <v>3402</v>
      </c>
      <c r="J440" s="3" t="s">
        <v>3403</v>
      </c>
      <c r="L440" s="3" t="s">
        <v>3404</v>
      </c>
      <c r="M440" s="3"/>
      <c r="N440" s="3" t="s">
        <v>1082</v>
      </c>
      <c r="O440" s="3" t="s">
        <v>1026</v>
      </c>
      <c r="P440" s="3" t="s">
        <v>876</v>
      </c>
    </row>
    <row r="441" spans="1:16">
      <c r="A441" s="2">
        <v>4775097</v>
      </c>
      <c r="B441" s="3" t="s">
        <v>790</v>
      </c>
      <c r="C441" s="3" t="s">
        <v>1</v>
      </c>
      <c r="D441" s="3" t="s">
        <v>2</v>
      </c>
      <c r="E441" s="3" t="s">
        <v>791</v>
      </c>
      <c r="F441" s="3" t="s">
        <v>3405</v>
      </c>
      <c r="G441" s="3" t="s">
        <v>3406</v>
      </c>
      <c r="H441" s="3" t="s">
        <v>3407</v>
      </c>
      <c r="I441" s="3" t="s">
        <v>3408</v>
      </c>
      <c r="J441" s="3" t="s">
        <v>3409</v>
      </c>
      <c r="L441" s="3" t="s">
        <v>3410</v>
      </c>
      <c r="M441" s="3"/>
      <c r="N441" s="3" t="s">
        <v>1096</v>
      </c>
      <c r="O441" s="3" t="s">
        <v>1097</v>
      </c>
      <c r="P441" s="3" t="s">
        <v>876</v>
      </c>
    </row>
    <row r="442" spans="1:16">
      <c r="A442" s="2">
        <v>4774097</v>
      </c>
      <c r="B442" s="3" t="s">
        <v>792</v>
      </c>
      <c r="C442" s="3" t="s">
        <v>1</v>
      </c>
      <c r="D442" s="3" t="s">
        <v>2</v>
      </c>
      <c r="E442" s="3" t="s">
        <v>793</v>
      </c>
      <c r="F442" s="3" t="s">
        <v>3411</v>
      </c>
      <c r="G442" s="3" t="s">
        <v>3412</v>
      </c>
      <c r="H442" s="3" t="s">
        <v>3413</v>
      </c>
      <c r="I442" s="3" t="s">
        <v>3414</v>
      </c>
      <c r="J442" s="3" t="s">
        <v>3415</v>
      </c>
      <c r="L442" s="3" t="s">
        <v>3416</v>
      </c>
      <c r="M442" s="3"/>
      <c r="N442" s="3" t="s">
        <v>1845</v>
      </c>
      <c r="O442" s="3" t="s">
        <v>1026</v>
      </c>
      <c r="P442" s="3" t="s">
        <v>876</v>
      </c>
    </row>
    <row r="443" spans="1:16">
      <c r="A443" s="2">
        <v>4773097</v>
      </c>
      <c r="B443" s="3" t="s">
        <v>794</v>
      </c>
      <c r="C443" s="3" t="s">
        <v>1</v>
      </c>
      <c r="D443" s="3" t="s">
        <v>2</v>
      </c>
      <c r="E443" s="3" t="s">
        <v>795</v>
      </c>
      <c r="F443" s="3" t="s">
        <v>3417</v>
      </c>
      <c r="G443" s="3" t="s">
        <v>3418</v>
      </c>
      <c r="H443" s="3" t="s">
        <v>3419</v>
      </c>
      <c r="I443" s="3" t="s">
        <v>3420</v>
      </c>
      <c r="J443" s="3" t="s">
        <v>3421</v>
      </c>
      <c r="L443" s="3" t="s">
        <v>3422</v>
      </c>
      <c r="M443" s="3"/>
      <c r="N443" s="3" t="s">
        <v>1474</v>
      </c>
      <c r="O443" s="3" t="s">
        <v>875</v>
      </c>
      <c r="P443" s="3" t="s">
        <v>876</v>
      </c>
    </row>
    <row r="444" spans="1:16">
      <c r="A444" s="2">
        <v>4769097</v>
      </c>
      <c r="B444" s="3" t="s">
        <v>797</v>
      </c>
      <c r="C444" s="3" t="s">
        <v>1</v>
      </c>
      <c r="D444" s="3" t="s">
        <v>2</v>
      </c>
      <c r="E444" s="3" t="s">
        <v>798</v>
      </c>
      <c r="F444" s="3" t="s">
        <v>3423</v>
      </c>
      <c r="G444" s="3" t="s">
        <v>3424</v>
      </c>
      <c r="H444" s="3" t="s">
        <v>3425</v>
      </c>
      <c r="I444" s="3" t="s">
        <v>3426</v>
      </c>
      <c r="J444" s="3" t="s">
        <v>3427</v>
      </c>
      <c r="L444" s="3" t="s">
        <v>3428</v>
      </c>
      <c r="M444" s="3"/>
      <c r="N444" s="3" t="s">
        <v>1374</v>
      </c>
      <c r="O444" s="3" t="s">
        <v>875</v>
      </c>
      <c r="P444" s="3" t="s">
        <v>876</v>
      </c>
    </row>
    <row r="445" spans="1:16">
      <c r="A445" s="2">
        <v>4768097</v>
      </c>
      <c r="B445" s="3" t="s">
        <v>800</v>
      </c>
      <c r="C445" s="3" t="s">
        <v>1</v>
      </c>
      <c r="D445" s="3" t="s">
        <v>2</v>
      </c>
      <c r="E445" s="3" t="s">
        <v>801</v>
      </c>
      <c r="F445" s="3" t="s">
        <v>3429</v>
      </c>
      <c r="G445" s="3" t="s">
        <v>3430</v>
      </c>
      <c r="H445" s="3" t="s">
        <v>3431</v>
      </c>
      <c r="I445" s="3" t="s">
        <v>3432</v>
      </c>
      <c r="J445" s="3" t="s">
        <v>3433</v>
      </c>
      <c r="L445" s="3" t="s">
        <v>3434</v>
      </c>
      <c r="M445" s="3"/>
      <c r="N445" s="3" t="s">
        <v>911</v>
      </c>
      <c r="O445" s="3" t="s">
        <v>875</v>
      </c>
      <c r="P445" s="3" t="s">
        <v>876</v>
      </c>
    </row>
    <row r="446" spans="1:16">
      <c r="A446" s="2">
        <v>4766097</v>
      </c>
      <c r="B446" s="3" t="s">
        <v>802</v>
      </c>
      <c r="C446" s="3" t="s">
        <v>1</v>
      </c>
      <c r="D446" s="3" t="s">
        <v>2</v>
      </c>
      <c r="E446" s="3" t="s">
        <v>731</v>
      </c>
      <c r="F446" s="3" t="s">
        <v>3435</v>
      </c>
      <c r="G446" s="3" t="s">
        <v>3436</v>
      </c>
      <c r="H446" s="3" t="s">
        <v>3437</v>
      </c>
      <c r="I446" s="3" t="s">
        <v>3438</v>
      </c>
      <c r="J446" s="3" t="s">
        <v>3439</v>
      </c>
      <c r="L446" s="3" t="s">
        <v>3440</v>
      </c>
      <c r="M446" s="3"/>
      <c r="N446" s="3" t="s">
        <v>874</v>
      </c>
      <c r="O446" s="3" t="s">
        <v>875</v>
      </c>
      <c r="P446" s="3" t="s">
        <v>876</v>
      </c>
    </row>
    <row r="447" spans="1:16">
      <c r="A447" s="2">
        <v>4760097</v>
      </c>
      <c r="B447" s="3" t="s">
        <v>803</v>
      </c>
      <c r="C447" s="3" t="s">
        <v>1</v>
      </c>
      <c r="D447" s="3" t="s">
        <v>2</v>
      </c>
      <c r="E447" s="3" t="s">
        <v>97</v>
      </c>
      <c r="F447" s="3" t="s">
        <v>3441</v>
      </c>
      <c r="G447" s="3" t="s">
        <v>3442</v>
      </c>
      <c r="H447" s="3" t="s">
        <v>3443</v>
      </c>
      <c r="I447" s="3" t="s">
        <v>3444</v>
      </c>
      <c r="J447" s="3" t="s">
        <v>3445</v>
      </c>
      <c r="L447" s="3" t="s">
        <v>1164</v>
      </c>
      <c r="M447" s="3"/>
      <c r="N447" s="3" t="s">
        <v>1063</v>
      </c>
      <c r="O447" s="3" t="s">
        <v>1097</v>
      </c>
      <c r="P447" s="3" t="s">
        <v>876</v>
      </c>
    </row>
    <row r="448" spans="1:16">
      <c r="A448" s="2">
        <v>4759097</v>
      </c>
      <c r="B448" s="3" t="s">
        <v>804</v>
      </c>
      <c r="C448" s="3" t="s">
        <v>1</v>
      </c>
      <c r="D448" s="3" t="s">
        <v>2</v>
      </c>
      <c r="E448" s="3" t="s">
        <v>97</v>
      </c>
      <c r="F448" s="3" t="s">
        <v>3446</v>
      </c>
      <c r="G448" s="3" t="s">
        <v>3447</v>
      </c>
      <c r="H448" s="3" t="s">
        <v>3448</v>
      </c>
      <c r="I448" s="3" t="s">
        <v>3449</v>
      </c>
      <c r="J448" s="3" t="s">
        <v>3450</v>
      </c>
      <c r="L448" s="3" t="s">
        <v>1164</v>
      </c>
      <c r="M448" s="3"/>
      <c r="N448" s="3" t="s">
        <v>898</v>
      </c>
      <c r="O448" s="3" t="s">
        <v>1097</v>
      </c>
      <c r="P448" s="3" t="s">
        <v>876</v>
      </c>
    </row>
    <row r="449" spans="1:16">
      <c r="A449" s="2">
        <v>4758097</v>
      </c>
      <c r="B449" s="3" t="s">
        <v>805</v>
      </c>
      <c r="C449" s="3" t="s">
        <v>1</v>
      </c>
      <c r="D449" s="3" t="s">
        <v>2</v>
      </c>
      <c r="E449" s="3" t="s">
        <v>806</v>
      </c>
      <c r="F449" s="3" t="s">
        <v>3451</v>
      </c>
      <c r="G449" s="3" t="s">
        <v>3452</v>
      </c>
      <c r="H449" s="3" t="s">
        <v>3453</v>
      </c>
      <c r="I449" s="3" t="s">
        <v>3454</v>
      </c>
      <c r="J449" s="3" t="s">
        <v>3455</v>
      </c>
      <c r="L449" s="3" t="s">
        <v>1274</v>
      </c>
      <c r="M449" s="3"/>
      <c r="N449" s="3" t="s">
        <v>1089</v>
      </c>
      <c r="O449" s="3" t="s">
        <v>1097</v>
      </c>
      <c r="P449" s="3" t="s">
        <v>876</v>
      </c>
    </row>
    <row r="450" spans="1:16">
      <c r="A450" s="2">
        <v>4757097</v>
      </c>
      <c r="B450" s="3" t="s">
        <v>807</v>
      </c>
      <c r="C450" s="3" t="s">
        <v>1</v>
      </c>
      <c r="D450" s="3" t="s">
        <v>2</v>
      </c>
      <c r="E450" s="3" t="s">
        <v>806</v>
      </c>
      <c r="F450" s="3" t="s">
        <v>3456</v>
      </c>
      <c r="G450" s="3" t="s">
        <v>3457</v>
      </c>
      <c r="H450" s="3" t="s">
        <v>3458</v>
      </c>
      <c r="I450" s="3" t="s">
        <v>3459</v>
      </c>
      <c r="J450" s="3" t="s">
        <v>3460</v>
      </c>
      <c r="L450" s="3" t="s">
        <v>1274</v>
      </c>
      <c r="M450" s="3"/>
      <c r="N450" s="3" t="s">
        <v>1205</v>
      </c>
      <c r="O450" s="3" t="s">
        <v>1097</v>
      </c>
      <c r="P450" s="3" t="s">
        <v>876</v>
      </c>
    </row>
    <row r="451" spans="1:16">
      <c r="A451" s="2">
        <v>4756097</v>
      </c>
      <c r="B451" s="3" t="s">
        <v>808</v>
      </c>
      <c r="C451" s="3" t="s">
        <v>1</v>
      </c>
      <c r="D451" s="3" t="s">
        <v>2</v>
      </c>
      <c r="E451" s="3" t="s">
        <v>809</v>
      </c>
      <c r="F451" s="3" t="s">
        <v>3461</v>
      </c>
      <c r="G451" s="3" t="s">
        <v>3462</v>
      </c>
      <c r="H451" s="3" t="s">
        <v>3463</v>
      </c>
      <c r="I451" s="3" t="s">
        <v>3464</v>
      </c>
      <c r="J451" s="3" t="s">
        <v>3465</v>
      </c>
      <c r="L451" s="3" t="s">
        <v>3466</v>
      </c>
      <c r="M451" s="3"/>
      <c r="N451" s="3" t="s">
        <v>1205</v>
      </c>
      <c r="O451" s="3" t="s">
        <v>1097</v>
      </c>
      <c r="P451" s="3" t="s">
        <v>876</v>
      </c>
    </row>
    <row r="452" spans="1:16">
      <c r="A452" s="2">
        <v>4755097</v>
      </c>
      <c r="B452" s="3" t="s">
        <v>810</v>
      </c>
      <c r="C452" s="3" t="s">
        <v>1</v>
      </c>
      <c r="D452" s="3" t="s">
        <v>2</v>
      </c>
      <c r="E452" s="3" t="s">
        <v>811</v>
      </c>
      <c r="F452" s="3" t="s">
        <v>3467</v>
      </c>
      <c r="G452" s="3" t="s">
        <v>3468</v>
      </c>
      <c r="H452" s="3" t="s">
        <v>3469</v>
      </c>
      <c r="I452" s="3" t="s">
        <v>3470</v>
      </c>
      <c r="J452" s="3" t="s">
        <v>3471</v>
      </c>
      <c r="L452" s="3" t="s">
        <v>3472</v>
      </c>
      <c r="M452" s="3"/>
      <c r="N452" s="3" t="s">
        <v>1126</v>
      </c>
      <c r="O452" s="3" t="s">
        <v>875</v>
      </c>
      <c r="P452" s="3" t="s">
        <v>876</v>
      </c>
    </row>
    <row r="453" spans="1:16">
      <c r="A453" s="2">
        <v>4749097</v>
      </c>
      <c r="B453" s="3" t="s">
        <v>812</v>
      </c>
      <c r="C453" s="3" t="s">
        <v>1</v>
      </c>
      <c r="D453" s="3" t="s">
        <v>7</v>
      </c>
      <c r="E453" s="3" t="s">
        <v>20</v>
      </c>
      <c r="F453" s="3" t="s">
        <v>3473</v>
      </c>
      <c r="G453" s="3" t="s">
        <v>3474</v>
      </c>
      <c r="H453" s="3" t="s">
        <v>3475</v>
      </c>
      <c r="I453" s="3" t="s">
        <v>3476</v>
      </c>
      <c r="J453" s="3" t="s">
        <v>3477</v>
      </c>
      <c r="L453" s="3" t="s">
        <v>3363</v>
      </c>
      <c r="M453" s="3"/>
      <c r="N453" s="3" t="s">
        <v>953</v>
      </c>
      <c r="O453" s="3" t="s">
        <v>1026</v>
      </c>
      <c r="P453" s="3" t="s">
        <v>876</v>
      </c>
    </row>
    <row r="454" spans="1:16">
      <c r="A454" s="2">
        <v>4745097</v>
      </c>
      <c r="B454" s="3" t="s">
        <v>813</v>
      </c>
      <c r="C454" s="3" t="s">
        <v>1</v>
      </c>
      <c r="D454" s="3" t="s">
        <v>2</v>
      </c>
      <c r="E454" s="3" t="s">
        <v>107</v>
      </c>
      <c r="F454" s="3" t="s">
        <v>3478</v>
      </c>
      <c r="G454" s="3" t="s">
        <v>3479</v>
      </c>
      <c r="H454" s="3" t="s">
        <v>3480</v>
      </c>
      <c r="I454" s="3" t="s">
        <v>3481</v>
      </c>
      <c r="J454" s="3" t="s">
        <v>3482</v>
      </c>
      <c r="L454" s="3" t="s">
        <v>3483</v>
      </c>
      <c r="M454" s="3"/>
      <c r="N454" s="3" t="s">
        <v>1492</v>
      </c>
      <c r="O454" s="3" t="s">
        <v>875</v>
      </c>
      <c r="P454" s="3" t="s">
        <v>933</v>
      </c>
    </row>
    <row r="455" spans="1:16">
      <c r="A455" s="2">
        <v>4744097</v>
      </c>
      <c r="B455" s="3" t="s">
        <v>814</v>
      </c>
      <c r="C455" s="3" t="s">
        <v>1</v>
      </c>
      <c r="D455" s="3" t="s">
        <v>7</v>
      </c>
      <c r="E455" s="3" t="s">
        <v>464</v>
      </c>
      <c r="F455" s="3" t="s">
        <v>3484</v>
      </c>
      <c r="G455" s="3" t="s">
        <v>3485</v>
      </c>
      <c r="H455" s="3" t="s">
        <v>3486</v>
      </c>
      <c r="I455" s="3" t="s">
        <v>3487</v>
      </c>
      <c r="J455" s="3" t="s">
        <v>3488</v>
      </c>
      <c r="L455" s="3" t="s">
        <v>3302</v>
      </c>
      <c r="M455" s="3"/>
      <c r="N455" s="3" t="s">
        <v>3489</v>
      </c>
      <c r="O455" s="3" t="s">
        <v>919</v>
      </c>
      <c r="P455" s="3" t="s">
        <v>3304</v>
      </c>
    </row>
    <row r="456" spans="1:16">
      <c r="A456" s="2">
        <v>4742097</v>
      </c>
      <c r="B456" s="3" t="s">
        <v>815</v>
      </c>
      <c r="C456" s="3" t="s">
        <v>1</v>
      </c>
      <c r="D456" s="3" t="s">
        <v>2</v>
      </c>
      <c r="E456" s="3" t="s">
        <v>391</v>
      </c>
      <c r="F456" s="3" t="s">
        <v>3490</v>
      </c>
      <c r="G456" s="3" t="s">
        <v>3491</v>
      </c>
      <c r="H456" s="3" t="s">
        <v>3492</v>
      </c>
      <c r="I456" s="3" t="s">
        <v>3493</v>
      </c>
      <c r="J456" s="3" t="s">
        <v>3494</v>
      </c>
      <c r="L456" s="3" t="s">
        <v>3495</v>
      </c>
      <c r="M456" s="3"/>
      <c r="N456" s="3" t="s">
        <v>972</v>
      </c>
      <c r="O456" s="3" t="s">
        <v>875</v>
      </c>
      <c r="P456" s="3" t="s">
        <v>876</v>
      </c>
    </row>
    <row r="457" spans="1:16">
      <c r="A457" s="2">
        <v>4741097</v>
      </c>
      <c r="B457" s="3" t="s">
        <v>817</v>
      </c>
      <c r="C457" s="3" t="s">
        <v>361</v>
      </c>
      <c r="D457" s="3" t="s">
        <v>2</v>
      </c>
      <c r="E457" s="3" t="s">
        <v>818</v>
      </c>
      <c r="F457" s="3" t="s">
        <v>3496</v>
      </c>
      <c r="G457" s="3" t="s">
        <v>3497</v>
      </c>
      <c r="H457" s="3" t="s">
        <v>3498</v>
      </c>
      <c r="I457" s="3" t="s">
        <v>3499</v>
      </c>
      <c r="J457" s="3" t="s">
        <v>3500</v>
      </c>
      <c r="L457" s="3" t="s">
        <v>1970</v>
      </c>
      <c r="M457" s="3"/>
      <c r="N457" s="3" t="s">
        <v>1096</v>
      </c>
      <c r="O457" s="3" t="s">
        <v>875</v>
      </c>
      <c r="P457" s="3" t="s">
        <v>1033</v>
      </c>
    </row>
    <row r="458" spans="1:16">
      <c r="A458" s="2">
        <v>4739097</v>
      </c>
      <c r="B458" s="3" t="s">
        <v>820</v>
      </c>
      <c r="C458" s="3" t="s">
        <v>1</v>
      </c>
      <c r="D458" s="3" t="s">
        <v>7</v>
      </c>
      <c r="E458" s="3" t="s">
        <v>10</v>
      </c>
      <c r="F458" s="3" t="s">
        <v>3501</v>
      </c>
      <c r="G458" s="3" t="s">
        <v>3502</v>
      </c>
      <c r="H458" s="3" t="s">
        <v>3503</v>
      </c>
      <c r="I458" s="3" t="s">
        <v>3504</v>
      </c>
      <c r="J458" s="3" t="s">
        <v>3505</v>
      </c>
      <c r="L458" s="3" t="s">
        <v>3295</v>
      </c>
      <c r="M458" s="3"/>
      <c r="N458" s="3" t="s">
        <v>3506</v>
      </c>
      <c r="O458" s="3" t="s">
        <v>919</v>
      </c>
      <c r="P458" s="3" t="s">
        <v>876</v>
      </c>
    </row>
    <row r="459" spans="1:16">
      <c r="A459" s="2">
        <v>4738097</v>
      </c>
      <c r="B459" s="3" t="s">
        <v>821</v>
      </c>
      <c r="C459" s="3" t="s">
        <v>1</v>
      </c>
      <c r="D459" s="3" t="s">
        <v>7</v>
      </c>
      <c r="E459" s="3" t="s">
        <v>822</v>
      </c>
      <c r="F459" s="3" t="s">
        <v>3507</v>
      </c>
      <c r="G459" s="3" t="s">
        <v>3508</v>
      </c>
      <c r="H459" s="3" t="s">
        <v>3509</v>
      </c>
      <c r="I459" s="3" t="s">
        <v>3510</v>
      </c>
      <c r="J459" s="3" t="s">
        <v>3511</v>
      </c>
      <c r="L459" s="3" t="s">
        <v>3512</v>
      </c>
      <c r="M459" s="3"/>
      <c r="N459" s="3" t="s">
        <v>1920</v>
      </c>
      <c r="O459" s="3" t="s">
        <v>875</v>
      </c>
      <c r="P459" s="3" t="s">
        <v>876</v>
      </c>
    </row>
    <row r="460" spans="1:16">
      <c r="A460" s="2">
        <v>4730097</v>
      </c>
      <c r="B460" s="3" t="s">
        <v>823</v>
      </c>
      <c r="C460" s="3" t="s">
        <v>1</v>
      </c>
      <c r="D460" s="3" t="s">
        <v>2</v>
      </c>
      <c r="E460" s="3" t="s">
        <v>824</v>
      </c>
      <c r="F460" s="3" t="s">
        <v>3513</v>
      </c>
      <c r="G460" s="3" t="s">
        <v>3514</v>
      </c>
      <c r="H460" s="3" t="s">
        <v>3515</v>
      </c>
      <c r="I460" s="3" t="s">
        <v>3516</v>
      </c>
      <c r="J460" s="3" t="s">
        <v>3517</v>
      </c>
      <c r="L460" s="3" t="s">
        <v>3518</v>
      </c>
      <c r="M460" s="3"/>
      <c r="N460" s="3" t="s">
        <v>1443</v>
      </c>
      <c r="O460" s="3" t="s">
        <v>1026</v>
      </c>
      <c r="P460" s="3" t="s">
        <v>876</v>
      </c>
    </row>
    <row r="461" spans="1:16">
      <c r="A461" s="2">
        <v>4728097</v>
      </c>
      <c r="B461" s="3" t="s">
        <v>826</v>
      </c>
      <c r="C461" s="3" t="s">
        <v>1</v>
      </c>
      <c r="D461" s="3" t="s">
        <v>2</v>
      </c>
      <c r="E461" s="3" t="s">
        <v>578</v>
      </c>
      <c r="F461" s="3" t="s">
        <v>3519</v>
      </c>
      <c r="G461" s="3" t="s">
        <v>3520</v>
      </c>
      <c r="H461" s="3" t="s">
        <v>3521</v>
      </c>
      <c r="I461" s="3" t="s">
        <v>3522</v>
      </c>
      <c r="J461" s="3" t="s">
        <v>3523</v>
      </c>
      <c r="L461" s="3" t="s">
        <v>2168</v>
      </c>
      <c r="M461" s="3"/>
      <c r="N461" s="3" t="s">
        <v>1492</v>
      </c>
      <c r="O461" s="3" t="s">
        <v>1026</v>
      </c>
      <c r="P461" s="3" t="s">
        <v>876</v>
      </c>
    </row>
    <row r="462" spans="1:16">
      <c r="A462" s="2">
        <v>4723097</v>
      </c>
      <c r="B462" s="3" t="s">
        <v>827</v>
      </c>
      <c r="C462" s="3" t="s">
        <v>1</v>
      </c>
      <c r="D462" s="3" t="s">
        <v>2</v>
      </c>
      <c r="E462" s="3" t="s">
        <v>828</v>
      </c>
      <c r="F462" s="3" t="s">
        <v>3524</v>
      </c>
      <c r="G462" s="3" t="s">
        <v>3525</v>
      </c>
      <c r="H462" s="3" t="s">
        <v>3526</v>
      </c>
      <c r="I462" s="3" t="s">
        <v>3527</v>
      </c>
      <c r="J462" s="3" t="s">
        <v>3528</v>
      </c>
      <c r="L462" s="3" t="s">
        <v>3529</v>
      </c>
      <c r="M462" s="3"/>
      <c r="N462" s="3" t="s">
        <v>972</v>
      </c>
      <c r="O462" s="3" t="s">
        <v>1026</v>
      </c>
      <c r="P462" s="3" t="s">
        <v>876</v>
      </c>
    </row>
    <row r="463" spans="1:16">
      <c r="A463" s="2">
        <v>4722097</v>
      </c>
      <c r="B463" s="3" t="s">
        <v>830</v>
      </c>
      <c r="C463" s="3" t="s">
        <v>1</v>
      </c>
      <c r="D463" s="3" t="s">
        <v>2</v>
      </c>
      <c r="E463" s="3" t="s">
        <v>831</v>
      </c>
      <c r="F463" s="3" t="s">
        <v>3530</v>
      </c>
      <c r="G463" s="3" t="s">
        <v>3531</v>
      </c>
      <c r="H463" s="3" t="s">
        <v>3532</v>
      </c>
      <c r="I463" s="3" t="s">
        <v>3533</v>
      </c>
      <c r="J463" s="3" t="s">
        <v>3534</v>
      </c>
      <c r="L463" s="3" t="s">
        <v>3535</v>
      </c>
      <c r="M463" s="3"/>
      <c r="N463" s="3" t="s">
        <v>2320</v>
      </c>
      <c r="O463" s="3" t="s">
        <v>875</v>
      </c>
      <c r="P463" s="3" t="s">
        <v>876</v>
      </c>
    </row>
    <row r="464" spans="1:16">
      <c r="A464" s="2">
        <v>4719097</v>
      </c>
      <c r="B464" s="3" t="s">
        <v>833</v>
      </c>
      <c r="C464" s="3" t="s">
        <v>1</v>
      </c>
      <c r="D464" s="3" t="s">
        <v>2</v>
      </c>
      <c r="E464" s="3" t="s">
        <v>834</v>
      </c>
      <c r="F464" s="3" t="s">
        <v>3536</v>
      </c>
      <c r="G464" s="3" t="s">
        <v>3537</v>
      </c>
      <c r="H464" s="3" t="s">
        <v>3538</v>
      </c>
      <c r="I464" s="3" t="s">
        <v>3539</v>
      </c>
      <c r="J464" s="3" t="s">
        <v>3540</v>
      </c>
      <c r="L464" s="3" t="s">
        <v>3541</v>
      </c>
      <c r="M464" s="3"/>
      <c r="N464" s="3" t="s">
        <v>1235</v>
      </c>
      <c r="O464" s="3" t="s">
        <v>1026</v>
      </c>
      <c r="P464" s="3" t="s">
        <v>876</v>
      </c>
    </row>
    <row r="465" spans="1:16">
      <c r="A465" s="2">
        <v>4718097</v>
      </c>
      <c r="B465" s="3" t="s">
        <v>836</v>
      </c>
      <c r="C465" s="3" t="s">
        <v>1</v>
      </c>
      <c r="D465" s="3" t="s">
        <v>2</v>
      </c>
      <c r="E465" s="3" t="s">
        <v>837</v>
      </c>
      <c r="F465" s="3" t="s">
        <v>3542</v>
      </c>
      <c r="G465" s="3" t="s">
        <v>3543</v>
      </c>
      <c r="H465" s="3" t="s">
        <v>3544</v>
      </c>
      <c r="I465" s="3" t="s">
        <v>3545</v>
      </c>
      <c r="J465" s="3" t="s">
        <v>3546</v>
      </c>
      <c r="L465" s="3" t="s">
        <v>1095</v>
      </c>
      <c r="M465" s="3"/>
      <c r="N465" s="3" t="s">
        <v>1235</v>
      </c>
      <c r="O465" s="3" t="s">
        <v>1026</v>
      </c>
      <c r="P465" s="3" t="s">
        <v>876</v>
      </c>
    </row>
    <row r="466" spans="1:16">
      <c r="A466" s="2">
        <v>4717097</v>
      </c>
      <c r="B466" s="3" t="s">
        <v>821</v>
      </c>
      <c r="C466" s="3" t="s">
        <v>1</v>
      </c>
      <c r="D466" s="3" t="s">
        <v>7</v>
      </c>
      <c r="E466" s="3" t="s">
        <v>839</v>
      </c>
      <c r="F466" s="3" t="s">
        <v>3547</v>
      </c>
      <c r="G466" s="3" t="s">
        <v>3548</v>
      </c>
      <c r="H466" s="3" t="s">
        <v>3549</v>
      </c>
      <c r="I466" s="3" t="s">
        <v>3550</v>
      </c>
      <c r="J466" s="3" t="s">
        <v>3551</v>
      </c>
      <c r="L466" s="3" t="s">
        <v>3512</v>
      </c>
      <c r="M466" s="3"/>
      <c r="N466" s="3" t="s">
        <v>911</v>
      </c>
      <c r="O466" s="3" t="s">
        <v>875</v>
      </c>
      <c r="P466" s="3" t="s">
        <v>876</v>
      </c>
    </row>
    <row r="467" spans="1:16">
      <c r="A467" s="2">
        <v>4716097</v>
      </c>
      <c r="B467" s="3" t="s">
        <v>840</v>
      </c>
      <c r="C467" s="3" t="s">
        <v>1</v>
      </c>
      <c r="D467" s="3" t="s">
        <v>7</v>
      </c>
      <c r="E467" s="3" t="s">
        <v>841</v>
      </c>
      <c r="F467" s="3" t="s">
        <v>3552</v>
      </c>
      <c r="G467" s="3" t="s">
        <v>3553</v>
      </c>
      <c r="H467" s="3" t="s">
        <v>3554</v>
      </c>
      <c r="I467" s="3" t="s">
        <v>3555</v>
      </c>
      <c r="J467" s="3" t="s">
        <v>3556</v>
      </c>
      <c r="L467" s="3" t="s">
        <v>3557</v>
      </c>
      <c r="M467" s="3"/>
      <c r="N467" s="3" t="s">
        <v>2320</v>
      </c>
      <c r="O467" s="3" t="s">
        <v>875</v>
      </c>
      <c r="P467" s="3" t="s">
        <v>876</v>
      </c>
    </row>
    <row r="468" spans="1:16">
      <c r="A468" s="2">
        <v>4715097</v>
      </c>
      <c r="B468" s="3" t="s">
        <v>842</v>
      </c>
      <c r="C468" s="3" t="s">
        <v>1</v>
      </c>
      <c r="D468" s="3" t="s">
        <v>7</v>
      </c>
      <c r="E468" s="3" t="s">
        <v>789</v>
      </c>
      <c r="F468" s="3" t="s">
        <v>3558</v>
      </c>
      <c r="G468" s="3" t="s">
        <v>3559</v>
      </c>
      <c r="H468" s="3" t="s">
        <v>3560</v>
      </c>
      <c r="I468" s="3" t="s">
        <v>3561</v>
      </c>
      <c r="J468" s="3" t="s">
        <v>3562</v>
      </c>
      <c r="L468" s="3" t="s">
        <v>3404</v>
      </c>
      <c r="M468" s="3"/>
      <c r="N468" s="3" t="s">
        <v>1443</v>
      </c>
      <c r="O468" s="3" t="s">
        <v>1026</v>
      </c>
      <c r="P468" s="3" t="s">
        <v>876</v>
      </c>
    </row>
    <row r="469" spans="1:16">
      <c r="A469" s="2">
        <v>4713097</v>
      </c>
      <c r="B469" s="3" t="s">
        <v>843</v>
      </c>
      <c r="C469" s="3" t="s">
        <v>1</v>
      </c>
      <c r="D469" s="3" t="s">
        <v>7</v>
      </c>
      <c r="E469" s="3" t="s">
        <v>578</v>
      </c>
      <c r="F469" s="3" t="s">
        <v>3563</v>
      </c>
      <c r="G469" s="3" t="s">
        <v>3564</v>
      </c>
      <c r="H469" s="3" t="s">
        <v>3565</v>
      </c>
      <c r="I469" s="3" t="s">
        <v>3566</v>
      </c>
      <c r="J469" s="3" t="s">
        <v>3567</v>
      </c>
      <c r="L469" s="3" t="s">
        <v>2168</v>
      </c>
      <c r="M469" s="3"/>
      <c r="N469" s="3" t="s">
        <v>1268</v>
      </c>
      <c r="O469" s="3" t="s">
        <v>1026</v>
      </c>
      <c r="P469" s="3" t="s">
        <v>876</v>
      </c>
    </row>
    <row r="470" spans="1:16">
      <c r="A470" s="2">
        <v>4705097</v>
      </c>
      <c r="B470" s="3" t="s">
        <v>844</v>
      </c>
      <c r="C470" s="3" t="s">
        <v>1</v>
      </c>
      <c r="D470" s="3" t="s">
        <v>2</v>
      </c>
      <c r="E470" s="3" t="s">
        <v>845</v>
      </c>
      <c r="F470" s="3" t="s">
        <v>3568</v>
      </c>
      <c r="G470" s="3" t="s">
        <v>3569</v>
      </c>
      <c r="H470" s="3" t="s">
        <v>3570</v>
      </c>
      <c r="I470" s="3" t="s">
        <v>3571</v>
      </c>
      <c r="J470" s="3" t="s">
        <v>3572</v>
      </c>
      <c r="L470" s="3" t="s">
        <v>3573</v>
      </c>
      <c r="M470" s="3"/>
      <c r="N470" s="3" t="s">
        <v>1025</v>
      </c>
      <c r="O470" s="3" t="s">
        <v>875</v>
      </c>
      <c r="P470" s="3" t="s">
        <v>876</v>
      </c>
    </row>
    <row r="471" spans="1:16">
      <c r="A471" s="2">
        <v>4704097</v>
      </c>
      <c r="B471" s="3" t="s">
        <v>846</v>
      </c>
      <c r="C471" s="3" t="s">
        <v>1</v>
      </c>
      <c r="D471" s="3" t="s">
        <v>7</v>
      </c>
      <c r="E471" s="3" t="s">
        <v>845</v>
      </c>
      <c r="F471" s="3" t="s">
        <v>3574</v>
      </c>
      <c r="G471" s="3" t="s">
        <v>3575</v>
      </c>
      <c r="H471" s="3" t="s">
        <v>3576</v>
      </c>
      <c r="I471" s="3" t="s">
        <v>3577</v>
      </c>
      <c r="J471" s="3" t="s">
        <v>3578</v>
      </c>
      <c r="L471" s="3" t="s">
        <v>3573</v>
      </c>
      <c r="M471" s="3"/>
      <c r="N471" s="3" t="s">
        <v>1937</v>
      </c>
      <c r="O471" s="3" t="s">
        <v>875</v>
      </c>
      <c r="P471" s="3" t="s">
        <v>876</v>
      </c>
    </row>
    <row r="472" spans="1:16">
      <c r="A472" s="2">
        <v>4697097</v>
      </c>
      <c r="B472" s="3" t="s">
        <v>847</v>
      </c>
      <c r="C472" s="3" t="s">
        <v>1</v>
      </c>
      <c r="D472" s="3" t="s">
        <v>7</v>
      </c>
      <c r="E472" s="3" t="s">
        <v>848</v>
      </c>
      <c r="F472" s="3" t="s">
        <v>3579</v>
      </c>
      <c r="G472" s="3" t="s">
        <v>3580</v>
      </c>
      <c r="H472" s="3" t="s">
        <v>3581</v>
      </c>
      <c r="I472" s="3" t="s">
        <v>3582</v>
      </c>
      <c r="J472" s="3" t="s">
        <v>3583</v>
      </c>
      <c r="L472" s="3" t="s">
        <v>3404</v>
      </c>
      <c r="M472" s="3"/>
      <c r="N472" s="3" t="s">
        <v>1937</v>
      </c>
      <c r="O472" s="3" t="s">
        <v>1026</v>
      </c>
      <c r="P472" s="3" t="s">
        <v>876</v>
      </c>
    </row>
    <row r="473" spans="1:16">
      <c r="A473" s="2">
        <v>4693097</v>
      </c>
      <c r="B473" s="3" t="s">
        <v>849</v>
      </c>
      <c r="C473" s="3" t="s">
        <v>1</v>
      </c>
      <c r="D473" s="3" t="s">
        <v>7</v>
      </c>
      <c r="E473" s="3" t="s">
        <v>841</v>
      </c>
      <c r="F473" s="3" t="s">
        <v>3584</v>
      </c>
      <c r="G473" s="3" t="s">
        <v>3585</v>
      </c>
      <c r="H473" s="3" t="s">
        <v>3586</v>
      </c>
      <c r="I473" s="3" t="s">
        <v>3587</v>
      </c>
      <c r="J473" s="3" t="s">
        <v>3588</v>
      </c>
      <c r="L473" s="3" t="s">
        <v>3557</v>
      </c>
      <c r="M473" s="3"/>
      <c r="N473" s="3" t="s">
        <v>1025</v>
      </c>
      <c r="O473" s="3" t="s">
        <v>875</v>
      </c>
      <c r="P473" s="3" t="s">
        <v>876</v>
      </c>
    </row>
    <row r="474" spans="1:16">
      <c r="A474" s="2">
        <v>4692097</v>
      </c>
      <c r="B474" s="3" t="s">
        <v>821</v>
      </c>
      <c r="C474" s="3" t="s">
        <v>1</v>
      </c>
      <c r="D474" s="3" t="s">
        <v>7</v>
      </c>
      <c r="E474" s="3" t="s">
        <v>839</v>
      </c>
      <c r="F474" s="3" t="s">
        <v>3589</v>
      </c>
      <c r="G474" s="3" t="s">
        <v>3590</v>
      </c>
      <c r="H474" s="3" t="s">
        <v>3591</v>
      </c>
      <c r="I474" s="3" t="s">
        <v>3592</v>
      </c>
      <c r="J474" s="3" t="s">
        <v>3593</v>
      </c>
      <c r="L474" s="3" t="s">
        <v>3512</v>
      </c>
      <c r="M474" s="3"/>
      <c r="N474" s="3" t="s">
        <v>953</v>
      </c>
      <c r="O474" s="3" t="s">
        <v>875</v>
      </c>
      <c r="P474" s="3" t="s">
        <v>876</v>
      </c>
    </row>
    <row r="475" spans="1:16">
      <c r="A475" s="2">
        <v>4690097</v>
      </c>
      <c r="B475" s="3" t="s">
        <v>847</v>
      </c>
      <c r="C475" s="3" t="s">
        <v>1</v>
      </c>
      <c r="D475" s="3" t="s">
        <v>7</v>
      </c>
      <c r="E475" s="3" t="s">
        <v>848</v>
      </c>
      <c r="F475" s="3" t="s">
        <v>3594</v>
      </c>
      <c r="G475" s="3" t="s">
        <v>3595</v>
      </c>
      <c r="H475" s="3" t="s">
        <v>3596</v>
      </c>
      <c r="I475" s="3" t="s">
        <v>3597</v>
      </c>
      <c r="J475" s="3" t="s">
        <v>3598</v>
      </c>
      <c r="L475" s="3" t="s">
        <v>3404</v>
      </c>
      <c r="M475" s="3"/>
      <c r="N475" s="3" t="s">
        <v>1025</v>
      </c>
      <c r="O475" s="3" t="s">
        <v>1026</v>
      </c>
      <c r="P475" s="3" t="s">
        <v>876</v>
      </c>
    </row>
    <row r="476" spans="1:16">
      <c r="A476" s="2">
        <v>4685097</v>
      </c>
      <c r="B476" s="3" t="s">
        <v>850</v>
      </c>
      <c r="C476" s="3" t="s">
        <v>1</v>
      </c>
      <c r="D476" s="3" t="s">
        <v>7</v>
      </c>
      <c r="E476" s="3" t="s">
        <v>53</v>
      </c>
      <c r="F476" s="3" t="s">
        <v>3599</v>
      </c>
      <c r="G476" s="3" t="s">
        <v>3600</v>
      </c>
      <c r="H476" s="3" t="s">
        <v>3601</v>
      </c>
      <c r="I476" s="3" t="s">
        <v>3602</v>
      </c>
      <c r="J476" s="3" t="s">
        <v>3603</v>
      </c>
      <c r="L476" s="3" t="s">
        <v>3604</v>
      </c>
      <c r="M476" s="3"/>
      <c r="N476" s="3" t="s">
        <v>918</v>
      </c>
      <c r="O476" s="3" t="s">
        <v>875</v>
      </c>
      <c r="P476" s="3" t="s">
        <v>876</v>
      </c>
    </row>
    <row r="477" spans="1:16">
      <c r="A477" s="2">
        <v>4679097</v>
      </c>
      <c r="B477" s="3" t="s">
        <v>851</v>
      </c>
      <c r="C477" s="3" t="s">
        <v>1</v>
      </c>
      <c r="D477" s="3" t="s">
        <v>7</v>
      </c>
      <c r="E477" s="3" t="s">
        <v>848</v>
      </c>
      <c r="F477" s="3" t="s">
        <v>3605</v>
      </c>
      <c r="G477" s="3" t="s">
        <v>3606</v>
      </c>
      <c r="H477" s="3" t="s">
        <v>3607</v>
      </c>
      <c r="I477" s="3" t="s">
        <v>3608</v>
      </c>
      <c r="J477" s="3" t="s">
        <v>3609</v>
      </c>
      <c r="L477" s="3" t="s">
        <v>3404</v>
      </c>
      <c r="M477" s="3"/>
      <c r="N477" s="3" t="s">
        <v>953</v>
      </c>
      <c r="O477" s="3" t="s">
        <v>1026</v>
      </c>
      <c r="P477" s="3" t="s">
        <v>876</v>
      </c>
    </row>
    <row r="478" spans="1:16">
      <c r="A478" s="2">
        <v>4677097</v>
      </c>
      <c r="B478" s="3" t="s">
        <v>846</v>
      </c>
      <c r="C478" s="3" t="s">
        <v>1</v>
      </c>
      <c r="D478" s="3" t="s">
        <v>7</v>
      </c>
      <c r="E478" s="3" t="s">
        <v>845</v>
      </c>
      <c r="F478" s="3" t="s">
        <v>3610</v>
      </c>
      <c r="G478" s="3" t="s">
        <v>3611</v>
      </c>
      <c r="H478" s="3" t="s">
        <v>3612</v>
      </c>
      <c r="I478" s="3" t="s">
        <v>3613</v>
      </c>
      <c r="J478" s="3" t="s">
        <v>3614</v>
      </c>
      <c r="L478" s="3" t="s">
        <v>3573</v>
      </c>
      <c r="M478" s="3"/>
      <c r="N478" s="3" t="s">
        <v>1937</v>
      </c>
      <c r="O478" s="3" t="s">
        <v>875</v>
      </c>
      <c r="P478" s="3" t="s">
        <v>876</v>
      </c>
    </row>
    <row r="479" spans="1:16">
      <c r="A479" s="2">
        <v>4676097</v>
      </c>
      <c r="B479" s="3" t="s">
        <v>852</v>
      </c>
      <c r="C479" s="3" t="s">
        <v>1</v>
      </c>
      <c r="D479" s="3" t="s">
        <v>2</v>
      </c>
      <c r="E479" s="3" t="s">
        <v>853</v>
      </c>
      <c r="F479" s="3" t="s">
        <v>3615</v>
      </c>
      <c r="G479" s="3" t="s">
        <v>3616</v>
      </c>
      <c r="H479" s="3" t="s">
        <v>3617</v>
      </c>
      <c r="I479" s="3" t="s">
        <v>3618</v>
      </c>
      <c r="J479" s="3" t="s">
        <v>3619</v>
      </c>
      <c r="L479" s="3" t="s">
        <v>3620</v>
      </c>
      <c r="M479" s="3"/>
      <c r="N479" s="3" t="s">
        <v>1492</v>
      </c>
      <c r="O479" s="3" t="s">
        <v>1026</v>
      </c>
      <c r="P479" s="3" t="s">
        <v>876</v>
      </c>
    </row>
    <row r="480" spans="1:16">
      <c r="A480" s="2">
        <v>4675097</v>
      </c>
      <c r="B480" s="3" t="s">
        <v>854</v>
      </c>
      <c r="C480" s="3" t="s">
        <v>1</v>
      </c>
      <c r="D480" s="3" t="s">
        <v>2</v>
      </c>
      <c r="E480" s="3" t="s">
        <v>855</v>
      </c>
      <c r="F480" s="3" t="s">
        <v>3621</v>
      </c>
      <c r="G480" s="3" t="s">
        <v>3622</v>
      </c>
      <c r="H480" s="3" t="s">
        <v>3623</v>
      </c>
      <c r="I480" s="3" t="s">
        <v>3624</v>
      </c>
      <c r="J480" s="3" t="s">
        <v>3625</v>
      </c>
      <c r="L480" s="3" t="s">
        <v>3626</v>
      </c>
      <c r="M480" s="3"/>
      <c r="N480" s="3" t="s">
        <v>972</v>
      </c>
      <c r="O480" s="3" t="s">
        <v>1026</v>
      </c>
      <c r="P480" s="3" t="s">
        <v>876</v>
      </c>
    </row>
    <row r="481" spans="1:16">
      <c r="A481" s="2">
        <v>4674097</v>
      </c>
      <c r="B481" s="3" t="s">
        <v>856</v>
      </c>
      <c r="C481" s="3" t="s">
        <v>1</v>
      </c>
      <c r="D481" s="3" t="s">
        <v>2</v>
      </c>
      <c r="E481" s="3" t="s">
        <v>631</v>
      </c>
      <c r="F481" s="3" t="s">
        <v>3627</v>
      </c>
      <c r="G481" s="3" t="s">
        <v>3628</v>
      </c>
      <c r="H481" s="3" t="s">
        <v>3629</v>
      </c>
      <c r="I481" s="3" t="s">
        <v>3630</v>
      </c>
      <c r="J481" s="3" t="s">
        <v>3631</v>
      </c>
      <c r="L481" s="3" t="s">
        <v>3632</v>
      </c>
      <c r="M481" s="3"/>
      <c r="N481" s="3" t="s">
        <v>1056</v>
      </c>
      <c r="O481" s="3" t="s">
        <v>875</v>
      </c>
      <c r="P481" s="3" t="s">
        <v>876</v>
      </c>
    </row>
    <row r="482" spans="1:16">
      <c r="A482" s="2">
        <v>4670097</v>
      </c>
      <c r="B482" s="3" t="s">
        <v>857</v>
      </c>
      <c r="C482" s="3" t="s">
        <v>361</v>
      </c>
      <c r="D482" s="3" t="s">
        <v>2</v>
      </c>
      <c r="E482" s="3" t="s">
        <v>145</v>
      </c>
      <c r="F482" s="3" t="s">
        <v>3633</v>
      </c>
      <c r="G482" s="3" t="s">
        <v>3634</v>
      </c>
      <c r="H482" s="3" t="s">
        <v>3635</v>
      </c>
      <c r="I482" s="3" t="s">
        <v>3636</v>
      </c>
      <c r="J482" s="3" t="s">
        <v>3637</v>
      </c>
      <c r="L482" s="3" t="s">
        <v>3638</v>
      </c>
      <c r="M482" s="3"/>
      <c r="N482" s="3" t="s">
        <v>1443</v>
      </c>
      <c r="O482" s="3" t="s">
        <v>1026</v>
      </c>
      <c r="P482" s="3" t="s">
        <v>1033</v>
      </c>
    </row>
    <row r="2402" spans="6:6">
      <c r="F2402" t="s">
        <v>3639</v>
      </c>
    </row>
    <row r="2403" spans="2:6">
      <c r="B2403" t="s">
        <v>188</v>
      </c>
      <c r="F2403" t="s">
        <v>3639</v>
      </c>
    </row>
    <row r="2404" spans="6:6">
      <c r="F2404" t="s">
        <v>3639</v>
      </c>
    </row>
    <row r="2405" spans="2:6">
      <c r="B2405" t="s">
        <v>5</v>
      </c>
      <c r="F2405" t="s">
        <v>3639</v>
      </c>
    </row>
  </sheetData>
  <pageMargins left="0.7" right="0.7" top="0.75" bottom="0.75" header="0.3" footer="0.3"/>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T482"/>
  <sheetViews>
    <sheetView zoomScale="55" zoomScaleNormal="55" workbookViewId="0">
      <selection activeCell="T3" sqref="T3"/>
    </sheetView>
  </sheetViews>
  <sheetFormatPr defaultColWidth="9" defaultRowHeight="15"/>
  <cols>
    <col min="6" max="6" width="13.3619047619048" customWidth="1"/>
    <col min="7" max="7" width="17.6285714285714" customWidth="1"/>
    <col min="8" max="8" width="18.6285714285714" customWidth="1"/>
    <col min="9" max="9" width="16" customWidth="1"/>
    <col min="10" max="10" width="12" customWidth="1"/>
    <col min="12" max="12" width="18.4571428571429" customWidth="1"/>
    <col min="13" max="13" width="17.0857142857143" customWidth="1"/>
    <col min="14" max="14" width="11.9047619047619" customWidth="1"/>
    <col min="15" max="15" width="13" customWidth="1"/>
    <col min="16" max="16" width="12.6285714285714" customWidth="1"/>
    <col min="17" max="17" width="12.2666666666667" customWidth="1"/>
    <col min="18" max="18" width="21.6285714285714" customWidth="1"/>
  </cols>
  <sheetData>
    <row r="1" spans="1:9">
      <c r="A1" s="4" t="s">
        <v>858</v>
      </c>
      <c r="B1" s="4" t="s">
        <v>3640</v>
      </c>
      <c r="C1" s="4" t="s">
        <v>860</v>
      </c>
      <c r="D1" s="4" t="s">
        <v>861</v>
      </c>
      <c r="E1" s="4" t="s">
        <v>3641</v>
      </c>
      <c r="F1" s="4" t="s">
        <v>3642</v>
      </c>
      <c r="G1" s="4"/>
      <c r="H1" s="4"/>
      <c r="I1" s="5" t="s">
        <v>3643</v>
      </c>
    </row>
    <row r="2" spans="1:18">
      <c r="A2" s="2">
        <v>5671097</v>
      </c>
      <c r="B2" s="3" t="s">
        <v>0</v>
      </c>
      <c r="C2" s="3" t="s">
        <v>1</v>
      </c>
      <c r="D2" s="3" t="s">
        <v>2</v>
      </c>
      <c r="E2" s="3" t="s">
        <v>876</v>
      </c>
      <c r="F2" s="3" t="s">
        <v>875</v>
      </c>
      <c r="G2" s="3" t="s">
        <v>873</v>
      </c>
      <c r="H2" s="3" t="s">
        <v>3644</v>
      </c>
      <c r="I2" s="3" t="s">
        <v>874</v>
      </c>
      <c r="J2" s="3">
        <f>VALUE(SUBSTITUTE(I2,"peserta",""))</f>
        <v>8</v>
      </c>
      <c r="K2" s="3">
        <f>IF(ISNUMBER(SEARCH("selesai",Sheet2!D2)-1),1,"")</f>
        <v>1</v>
      </c>
      <c r="L2" s="3" t="str">
        <f>LEFT(G2,SEARCH(",",G2)-1)</f>
        <v>Rp. 418.806.000</v>
      </c>
      <c r="M2" s="3" t="str">
        <f>LEFT(H2,SEARCH(",",H2)-1)</f>
        <v>Rp. 418.791.780</v>
      </c>
      <c r="N2" s="3" t="str">
        <f>SUBSTITUTE(L2,"Rp.","")</f>
        <v> 418.806.000</v>
      </c>
      <c r="O2" s="3" t="str">
        <f>SUBSTITUTE(M2,"Rp.","")</f>
        <v> 418.791.780</v>
      </c>
      <c r="P2" s="3">
        <f>VALUE(SUBSTITUTE(N2,".",""))</f>
        <v>418806000</v>
      </c>
      <c r="Q2" s="3">
        <f>VALUE(SUBSTITUTE(O2,".",""))</f>
        <v>418791780</v>
      </c>
      <c r="R2" s="3">
        <f>ABS(P2-Q2)</f>
        <v>14220</v>
      </c>
    </row>
    <row r="3" spans="1:18">
      <c r="A3" s="2">
        <v>5670097</v>
      </c>
      <c r="B3" s="3" t="s">
        <v>6</v>
      </c>
      <c r="C3" s="3" t="s">
        <v>1</v>
      </c>
      <c r="D3" s="3" t="s">
        <v>7</v>
      </c>
      <c r="E3" s="3" t="s">
        <v>876</v>
      </c>
      <c r="F3" s="3" t="s">
        <v>875</v>
      </c>
      <c r="G3" s="3" t="s">
        <v>883</v>
      </c>
      <c r="H3" s="3" t="s">
        <v>3645</v>
      </c>
      <c r="I3" s="3" t="s">
        <v>884</v>
      </c>
      <c r="J3" s="3">
        <f t="shared" ref="J3:J66" si="0">VALUE(SUBSTITUTE(I3,"peserta",""))</f>
        <v>7</v>
      </c>
      <c r="K3" s="3" t="str">
        <f>IF(ISNUMBER(SEARCH("selesai",Sheet2!D3)-1),1,"")</f>
        <v/>
      </c>
      <c r="L3" s="3" t="str">
        <f t="shared" ref="L3:L66" si="1">LEFT(G3,SEARCH(",",G3)-1)</f>
        <v>Rp. 363.200.000</v>
      </c>
      <c r="M3" s="3" t="str">
        <f t="shared" ref="M3:M66" si="2">LEFT(H3,SEARCH(",",H3)-1)</f>
        <v>Rp. 360.525.000</v>
      </c>
      <c r="N3" s="3" t="str">
        <f t="shared" ref="N3:N66" si="3">SUBSTITUTE(L3,"Rp.","")</f>
        <v> 363.200.000</v>
      </c>
      <c r="O3" s="3" t="str">
        <f t="shared" ref="O3:O66" si="4">SUBSTITUTE(M3,"Rp.","")</f>
        <v> 360.525.000</v>
      </c>
      <c r="P3" s="3">
        <f t="shared" ref="P3:P66" si="5">VALUE(SUBSTITUTE(N3,".",""))</f>
        <v>363200000</v>
      </c>
      <c r="Q3" s="3">
        <f t="shared" ref="Q3:Q66" si="6">VALUE(SUBSTITUTE(O3,".",""))</f>
        <v>360525000</v>
      </c>
      <c r="R3" s="3">
        <f t="shared" ref="R3:R66" si="7">ABS(P3-Q3)</f>
        <v>2675000</v>
      </c>
    </row>
    <row r="4" spans="1:18">
      <c r="A4" s="2">
        <v>5662097</v>
      </c>
      <c r="B4" s="3" t="s">
        <v>9</v>
      </c>
      <c r="C4" s="3" t="s">
        <v>1</v>
      </c>
      <c r="D4" s="3" t="s">
        <v>2</v>
      </c>
      <c r="E4" s="3" t="s">
        <v>891</v>
      </c>
      <c r="F4" s="3" t="s">
        <v>875</v>
      </c>
      <c r="G4" s="3" t="s">
        <v>890</v>
      </c>
      <c r="H4" s="3" t="s">
        <v>3646</v>
      </c>
      <c r="I4" s="3" t="s">
        <v>884</v>
      </c>
      <c r="J4" s="3">
        <f t="shared" si="0"/>
        <v>7</v>
      </c>
      <c r="K4" s="3">
        <f>IF(ISNUMBER(SEARCH("selesai",Sheet2!D4)-1),1,"")</f>
        <v>1</v>
      </c>
      <c r="L4" s="3" t="str">
        <f t="shared" si="1"/>
        <v>Rp. 3.998.250.000</v>
      </c>
      <c r="M4" s="3" t="str">
        <f t="shared" si="2"/>
        <v>Rp. 3.958.348.801</v>
      </c>
      <c r="N4" s="3" t="str">
        <f t="shared" si="3"/>
        <v> 3.998.250.000</v>
      </c>
      <c r="O4" s="3" t="str">
        <f t="shared" si="4"/>
        <v> 3.958.348.801</v>
      </c>
      <c r="P4" s="3">
        <f t="shared" si="5"/>
        <v>3998250000</v>
      </c>
      <c r="Q4" s="3">
        <f t="shared" si="6"/>
        <v>3958348801</v>
      </c>
      <c r="R4" s="3">
        <f t="shared" si="7"/>
        <v>39901199</v>
      </c>
    </row>
    <row r="5" spans="1:18">
      <c r="A5" s="2">
        <v>5657097</v>
      </c>
      <c r="B5" s="3" t="s">
        <v>11</v>
      </c>
      <c r="C5" s="3" t="s">
        <v>1</v>
      </c>
      <c r="D5" s="3" t="s">
        <v>2</v>
      </c>
      <c r="E5" s="3" t="s">
        <v>876</v>
      </c>
      <c r="F5" s="3" t="s">
        <v>875</v>
      </c>
      <c r="G5" s="3" t="s">
        <v>897</v>
      </c>
      <c r="H5" s="3" t="s">
        <v>3647</v>
      </c>
      <c r="I5" s="3" t="s">
        <v>898</v>
      </c>
      <c r="J5" s="3">
        <f t="shared" si="0"/>
        <v>35</v>
      </c>
      <c r="K5" s="3">
        <f>IF(ISNUMBER(SEARCH("selesai",Sheet2!D5)-1),1,"")</f>
        <v>1</v>
      </c>
      <c r="L5" s="3" t="str">
        <f t="shared" si="1"/>
        <v>Rp. 350.000.000</v>
      </c>
      <c r="M5" s="3" t="str">
        <f t="shared" si="2"/>
        <v>Rp. 349.800.000</v>
      </c>
      <c r="N5" s="3" t="str">
        <f t="shared" si="3"/>
        <v> 350.000.000</v>
      </c>
      <c r="O5" s="3" t="str">
        <f t="shared" si="4"/>
        <v> 349.800.000</v>
      </c>
      <c r="P5" s="3">
        <f t="shared" si="5"/>
        <v>350000000</v>
      </c>
      <c r="Q5" s="3">
        <f t="shared" si="6"/>
        <v>349800000</v>
      </c>
      <c r="R5" s="3">
        <f t="shared" si="7"/>
        <v>200000</v>
      </c>
    </row>
    <row r="6" spans="1:20">
      <c r="A6" s="2">
        <v>5643097</v>
      </c>
      <c r="B6" s="3" t="s">
        <v>14</v>
      </c>
      <c r="C6" s="3" t="s">
        <v>1</v>
      </c>
      <c r="D6" s="3" t="s">
        <v>2</v>
      </c>
      <c r="E6" s="3" t="s">
        <v>876</v>
      </c>
      <c r="F6" s="3" t="s">
        <v>875</v>
      </c>
      <c r="G6" s="3" t="s">
        <v>904</v>
      </c>
      <c r="H6" s="3" t="s">
        <v>3648</v>
      </c>
      <c r="I6" s="3" t="s">
        <v>905</v>
      </c>
      <c r="J6" s="3">
        <f t="shared" si="0"/>
        <v>31</v>
      </c>
      <c r="K6" s="3">
        <f>IF(ISNUMBER(SEARCH("selesai",Sheet2!D6)-1),1,"")</f>
        <v>1</v>
      </c>
      <c r="L6" s="3" t="str">
        <f t="shared" si="1"/>
        <v>Rp. 242.000.000</v>
      </c>
      <c r="M6" s="3" t="str">
        <f t="shared" si="2"/>
        <v>Rp. 235.999.060</v>
      </c>
      <c r="N6" s="3" t="str">
        <f t="shared" si="3"/>
        <v> 242.000.000</v>
      </c>
      <c r="O6" s="3" t="str">
        <f t="shared" si="4"/>
        <v> 235.999.060</v>
      </c>
      <c r="P6" s="3">
        <f t="shared" si="5"/>
        <v>242000000</v>
      </c>
      <c r="Q6" s="3">
        <f t="shared" si="6"/>
        <v>235999060</v>
      </c>
      <c r="R6" s="3">
        <f t="shared" si="7"/>
        <v>6000940</v>
      </c>
      <c r="T6">
        <f>COUNTIF(K2:K482,"1")</f>
        <v>341</v>
      </c>
    </row>
    <row r="7" spans="1:18">
      <c r="A7" s="2">
        <v>5639097</v>
      </c>
      <c r="B7" s="3" t="s">
        <v>18</v>
      </c>
      <c r="C7" s="3" t="s">
        <v>1</v>
      </c>
      <c r="D7" s="3" t="s">
        <v>7</v>
      </c>
      <c r="E7" s="3" t="s">
        <v>891</v>
      </c>
      <c r="F7" s="3" t="s">
        <v>875</v>
      </c>
      <c r="G7" s="3" t="s">
        <v>890</v>
      </c>
      <c r="H7" s="3" t="s">
        <v>3646</v>
      </c>
      <c r="I7" s="3" t="s">
        <v>911</v>
      </c>
      <c r="J7" s="3">
        <f t="shared" si="0"/>
        <v>4</v>
      </c>
      <c r="K7" s="3" t="str">
        <f>IF(ISNUMBER(SEARCH("selesai",Sheet2!D7)-1),1,"")</f>
        <v/>
      </c>
      <c r="L7" s="3" t="str">
        <f t="shared" si="1"/>
        <v>Rp. 3.998.250.000</v>
      </c>
      <c r="M7" s="3" t="str">
        <f t="shared" si="2"/>
        <v>Rp. 3.958.348.801</v>
      </c>
      <c r="N7" s="3" t="str">
        <f t="shared" si="3"/>
        <v> 3.998.250.000</v>
      </c>
      <c r="O7" s="3" t="str">
        <f t="shared" si="4"/>
        <v> 3.958.348.801</v>
      </c>
      <c r="P7" s="3">
        <f t="shared" si="5"/>
        <v>3998250000</v>
      </c>
      <c r="Q7" s="3">
        <f t="shared" si="6"/>
        <v>3958348801</v>
      </c>
      <c r="R7" s="3">
        <f t="shared" si="7"/>
        <v>39901199</v>
      </c>
    </row>
    <row r="8" spans="1:18">
      <c r="A8" s="2">
        <v>5636097</v>
      </c>
      <c r="B8" s="3" t="s">
        <v>19</v>
      </c>
      <c r="C8" s="3" t="s">
        <v>1</v>
      </c>
      <c r="D8" s="3" t="s">
        <v>2</v>
      </c>
      <c r="E8" s="3" t="s">
        <v>876</v>
      </c>
      <c r="F8" s="3" t="s">
        <v>919</v>
      </c>
      <c r="G8" s="3" t="s">
        <v>917</v>
      </c>
      <c r="H8" s="3" t="s">
        <v>3649</v>
      </c>
      <c r="I8" s="3" t="s">
        <v>918</v>
      </c>
      <c r="J8" s="3">
        <f t="shared" si="0"/>
        <v>19</v>
      </c>
      <c r="K8" s="3">
        <f>IF(ISNUMBER(SEARCH("selesai",Sheet2!D8)-1),1,"")</f>
        <v>1</v>
      </c>
      <c r="L8" s="3" t="str">
        <f t="shared" si="1"/>
        <v>Rp. 1.350.000.000</v>
      </c>
      <c r="M8" s="3" t="str">
        <f t="shared" si="2"/>
        <v>Rp. 1.348.334.417</v>
      </c>
      <c r="N8" s="3" t="str">
        <f t="shared" si="3"/>
        <v> 1.350.000.000</v>
      </c>
      <c r="O8" s="3" t="str">
        <f t="shared" si="4"/>
        <v> 1.348.334.417</v>
      </c>
      <c r="P8" s="3">
        <f t="shared" si="5"/>
        <v>1350000000</v>
      </c>
      <c r="Q8" s="3">
        <f t="shared" si="6"/>
        <v>1348334417</v>
      </c>
      <c r="R8" s="3">
        <f t="shared" si="7"/>
        <v>1665583</v>
      </c>
    </row>
    <row r="9" spans="1:18">
      <c r="A9" s="2">
        <v>5635097</v>
      </c>
      <c r="B9" s="3" t="s">
        <v>22</v>
      </c>
      <c r="C9" s="3" t="s">
        <v>1</v>
      </c>
      <c r="D9" s="3" t="s">
        <v>7</v>
      </c>
      <c r="E9" s="3" t="s">
        <v>876</v>
      </c>
      <c r="F9" s="3" t="s">
        <v>875</v>
      </c>
      <c r="G9" s="3" t="s">
        <v>897</v>
      </c>
      <c r="H9" s="3" t="s">
        <v>3647</v>
      </c>
      <c r="I9" s="3" t="s">
        <v>925</v>
      </c>
      <c r="J9" s="3">
        <f t="shared" si="0"/>
        <v>38</v>
      </c>
      <c r="K9" s="3" t="str">
        <f>IF(ISNUMBER(SEARCH("selesai",Sheet2!D9)-1),1,"")</f>
        <v/>
      </c>
      <c r="L9" s="3" t="str">
        <f t="shared" si="1"/>
        <v>Rp. 350.000.000</v>
      </c>
      <c r="M9" s="3" t="str">
        <f t="shared" si="2"/>
        <v>Rp. 349.800.000</v>
      </c>
      <c r="N9" s="3" t="str">
        <f t="shared" si="3"/>
        <v> 350.000.000</v>
      </c>
      <c r="O9" s="3" t="str">
        <f t="shared" si="4"/>
        <v> 349.800.000</v>
      </c>
      <c r="P9" s="3">
        <f t="shared" si="5"/>
        <v>350000000</v>
      </c>
      <c r="Q9" s="3">
        <f t="shared" si="6"/>
        <v>349800000</v>
      </c>
      <c r="R9" s="3">
        <f t="shared" si="7"/>
        <v>200000</v>
      </c>
    </row>
    <row r="10" spans="1:18">
      <c r="A10" s="2">
        <v>5634097</v>
      </c>
      <c r="B10" s="3" t="s">
        <v>23</v>
      </c>
      <c r="C10" s="3" t="s">
        <v>1</v>
      </c>
      <c r="D10" s="3" t="s">
        <v>2</v>
      </c>
      <c r="E10" s="3" t="s">
        <v>933</v>
      </c>
      <c r="F10" s="3" t="s">
        <v>919</v>
      </c>
      <c r="G10" s="3" t="s">
        <v>931</v>
      </c>
      <c r="H10" s="3" t="s">
        <v>3650</v>
      </c>
      <c r="I10" s="3" t="s">
        <v>932</v>
      </c>
      <c r="J10" s="3">
        <f t="shared" si="0"/>
        <v>30</v>
      </c>
      <c r="K10" s="3">
        <f>IF(ISNUMBER(SEARCH("selesai",Sheet2!D10)-1),1,"")</f>
        <v>1</v>
      </c>
      <c r="L10" s="3" t="str">
        <f t="shared" si="1"/>
        <v>Rp. 1.799.300.000</v>
      </c>
      <c r="M10" s="3" t="str">
        <f t="shared" si="2"/>
        <v>Rp. 899.649.887</v>
      </c>
      <c r="N10" s="3" t="str">
        <f t="shared" si="3"/>
        <v> 1.799.300.000</v>
      </c>
      <c r="O10" s="3" t="str">
        <f t="shared" si="4"/>
        <v> 899.649.887</v>
      </c>
      <c r="P10" s="3">
        <f t="shared" si="5"/>
        <v>1799300000</v>
      </c>
      <c r="Q10" s="3">
        <f t="shared" si="6"/>
        <v>899649887</v>
      </c>
      <c r="R10" s="3">
        <f t="shared" si="7"/>
        <v>899650113</v>
      </c>
    </row>
    <row r="11" spans="1:18">
      <c r="A11" s="2">
        <v>5631097</v>
      </c>
      <c r="B11" s="3" t="s">
        <v>25</v>
      </c>
      <c r="C11" s="3" t="s">
        <v>1</v>
      </c>
      <c r="D11" s="3" t="s">
        <v>2</v>
      </c>
      <c r="E11" s="3" t="s">
        <v>876</v>
      </c>
      <c r="F11" s="3" t="s">
        <v>919</v>
      </c>
      <c r="G11" s="3" t="s">
        <v>939</v>
      </c>
      <c r="H11" s="3" t="s">
        <v>3651</v>
      </c>
      <c r="I11" s="3" t="s">
        <v>940</v>
      </c>
      <c r="J11" s="3">
        <f t="shared" si="0"/>
        <v>73</v>
      </c>
      <c r="K11" s="3">
        <f>IF(ISNUMBER(SEARCH("selesai",Sheet2!D11)-1),1,"")</f>
        <v>1</v>
      </c>
      <c r="L11" s="3" t="str">
        <f t="shared" si="1"/>
        <v>Rp. 7.000.000.000</v>
      </c>
      <c r="M11" s="3" t="str">
        <f t="shared" si="2"/>
        <v>Rp. 6.995.454.441</v>
      </c>
      <c r="N11" s="3" t="str">
        <f t="shared" si="3"/>
        <v> 7.000.000.000</v>
      </c>
      <c r="O11" s="3" t="str">
        <f t="shared" si="4"/>
        <v> 6.995.454.441</v>
      </c>
      <c r="P11" s="3">
        <f t="shared" si="5"/>
        <v>7000000000</v>
      </c>
      <c r="Q11" s="3">
        <f t="shared" si="6"/>
        <v>6995454441</v>
      </c>
      <c r="R11" s="3">
        <f t="shared" si="7"/>
        <v>4545559</v>
      </c>
    </row>
    <row r="12" spans="1:18">
      <c r="A12" s="2">
        <v>5628097</v>
      </c>
      <c r="B12" s="3" t="s">
        <v>27</v>
      </c>
      <c r="C12" s="3" t="s">
        <v>1</v>
      </c>
      <c r="D12" s="3" t="s">
        <v>2</v>
      </c>
      <c r="E12" s="3" t="s">
        <v>891</v>
      </c>
      <c r="F12" s="3" t="s">
        <v>919</v>
      </c>
      <c r="G12" s="3" t="s">
        <v>946</v>
      </c>
      <c r="H12" s="3" t="s">
        <v>3652</v>
      </c>
      <c r="I12" s="3" t="s">
        <v>947</v>
      </c>
      <c r="J12" s="3">
        <f t="shared" si="0"/>
        <v>37</v>
      </c>
      <c r="K12" s="3">
        <f>IF(ISNUMBER(SEARCH("selesai",Sheet2!D12)-1),1,"")</f>
        <v>1</v>
      </c>
      <c r="L12" s="3" t="str">
        <f t="shared" si="1"/>
        <v>Rp. 3.000.000.000</v>
      </c>
      <c r="M12" s="3" t="str">
        <f t="shared" si="2"/>
        <v>Rp. 2.999.900.489</v>
      </c>
      <c r="N12" s="3" t="str">
        <f t="shared" si="3"/>
        <v> 3.000.000.000</v>
      </c>
      <c r="O12" s="3" t="str">
        <f t="shared" si="4"/>
        <v> 2.999.900.489</v>
      </c>
      <c r="P12" s="3">
        <f t="shared" si="5"/>
        <v>3000000000</v>
      </c>
      <c r="Q12" s="3">
        <f t="shared" si="6"/>
        <v>2999900489</v>
      </c>
      <c r="R12" s="3">
        <f t="shared" si="7"/>
        <v>99511</v>
      </c>
    </row>
    <row r="13" spans="1:18">
      <c r="A13" s="2">
        <v>5624097</v>
      </c>
      <c r="B13" s="3" t="s">
        <v>30</v>
      </c>
      <c r="C13" s="3" t="s">
        <v>1</v>
      </c>
      <c r="D13" s="3" t="s">
        <v>7</v>
      </c>
      <c r="E13" s="3" t="s">
        <v>876</v>
      </c>
      <c r="F13" s="3" t="s">
        <v>875</v>
      </c>
      <c r="G13" s="3" t="s">
        <v>904</v>
      </c>
      <c r="H13" s="3" t="s">
        <v>3648</v>
      </c>
      <c r="I13" s="3" t="s">
        <v>953</v>
      </c>
      <c r="J13" s="3">
        <f t="shared" si="0"/>
        <v>0</v>
      </c>
      <c r="K13" s="3" t="str">
        <f>IF(ISNUMBER(SEARCH("selesai",Sheet2!D13)-1),1,"")</f>
        <v/>
      </c>
      <c r="L13" s="3" t="str">
        <f t="shared" si="1"/>
        <v>Rp. 242.000.000</v>
      </c>
      <c r="M13" s="3" t="str">
        <f t="shared" si="2"/>
        <v>Rp. 235.999.060</v>
      </c>
      <c r="N13" s="3" t="str">
        <f t="shared" si="3"/>
        <v> 242.000.000</v>
      </c>
      <c r="O13" s="3" t="str">
        <f t="shared" si="4"/>
        <v> 235.999.060</v>
      </c>
      <c r="P13" s="3">
        <f t="shared" si="5"/>
        <v>242000000</v>
      </c>
      <c r="Q13" s="3">
        <f t="shared" si="6"/>
        <v>235999060</v>
      </c>
      <c r="R13" s="3">
        <f t="shared" si="7"/>
        <v>6000940</v>
      </c>
    </row>
    <row r="14" spans="1:18">
      <c r="A14" s="2">
        <v>5623097</v>
      </c>
      <c r="B14" s="3" t="s">
        <v>31</v>
      </c>
      <c r="C14" s="3" t="s">
        <v>1</v>
      </c>
      <c r="D14" s="3" t="s">
        <v>2</v>
      </c>
      <c r="E14" s="3" t="s">
        <v>876</v>
      </c>
      <c r="F14" s="3" t="s">
        <v>875</v>
      </c>
      <c r="G14" s="3" t="s">
        <v>959</v>
      </c>
      <c r="H14" s="3" t="s">
        <v>3653</v>
      </c>
      <c r="I14" s="3" t="s">
        <v>905</v>
      </c>
      <c r="J14" s="3">
        <f t="shared" si="0"/>
        <v>31</v>
      </c>
      <c r="K14" s="3">
        <f>IF(ISNUMBER(SEARCH("selesai",Sheet2!D14)-1),1,"")</f>
        <v>1</v>
      </c>
      <c r="L14" s="3" t="str">
        <f t="shared" si="1"/>
        <v>Rp. 320.040.000</v>
      </c>
      <c r="M14" s="3" t="str">
        <f t="shared" si="2"/>
        <v>Rp. 317.413.800</v>
      </c>
      <c r="N14" s="3" t="str">
        <f t="shared" si="3"/>
        <v> 320.040.000</v>
      </c>
      <c r="O14" s="3" t="str">
        <f t="shared" si="4"/>
        <v> 317.413.800</v>
      </c>
      <c r="P14" s="3">
        <f t="shared" si="5"/>
        <v>320040000</v>
      </c>
      <c r="Q14" s="3">
        <f t="shared" si="6"/>
        <v>317413800</v>
      </c>
      <c r="R14" s="3">
        <f t="shared" si="7"/>
        <v>2626200</v>
      </c>
    </row>
    <row r="15" spans="1:18">
      <c r="A15" s="2">
        <v>5619097</v>
      </c>
      <c r="B15" s="3" t="s">
        <v>34</v>
      </c>
      <c r="C15" s="3" t="s">
        <v>1</v>
      </c>
      <c r="D15" s="3" t="s">
        <v>2</v>
      </c>
      <c r="E15" s="3" t="s">
        <v>876</v>
      </c>
      <c r="F15" s="3" t="s">
        <v>875</v>
      </c>
      <c r="G15" s="3" t="s">
        <v>965</v>
      </c>
      <c r="H15" s="3" t="s">
        <v>965</v>
      </c>
      <c r="I15" s="3" t="s">
        <v>966</v>
      </c>
      <c r="J15" s="3">
        <f t="shared" si="0"/>
        <v>25</v>
      </c>
      <c r="K15" s="3">
        <f>IF(ISNUMBER(SEARCH("selesai",Sheet2!D15)-1),1,"")</f>
        <v>1</v>
      </c>
      <c r="L15" s="3" t="str">
        <f t="shared" si="1"/>
        <v>Rp. 240.450.000</v>
      </c>
      <c r="M15" s="3" t="str">
        <f t="shared" si="2"/>
        <v>Rp. 240.450.000</v>
      </c>
      <c r="N15" s="3" t="str">
        <f t="shared" si="3"/>
        <v> 240.450.000</v>
      </c>
      <c r="O15" s="3" t="str">
        <f t="shared" si="4"/>
        <v> 240.450.000</v>
      </c>
      <c r="P15" s="3">
        <f t="shared" si="5"/>
        <v>240450000</v>
      </c>
      <c r="Q15" s="3">
        <f t="shared" si="6"/>
        <v>240450000</v>
      </c>
      <c r="R15" s="3">
        <f t="shared" si="7"/>
        <v>0</v>
      </c>
    </row>
    <row r="16" spans="1:18">
      <c r="A16" s="2">
        <v>5618097</v>
      </c>
      <c r="B16" s="3" t="s">
        <v>37</v>
      </c>
      <c r="C16" s="3" t="s">
        <v>1</v>
      </c>
      <c r="D16" s="3" t="s">
        <v>7</v>
      </c>
      <c r="E16" s="3" t="s">
        <v>876</v>
      </c>
      <c r="F16" s="3" t="s">
        <v>875</v>
      </c>
      <c r="G16" s="3" t="s">
        <v>890</v>
      </c>
      <c r="H16" s="3" t="s">
        <v>3646</v>
      </c>
      <c r="I16" s="3" t="s">
        <v>972</v>
      </c>
      <c r="J16" s="3">
        <f t="shared" si="0"/>
        <v>9</v>
      </c>
      <c r="K16" s="3" t="str">
        <f>IF(ISNUMBER(SEARCH("selesai",Sheet2!D16)-1),1,"")</f>
        <v/>
      </c>
      <c r="L16" s="3" t="str">
        <f t="shared" si="1"/>
        <v>Rp. 3.998.250.000</v>
      </c>
      <c r="M16" s="3" t="str">
        <f t="shared" si="2"/>
        <v>Rp. 3.958.348.801</v>
      </c>
      <c r="N16" s="3" t="str">
        <f t="shared" si="3"/>
        <v> 3.998.250.000</v>
      </c>
      <c r="O16" s="3" t="str">
        <f t="shared" si="4"/>
        <v> 3.958.348.801</v>
      </c>
      <c r="P16" s="3">
        <f t="shared" si="5"/>
        <v>3998250000</v>
      </c>
      <c r="Q16" s="3">
        <f t="shared" si="6"/>
        <v>3958348801</v>
      </c>
      <c r="R16" s="3">
        <f t="shared" si="7"/>
        <v>39901199</v>
      </c>
    </row>
    <row r="17" spans="1:18">
      <c r="A17" s="2">
        <v>5611097</v>
      </c>
      <c r="B17" s="3" t="s">
        <v>38</v>
      </c>
      <c r="C17" s="3" t="s">
        <v>1</v>
      </c>
      <c r="D17" s="3" t="s">
        <v>7</v>
      </c>
      <c r="E17" s="3" t="s">
        <v>876</v>
      </c>
      <c r="F17" s="3" t="s">
        <v>875</v>
      </c>
      <c r="G17" s="3" t="s">
        <v>883</v>
      </c>
      <c r="H17" s="3" t="s">
        <v>3654</v>
      </c>
      <c r="I17" s="3" t="s">
        <v>874</v>
      </c>
      <c r="J17" s="3">
        <f t="shared" si="0"/>
        <v>8</v>
      </c>
      <c r="K17" s="3" t="str">
        <f>IF(ISNUMBER(SEARCH("selesai",Sheet2!D17)-1),1,"")</f>
        <v/>
      </c>
      <c r="L17" s="3" t="str">
        <f t="shared" si="1"/>
        <v>Rp. 363.200.000</v>
      </c>
      <c r="M17" s="3" t="str">
        <f t="shared" si="2"/>
        <v>Rp. 362.560.000</v>
      </c>
      <c r="N17" s="3" t="str">
        <f t="shared" si="3"/>
        <v> 363.200.000</v>
      </c>
      <c r="O17" s="3" t="str">
        <f t="shared" si="4"/>
        <v> 362.560.000</v>
      </c>
      <c r="P17" s="3">
        <f t="shared" si="5"/>
        <v>363200000</v>
      </c>
      <c r="Q17" s="3">
        <f t="shared" si="6"/>
        <v>362560000</v>
      </c>
      <c r="R17" s="3">
        <f t="shared" si="7"/>
        <v>640000</v>
      </c>
    </row>
    <row r="18" spans="1:18">
      <c r="A18" s="2">
        <v>5610097</v>
      </c>
      <c r="B18" s="3" t="s">
        <v>40</v>
      </c>
      <c r="C18" s="3" t="s">
        <v>1</v>
      </c>
      <c r="D18" s="3" t="s">
        <v>7</v>
      </c>
      <c r="E18" s="3" t="s">
        <v>876</v>
      </c>
      <c r="F18" s="3" t="s">
        <v>875</v>
      </c>
      <c r="G18" s="3" t="s">
        <v>873</v>
      </c>
      <c r="H18" s="3" t="s">
        <v>3655</v>
      </c>
      <c r="I18" s="3" t="s">
        <v>874</v>
      </c>
      <c r="J18" s="3">
        <f t="shared" si="0"/>
        <v>8</v>
      </c>
      <c r="K18" s="3" t="str">
        <f>IF(ISNUMBER(SEARCH("selesai",Sheet2!D18)-1),1,"")</f>
        <v/>
      </c>
      <c r="L18" s="3" t="str">
        <f t="shared" si="1"/>
        <v>Rp. 418.806.000</v>
      </c>
      <c r="M18" s="3" t="str">
        <f t="shared" si="2"/>
        <v>Rp. 418.795.025</v>
      </c>
      <c r="N18" s="3" t="str">
        <f t="shared" si="3"/>
        <v> 418.806.000</v>
      </c>
      <c r="O18" s="3" t="str">
        <f t="shared" si="4"/>
        <v> 418.795.025</v>
      </c>
      <c r="P18" s="3">
        <f t="shared" si="5"/>
        <v>418806000</v>
      </c>
      <c r="Q18" s="3">
        <f t="shared" si="6"/>
        <v>418795025</v>
      </c>
      <c r="R18" s="3">
        <f t="shared" si="7"/>
        <v>10975</v>
      </c>
    </row>
    <row r="19" spans="1:18">
      <c r="A19" s="2">
        <v>5609097</v>
      </c>
      <c r="B19" s="3" t="s">
        <v>41</v>
      </c>
      <c r="C19" s="3" t="s">
        <v>1</v>
      </c>
      <c r="D19" s="3" t="s">
        <v>2</v>
      </c>
      <c r="E19" s="3" t="s">
        <v>876</v>
      </c>
      <c r="F19" s="3" t="s">
        <v>875</v>
      </c>
      <c r="G19" s="3" t="s">
        <v>988</v>
      </c>
      <c r="H19" s="3" t="s">
        <v>3656</v>
      </c>
      <c r="I19" s="3" t="s">
        <v>874</v>
      </c>
      <c r="J19" s="3">
        <f t="shared" si="0"/>
        <v>8</v>
      </c>
      <c r="K19" s="3">
        <f>IF(ISNUMBER(SEARCH("selesai",Sheet2!D19)-1),1,"")</f>
        <v>1</v>
      </c>
      <c r="L19" s="3" t="str">
        <f t="shared" si="1"/>
        <v>Rp. 320.032.000</v>
      </c>
      <c r="M19" s="3" t="str">
        <f t="shared" si="2"/>
        <v>Rp. 301.314.420</v>
      </c>
      <c r="N19" s="3" t="str">
        <f t="shared" si="3"/>
        <v> 320.032.000</v>
      </c>
      <c r="O19" s="3" t="str">
        <f t="shared" si="4"/>
        <v> 301.314.420</v>
      </c>
      <c r="P19" s="3">
        <f t="shared" si="5"/>
        <v>320032000</v>
      </c>
      <c r="Q19" s="3">
        <f t="shared" si="6"/>
        <v>301314420</v>
      </c>
      <c r="R19" s="3">
        <f t="shared" si="7"/>
        <v>18717580</v>
      </c>
    </row>
    <row r="20" spans="1:18">
      <c r="A20" s="2">
        <v>5607097</v>
      </c>
      <c r="B20" s="3" t="s">
        <v>44</v>
      </c>
      <c r="C20" s="3" t="s">
        <v>1</v>
      </c>
      <c r="D20" s="3" t="s">
        <v>7</v>
      </c>
      <c r="E20" s="3" t="s">
        <v>876</v>
      </c>
      <c r="F20" s="3" t="s">
        <v>919</v>
      </c>
      <c r="G20" s="3" t="s">
        <v>917</v>
      </c>
      <c r="H20" s="3" t="s">
        <v>3649</v>
      </c>
      <c r="I20" s="3" t="s">
        <v>994</v>
      </c>
      <c r="J20" s="3">
        <f t="shared" si="0"/>
        <v>26</v>
      </c>
      <c r="K20" s="3" t="str">
        <f>IF(ISNUMBER(SEARCH("selesai",Sheet2!D20)-1),1,"")</f>
        <v/>
      </c>
      <c r="L20" s="3" t="str">
        <f t="shared" si="1"/>
        <v>Rp. 1.350.000.000</v>
      </c>
      <c r="M20" s="3" t="str">
        <f t="shared" si="2"/>
        <v>Rp. 1.348.334.417</v>
      </c>
      <c r="N20" s="3" t="str">
        <f t="shared" si="3"/>
        <v> 1.350.000.000</v>
      </c>
      <c r="O20" s="3" t="str">
        <f t="shared" si="4"/>
        <v> 1.348.334.417</v>
      </c>
      <c r="P20" s="3">
        <f t="shared" si="5"/>
        <v>1350000000</v>
      </c>
      <c r="Q20" s="3">
        <f t="shared" si="6"/>
        <v>1348334417</v>
      </c>
      <c r="R20" s="3">
        <f t="shared" si="7"/>
        <v>1665583</v>
      </c>
    </row>
    <row r="21" spans="1:18">
      <c r="A21" s="2">
        <v>5606097</v>
      </c>
      <c r="B21" s="3" t="s">
        <v>45</v>
      </c>
      <c r="C21" s="3" t="s">
        <v>1</v>
      </c>
      <c r="D21" s="3" t="s">
        <v>2</v>
      </c>
      <c r="E21" s="3" t="s">
        <v>876</v>
      </c>
      <c r="F21" s="3" t="s">
        <v>919</v>
      </c>
      <c r="G21" s="3" t="s">
        <v>1000</v>
      </c>
      <c r="H21" s="3" t="s">
        <v>3657</v>
      </c>
      <c r="I21" s="3" t="s">
        <v>1001</v>
      </c>
      <c r="J21" s="3">
        <f t="shared" si="0"/>
        <v>27</v>
      </c>
      <c r="K21" s="3">
        <f>IF(ISNUMBER(SEARCH("selesai",Sheet2!D21)-1),1,"")</f>
        <v>1</v>
      </c>
      <c r="L21" s="3" t="str">
        <f t="shared" si="1"/>
        <v>Rp. 720.000.000</v>
      </c>
      <c r="M21" s="3" t="str">
        <f t="shared" si="2"/>
        <v>Rp. 719.985.325</v>
      </c>
      <c r="N21" s="3" t="str">
        <f t="shared" si="3"/>
        <v> 720.000.000</v>
      </c>
      <c r="O21" s="3" t="str">
        <f t="shared" si="4"/>
        <v> 719.985.325</v>
      </c>
      <c r="P21" s="3">
        <f t="shared" si="5"/>
        <v>720000000</v>
      </c>
      <c r="Q21" s="3">
        <f t="shared" si="6"/>
        <v>719985325</v>
      </c>
      <c r="R21" s="3">
        <f t="shared" si="7"/>
        <v>14675</v>
      </c>
    </row>
    <row r="22" spans="1:18">
      <c r="A22" s="2">
        <v>5605097</v>
      </c>
      <c r="B22" s="3" t="s">
        <v>47</v>
      </c>
      <c r="C22" s="3" t="s">
        <v>1</v>
      </c>
      <c r="D22" s="3" t="s">
        <v>7</v>
      </c>
      <c r="E22" s="3" t="s">
        <v>876</v>
      </c>
      <c r="F22" s="3" t="s">
        <v>919</v>
      </c>
      <c r="G22" s="3" t="s">
        <v>1007</v>
      </c>
      <c r="H22" s="3" t="s">
        <v>3658</v>
      </c>
      <c r="I22" s="3" t="s">
        <v>1001</v>
      </c>
      <c r="J22" s="3">
        <f t="shared" si="0"/>
        <v>27</v>
      </c>
      <c r="K22" s="3" t="str">
        <f>IF(ISNUMBER(SEARCH("selesai",Sheet2!D22)-1),1,"")</f>
        <v/>
      </c>
      <c r="L22" s="3" t="str">
        <f t="shared" si="1"/>
        <v>Rp. 495.000.000</v>
      </c>
      <c r="M22" s="3" t="str">
        <f t="shared" si="2"/>
        <v>Rp. 494.987.201</v>
      </c>
      <c r="N22" s="3" t="str">
        <f t="shared" si="3"/>
        <v> 495.000.000</v>
      </c>
      <c r="O22" s="3" t="str">
        <f t="shared" si="4"/>
        <v> 494.987.201</v>
      </c>
      <c r="P22" s="3">
        <f t="shared" si="5"/>
        <v>495000000</v>
      </c>
      <c r="Q22" s="3">
        <f t="shared" si="6"/>
        <v>494987201</v>
      </c>
      <c r="R22" s="3">
        <f t="shared" si="7"/>
        <v>12799</v>
      </c>
    </row>
    <row r="23" spans="1:18">
      <c r="A23" s="2">
        <v>5604097</v>
      </c>
      <c r="B23" s="3" t="s">
        <v>49</v>
      </c>
      <c r="C23" s="3" t="s">
        <v>1</v>
      </c>
      <c r="D23" s="3" t="s">
        <v>7</v>
      </c>
      <c r="E23" s="3" t="s">
        <v>876</v>
      </c>
      <c r="F23" s="3" t="s">
        <v>919</v>
      </c>
      <c r="G23" s="3" t="s">
        <v>1007</v>
      </c>
      <c r="H23" s="3" t="s">
        <v>3659</v>
      </c>
      <c r="I23" s="3" t="s">
        <v>905</v>
      </c>
      <c r="J23" s="3">
        <f t="shared" si="0"/>
        <v>31</v>
      </c>
      <c r="K23" s="3" t="str">
        <f>IF(ISNUMBER(SEARCH("selesai",Sheet2!D23)-1),1,"")</f>
        <v/>
      </c>
      <c r="L23" s="3" t="str">
        <f t="shared" si="1"/>
        <v>Rp. 495.000.000</v>
      </c>
      <c r="M23" s="3" t="str">
        <f t="shared" si="2"/>
        <v>Rp. 494.983.649</v>
      </c>
      <c r="N23" s="3" t="str">
        <f t="shared" si="3"/>
        <v> 495.000.000</v>
      </c>
      <c r="O23" s="3" t="str">
        <f t="shared" si="4"/>
        <v> 494.983.649</v>
      </c>
      <c r="P23" s="3">
        <f t="shared" si="5"/>
        <v>495000000</v>
      </c>
      <c r="Q23" s="3">
        <f t="shared" si="6"/>
        <v>494983649</v>
      </c>
      <c r="R23" s="3">
        <f t="shared" si="7"/>
        <v>16351</v>
      </c>
    </row>
    <row r="24" spans="1:18">
      <c r="A24" s="2">
        <v>5603097</v>
      </c>
      <c r="B24" s="3" t="s">
        <v>50</v>
      </c>
      <c r="C24" s="3" t="s">
        <v>1</v>
      </c>
      <c r="D24" s="3" t="s">
        <v>2</v>
      </c>
      <c r="E24" s="3" t="s">
        <v>876</v>
      </c>
      <c r="F24" s="3" t="s">
        <v>919</v>
      </c>
      <c r="G24" s="3" t="s">
        <v>1018</v>
      </c>
      <c r="H24" s="3" t="s">
        <v>3660</v>
      </c>
      <c r="I24" s="3" t="s">
        <v>884</v>
      </c>
      <c r="J24" s="3">
        <f t="shared" si="0"/>
        <v>7</v>
      </c>
      <c r="K24" s="3">
        <f>IF(ISNUMBER(SEARCH("selesai",Sheet2!D24)-1),1,"")</f>
        <v>1</v>
      </c>
      <c r="L24" s="3" t="str">
        <f t="shared" si="1"/>
        <v>Rp. 275.645.000</v>
      </c>
      <c r="M24" s="3" t="str">
        <f t="shared" si="2"/>
        <v>Rp. 275.499.270</v>
      </c>
      <c r="N24" s="3" t="str">
        <f t="shared" si="3"/>
        <v> 275.645.000</v>
      </c>
      <c r="O24" s="3" t="str">
        <f t="shared" si="4"/>
        <v> 275.499.270</v>
      </c>
      <c r="P24" s="3">
        <f t="shared" si="5"/>
        <v>275645000</v>
      </c>
      <c r="Q24" s="3">
        <f t="shared" si="6"/>
        <v>275499270</v>
      </c>
      <c r="R24" s="3">
        <f t="shared" si="7"/>
        <v>145730</v>
      </c>
    </row>
    <row r="25" spans="1:18">
      <c r="A25" s="2">
        <v>5597097</v>
      </c>
      <c r="B25" s="3" t="s">
        <v>52</v>
      </c>
      <c r="C25" s="3" t="s">
        <v>1</v>
      </c>
      <c r="D25" s="3" t="s">
        <v>7</v>
      </c>
      <c r="E25" s="3" t="s">
        <v>891</v>
      </c>
      <c r="F25" s="3" t="s">
        <v>1026</v>
      </c>
      <c r="G25" s="3" t="s">
        <v>1024</v>
      </c>
      <c r="H25" s="3" t="s">
        <v>3661</v>
      </c>
      <c r="I25" s="3" t="s">
        <v>1025</v>
      </c>
      <c r="J25" s="3">
        <f t="shared" si="0"/>
        <v>2</v>
      </c>
      <c r="K25" s="3" t="str">
        <f>IF(ISNUMBER(SEARCH("selesai",Sheet2!D25)-1),1,"")</f>
        <v/>
      </c>
      <c r="L25" s="3" t="str">
        <f t="shared" si="1"/>
        <v>Rp. 1.620.000.000</v>
      </c>
      <c r="M25" s="3" t="str">
        <f t="shared" si="2"/>
        <v>Rp. 1.619.970.000</v>
      </c>
      <c r="N25" s="3" t="str">
        <f t="shared" si="3"/>
        <v> 1.620.000.000</v>
      </c>
      <c r="O25" s="3" t="str">
        <f t="shared" si="4"/>
        <v> 1.619.970.000</v>
      </c>
      <c r="P25" s="3">
        <f t="shared" si="5"/>
        <v>1620000000</v>
      </c>
      <c r="Q25" s="3">
        <f t="shared" si="6"/>
        <v>1619970000</v>
      </c>
      <c r="R25" s="3">
        <f t="shared" si="7"/>
        <v>30000</v>
      </c>
    </row>
    <row r="26" spans="1:18">
      <c r="A26" s="2">
        <v>5588097</v>
      </c>
      <c r="B26" s="3" t="s">
        <v>55</v>
      </c>
      <c r="C26" s="3" t="s">
        <v>1</v>
      </c>
      <c r="D26" s="3" t="s">
        <v>2</v>
      </c>
      <c r="E26" s="3" t="s">
        <v>1033</v>
      </c>
      <c r="F26" s="3" t="s">
        <v>875</v>
      </c>
      <c r="G26" s="3" t="s">
        <v>1032</v>
      </c>
      <c r="H26" s="3" t="s">
        <v>3662</v>
      </c>
      <c r="I26" s="3" t="s">
        <v>918</v>
      </c>
      <c r="J26" s="3">
        <f t="shared" si="0"/>
        <v>19</v>
      </c>
      <c r="K26" s="3">
        <f>IF(ISNUMBER(SEARCH("selesai",Sheet2!D26)-1),1,"")</f>
        <v>1</v>
      </c>
      <c r="L26" s="3" t="str">
        <f t="shared" si="1"/>
        <v>Rp. 800.000.000</v>
      </c>
      <c r="M26" s="3" t="str">
        <f t="shared" si="2"/>
        <v>Rp. 798.008.900</v>
      </c>
      <c r="N26" s="3" t="str">
        <f t="shared" si="3"/>
        <v> 800.000.000</v>
      </c>
      <c r="O26" s="3" t="str">
        <f t="shared" si="4"/>
        <v> 798.008.900</v>
      </c>
      <c r="P26" s="3">
        <f t="shared" si="5"/>
        <v>800000000</v>
      </c>
      <c r="Q26" s="3">
        <f t="shared" si="6"/>
        <v>798008900</v>
      </c>
      <c r="R26" s="3">
        <f t="shared" si="7"/>
        <v>1991100</v>
      </c>
    </row>
    <row r="27" spans="1:18">
      <c r="A27" s="2">
        <v>5585097</v>
      </c>
      <c r="B27" s="3" t="s">
        <v>58</v>
      </c>
      <c r="C27" s="3" t="s">
        <v>1</v>
      </c>
      <c r="D27" s="3" t="s">
        <v>2</v>
      </c>
      <c r="E27" s="3" t="s">
        <v>1033</v>
      </c>
      <c r="F27" s="3" t="s">
        <v>875</v>
      </c>
      <c r="G27" s="3" t="s">
        <v>1039</v>
      </c>
      <c r="H27" s="3" t="s">
        <v>3663</v>
      </c>
      <c r="I27" s="3" t="s">
        <v>918</v>
      </c>
      <c r="J27" s="3">
        <f t="shared" si="0"/>
        <v>19</v>
      </c>
      <c r="K27" s="3">
        <f>IF(ISNUMBER(SEARCH("selesai",Sheet2!D27)-1),1,"")</f>
        <v>1</v>
      </c>
      <c r="L27" s="3" t="str">
        <f t="shared" si="1"/>
        <v>Rp. 846.000.000</v>
      </c>
      <c r="M27" s="3" t="str">
        <f t="shared" si="2"/>
        <v>Rp. 845.984.700</v>
      </c>
      <c r="N27" s="3" t="str">
        <f t="shared" si="3"/>
        <v> 846.000.000</v>
      </c>
      <c r="O27" s="3" t="str">
        <f t="shared" si="4"/>
        <v> 845.984.700</v>
      </c>
      <c r="P27" s="3">
        <f t="shared" si="5"/>
        <v>846000000</v>
      </c>
      <c r="Q27" s="3">
        <f t="shared" si="6"/>
        <v>845984700</v>
      </c>
      <c r="R27" s="3">
        <f t="shared" si="7"/>
        <v>15300</v>
      </c>
    </row>
    <row r="28" spans="1:18">
      <c r="A28" s="2">
        <v>5584097</v>
      </c>
      <c r="B28" s="3" t="s">
        <v>61</v>
      </c>
      <c r="C28" s="3" t="s">
        <v>1</v>
      </c>
      <c r="D28" s="3" t="s">
        <v>2</v>
      </c>
      <c r="E28" s="3" t="s">
        <v>1033</v>
      </c>
      <c r="F28" s="3" t="s">
        <v>875</v>
      </c>
      <c r="G28" s="3" t="s">
        <v>1045</v>
      </c>
      <c r="H28" s="3" t="s">
        <v>3664</v>
      </c>
      <c r="I28" s="3" t="s">
        <v>1001</v>
      </c>
      <c r="J28" s="3">
        <f t="shared" si="0"/>
        <v>27</v>
      </c>
      <c r="K28" s="3">
        <f>IF(ISNUMBER(SEARCH("selesai",Sheet2!D28)-1),1,"")</f>
        <v>1</v>
      </c>
      <c r="L28" s="3" t="str">
        <f t="shared" si="1"/>
        <v>Rp. 2.660.000.000</v>
      </c>
      <c r="M28" s="3" t="str">
        <f t="shared" si="2"/>
        <v>Rp. 2.657.821.650</v>
      </c>
      <c r="N28" s="3" t="str">
        <f t="shared" si="3"/>
        <v> 2.660.000.000</v>
      </c>
      <c r="O28" s="3" t="str">
        <f t="shared" si="4"/>
        <v> 2.657.821.650</v>
      </c>
      <c r="P28" s="3">
        <f t="shared" si="5"/>
        <v>2660000000</v>
      </c>
      <c r="Q28" s="3">
        <f t="shared" si="6"/>
        <v>2657821650</v>
      </c>
      <c r="R28" s="3">
        <f t="shared" si="7"/>
        <v>2178350</v>
      </c>
    </row>
    <row r="29" spans="1:18">
      <c r="A29" s="2">
        <v>5583097</v>
      </c>
      <c r="B29" s="3" t="s">
        <v>64</v>
      </c>
      <c r="C29" s="3" t="s">
        <v>1</v>
      </c>
      <c r="D29" s="3" t="s">
        <v>7</v>
      </c>
      <c r="E29" s="3" t="s">
        <v>876</v>
      </c>
      <c r="F29" s="3" t="s">
        <v>875</v>
      </c>
      <c r="G29" s="3" t="s">
        <v>965</v>
      </c>
      <c r="H29" s="3" t="s">
        <v>965</v>
      </c>
      <c r="I29" s="3" t="s">
        <v>918</v>
      </c>
      <c r="J29" s="3">
        <f t="shared" si="0"/>
        <v>19</v>
      </c>
      <c r="K29" s="3" t="str">
        <f>IF(ISNUMBER(SEARCH("selesai",Sheet2!D29)-1),1,"")</f>
        <v/>
      </c>
      <c r="L29" s="3" t="str">
        <f t="shared" si="1"/>
        <v>Rp. 240.450.000</v>
      </c>
      <c r="M29" s="3" t="str">
        <f t="shared" si="2"/>
        <v>Rp. 240.450.000</v>
      </c>
      <c r="N29" s="3" t="str">
        <f t="shared" si="3"/>
        <v> 240.450.000</v>
      </c>
      <c r="O29" s="3" t="str">
        <f t="shared" si="4"/>
        <v> 240.450.000</v>
      </c>
      <c r="P29" s="3">
        <f t="shared" si="5"/>
        <v>240450000</v>
      </c>
      <c r="Q29" s="3">
        <f t="shared" si="6"/>
        <v>240450000</v>
      </c>
      <c r="R29" s="3">
        <f t="shared" si="7"/>
        <v>0</v>
      </c>
    </row>
    <row r="30" spans="1:18">
      <c r="A30" s="2">
        <v>5582097</v>
      </c>
      <c r="B30" s="3" t="s">
        <v>65</v>
      </c>
      <c r="C30" s="3" t="s">
        <v>1</v>
      </c>
      <c r="D30" s="3" t="s">
        <v>7</v>
      </c>
      <c r="E30" s="3" t="s">
        <v>876</v>
      </c>
      <c r="F30" s="3" t="s">
        <v>875</v>
      </c>
      <c r="G30" s="3" t="s">
        <v>873</v>
      </c>
      <c r="H30" s="3" t="s">
        <v>3655</v>
      </c>
      <c r="I30" s="3" t="s">
        <v>1056</v>
      </c>
      <c r="J30" s="3">
        <f t="shared" si="0"/>
        <v>11</v>
      </c>
      <c r="K30" s="3" t="str">
        <f>IF(ISNUMBER(SEARCH("selesai",Sheet2!D30)-1),1,"")</f>
        <v/>
      </c>
      <c r="L30" s="3" t="str">
        <f t="shared" si="1"/>
        <v>Rp. 418.806.000</v>
      </c>
      <c r="M30" s="3" t="str">
        <f t="shared" si="2"/>
        <v>Rp. 418.795.025</v>
      </c>
      <c r="N30" s="3" t="str">
        <f t="shared" si="3"/>
        <v> 418.806.000</v>
      </c>
      <c r="O30" s="3" t="str">
        <f t="shared" si="4"/>
        <v> 418.795.025</v>
      </c>
      <c r="P30" s="3">
        <f t="shared" si="5"/>
        <v>418806000</v>
      </c>
      <c r="Q30" s="3">
        <f t="shared" si="6"/>
        <v>418795025</v>
      </c>
      <c r="R30" s="3">
        <f t="shared" si="7"/>
        <v>10975</v>
      </c>
    </row>
    <row r="31" spans="1:18">
      <c r="A31" s="2">
        <v>5567097</v>
      </c>
      <c r="B31" s="3" t="s">
        <v>66</v>
      </c>
      <c r="C31" s="3" t="s">
        <v>1</v>
      </c>
      <c r="D31" s="3" t="s">
        <v>2</v>
      </c>
      <c r="E31" s="3" t="s">
        <v>876</v>
      </c>
      <c r="F31" s="3" t="s">
        <v>919</v>
      </c>
      <c r="G31" s="3" t="s">
        <v>1062</v>
      </c>
      <c r="H31" s="3" t="s">
        <v>3665</v>
      </c>
      <c r="I31" s="3" t="s">
        <v>1063</v>
      </c>
      <c r="J31" s="3">
        <f t="shared" si="0"/>
        <v>36</v>
      </c>
      <c r="K31" s="3">
        <f>IF(ISNUMBER(SEARCH("selesai",Sheet2!D31)-1),1,"")</f>
        <v>1</v>
      </c>
      <c r="L31" s="3" t="str">
        <f t="shared" si="1"/>
        <v>Rp. 550.000.000</v>
      </c>
      <c r="M31" s="3" t="str">
        <f t="shared" si="2"/>
        <v>Rp. 549.987.832</v>
      </c>
      <c r="N31" s="3" t="str">
        <f t="shared" si="3"/>
        <v> 550.000.000</v>
      </c>
      <c r="O31" s="3" t="str">
        <f t="shared" si="4"/>
        <v> 549.987.832</v>
      </c>
      <c r="P31" s="3">
        <f t="shared" si="5"/>
        <v>550000000</v>
      </c>
      <c r="Q31" s="3">
        <f t="shared" si="6"/>
        <v>549987832</v>
      </c>
      <c r="R31" s="3">
        <f t="shared" si="7"/>
        <v>12168</v>
      </c>
    </row>
    <row r="32" spans="1:18">
      <c r="A32" s="2">
        <v>5564097</v>
      </c>
      <c r="B32" s="3" t="s">
        <v>68</v>
      </c>
      <c r="C32" s="3" t="s">
        <v>1</v>
      </c>
      <c r="D32" s="3" t="s">
        <v>7</v>
      </c>
      <c r="E32" s="3" t="s">
        <v>891</v>
      </c>
      <c r="F32" s="3" t="s">
        <v>1026</v>
      </c>
      <c r="G32" s="3" t="s">
        <v>1024</v>
      </c>
      <c r="H32" s="3" t="s">
        <v>3661</v>
      </c>
      <c r="I32" s="3" t="s">
        <v>953</v>
      </c>
      <c r="J32" s="3">
        <f t="shared" si="0"/>
        <v>0</v>
      </c>
      <c r="K32" s="3" t="str">
        <f>IF(ISNUMBER(SEARCH("selesai",Sheet2!D32)-1),1,"")</f>
        <v/>
      </c>
      <c r="L32" s="3" t="str">
        <f t="shared" si="1"/>
        <v>Rp. 1.620.000.000</v>
      </c>
      <c r="M32" s="3" t="str">
        <f t="shared" si="2"/>
        <v>Rp. 1.619.970.000</v>
      </c>
      <c r="N32" s="3" t="str">
        <f t="shared" si="3"/>
        <v> 1.620.000.000</v>
      </c>
      <c r="O32" s="3" t="str">
        <f t="shared" si="4"/>
        <v> 1.619.970.000</v>
      </c>
      <c r="P32" s="3">
        <f t="shared" si="5"/>
        <v>1620000000</v>
      </c>
      <c r="Q32" s="3">
        <f t="shared" si="6"/>
        <v>1619970000</v>
      </c>
      <c r="R32" s="3">
        <f t="shared" si="7"/>
        <v>30000</v>
      </c>
    </row>
    <row r="33" spans="1:18">
      <c r="A33" s="2">
        <v>5563097</v>
      </c>
      <c r="B33" s="3" t="s">
        <v>69</v>
      </c>
      <c r="C33" s="3" t="s">
        <v>1</v>
      </c>
      <c r="D33" s="3" t="s">
        <v>2</v>
      </c>
      <c r="E33" s="3" t="s">
        <v>876</v>
      </c>
      <c r="F33" s="3" t="s">
        <v>875</v>
      </c>
      <c r="G33" s="3" t="s">
        <v>1074</v>
      </c>
      <c r="H33" s="3" t="s">
        <v>3666</v>
      </c>
      <c r="I33" s="3" t="s">
        <v>1075</v>
      </c>
      <c r="J33" s="3">
        <f t="shared" si="0"/>
        <v>42</v>
      </c>
      <c r="K33" s="3">
        <f>IF(ISNUMBER(SEARCH("selesai",Sheet2!D33)-1),1,"")</f>
        <v>1</v>
      </c>
      <c r="L33" s="3" t="str">
        <f t="shared" si="1"/>
        <v>Rp. 346.000.000</v>
      </c>
      <c r="M33" s="3" t="str">
        <f t="shared" si="2"/>
        <v>Rp. 345.648.600</v>
      </c>
      <c r="N33" s="3" t="str">
        <f t="shared" si="3"/>
        <v> 346.000.000</v>
      </c>
      <c r="O33" s="3" t="str">
        <f t="shared" si="4"/>
        <v> 345.648.600</v>
      </c>
      <c r="P33" s="3">
        <f t="shared" si="5"/>
        <v>346000000</v>
      </c>
      <c r="Q33" s="3">
        <f t="shared" si="6"/>
        <v>345648600</v>
      </c>
      <c r="R33" s="3">
        <f t="shared" si="7"/>
        <v>351400</v>
      </c>
    </row>
    <row r="34" spans="1:18">
      <c r="A34" s="2">
        <v>5558097</v>
      </c>
      <c r="B34" s="3" t="s">
        <v>71</v>
      </c>
      <c r="C34" s="3" t="s">
        <v>1</v>
      </c>
      <c r="D34" s="3" t="s">
        <v>2</v>
      </c>
      <c r="E34" s="3" t="s">
        <v>876</v>
      </c>
      <c r="F34" s="3" t="s">
        <v>875</v>
      </c>
      <c r="G34" s="3" t="s">
        <v>1081</v>
      </c>
      <c r="H34" s="3" t="s">
        <v>3667</v>
      </c>
      <c r="I34" s="3" t="s">
        <v>1082</v>
      </c>
      <c r="J34" s="3">
        <f t="shared" si="0"/>
        <v>10</v>
      </c>
      <c r="K34" s="3">
        <f>IF(ISNUMBER(SEARCH("selesai",Sheet2!D34)-1),1,"")</f>
        <v>1</v>
      </c>
      <c r="L34" s="3" t="str">
        <f t="shared" si="1"/>
        <v>Rp. 302.460.000</v>
      </c>
      <c r="M34" s="3" t="str">
        <f t="shared" si="2"/>
        <v>Rp. 300.537.732</v>
      </c>
      <c r="N34" s="3" t="str">
        <f t="shared" si="3"/>
        <v> 302.460.000</v>
      </c>
      <c r="O34" s="3" t="str">
        <f t="shared" si="4"/>
        <v> 300.537.732</v>
      </c>
      <c r="P34" s="3">
        <f t="shared" si="5"/>
        <v>302460000</v>
      </c>
      <c r="Q34" s="3">
        <f t="shared" si="6"/>
        <v>300537732</v>
      </c>
      <c r="R34" s="3">
        <f t="shared" si="7"/>
        <v>1922268</v>
      </c>
    </row>
    <row r="35" spans="1:18">
      <c r="A35" s="2">
        <v>5553097</v>
      </c>
      <c r="B35" s="3" t="s">
        <v>73</v>
      </c>
      <c r="C35" s="3" t="s">
        <v>1</v>
      </c>
      <c r="D35" s="3" t="s">
        <v>7</v>
      </c>
      <c r="E35" s="3" t="s">
        <v>876</v>
      </c>
      <c r="F35" s="3" t="s">
        <v>875</v>
      </c>
      <c r="G35" s="3" t="s">
        <v>1088</v>
      </c>
      <c r="H35" s="3" t="s">
        <v>3668</v>
      </c>
      <c r="I35" s="3" t="s">
        <v>1089</v>
      </c>
      <c r="J35" s="3">
        <f t="shared" si="0"/>
        <v>32</v>
      </c>
      <c r="K35" s="3" t="str">
        <f>IF(ISNUMBER(SEARCH("selesai",Sheet2!D35)-1),1,"")</f>
        <v/>
      </c>
      <c r="L35" s="3" t="str">
        <f t="shared" si="1"/>
        <v>Rp. 12.400.000.000</v>
      </c>
      <c r="M35" s="3" t="str">
        <f t="shared" si="2"/>
        <v>Rp. 12.089.704.000</v>
      </c>
      <c r="N35" s="3" t="str">
        <f t="shared" si="3"/>
        <v> 12.400.000.000</v>
      </c>
      <c r="O35" s="3" t="str">
        <f t="shared" si="4"/>
        <v> 12.089.704.000</v>
      </c>
      <c r="P35" s="3">
        <f t="shared" si="5"/>
        <v>12400000000</v>
      </c>
      <c r="Q35" s="3">
        <f t="shared" si="6"/>
        <v>12089704000</v>
      </c>
      <c r="R35" s="3">
        <f t="shared" si="7"/>
        <v>310296000</v>
      </c>
    </row>
    <row r="36" spans="1:18">
      <c r="A36" s="2">
        <v>5549097</v>
      </c>
      <c r="B36" s="3" t="s">
        <v>75</v>
      </c>
      <c r="C36" s="3" t="s">
        <v>1</v>
      </c>
      <c r="D36" s="3" t="s">
        <v>76</v>
      </c>
      <c r="E36" s="3" t="s">
        <v>891</v>
      </c>
      <c r="F36" s="3" t="s">
        <v>1097</v>
      </c>
      <c r="G36" s="3" t="s">
        <v>1095</v>
      </c>
      <c r="H36" s="3" t="s">
        <v>3669</v>
      </c>
      <c r="I36" s="3" t="s">
        <v>1096</v>
      </c>
      <c r="J36" s="3">
        <f t="shared" si="0"/>
        <v>28</v>
      </c>
      <c r="K36" s="3" t="str">
        <f>IF(ISNUMBER(SEARCH("selesai",Sheet2!D36)-1),1,"")</f>
        <v/>
      </c>
      <c r="L36" s="3" t="str">
        <f t="shared" si="1"/>
        <v>Rp. 300.000.000</v>
      </c>
      <c r="M36" s="3" t="str">
        <f t="shared" si="2"/>
        <v>Rp. 296.532.500</v>
      </c>
      <c r="N36" s="3" t="str">
        <f t="shared" si="3"/>
        <v> 300.000.000</v>
      </c>
      <c r="O36" s="3" t="str">
        <f t="shared" si="4"/>
        <v> 296.532.500</v>
      </c>
      <c r="P36" s="3">
        <f t="shared" si="5"/>
        <v>300000000</v>
      </c>
      <c r="Q36" s="3">
        <f t="shared" si="6"/>
        <v>296532500</v>
      </c>
      <c r="R36" s="3">
        <f t="shared" si="7"/>
        <v>3467500</v>
      </c>
    </row>
    <row r="37" spans="1:18">
      <c r="A37" s="2">
        <v>5547097</v>
      </c>
      <c r="B37" s="3" t="s">
        <v>79</v>
      </c>
      <c r="C37" s="3" t="s">
        <v>1</v>
      </c>
      <c r="D37" s="3" t="s">
        <v>76</v>
      </c>
      <c r="E37" s="3" t="s">
        <v>891</v>
      </c>
      <c r="F37" s="3" t="s">
        <v>1097</v>
      </c>
      <c r="G37" s="3" t="s">
        <v>1103</v>
      </c>
      <c r="H37" s="3" t="s">
        <v>3670</v>
      </c>
      <c r="I37" s="3" t="s">
        <v>966</v>
      </c>
      <c r="J37" s="3">
        <f t="shared" si="0"/>
        <v>25</v>
      </c>
      <c r="K37" s="3" t="str">
        <f>IF(ISNUMBER(SEARCH("selesai",Sheet2!D37)-1),1,"")</f>
        <v/>
      </c>
      <c r="L37" s="3" t="str">
        <f t="shared" si="1"/>
        <v>Rp. 200.000.000</v>
      </c>
      <c r="M37" s="3" t="str">
        <f t="shared" si="2"/>
        <v>Rp. 197.587.500</v>
      </c>
      <c r="N37" s="3" t="str">
        <f t="shared" si="3"/>
        <v> 200.000.000</v>
      </c>
      <c r="O37" s="3" t="str">
        <f t="shared" si="4"/>
        <v> 197.587.500</v>
      </c>
      <c r="P37" s="3">
        <f t="shared" si="5"/>
        <v>200000000</v>
      </c>
      <c r="Q37" s="3">
        <f t="shared" si="6"/>
        <v>197587500</v>
      </c>
      <c r="R37" s="3">
        <f t="shared" si="7"/>
        <v>2412500</v>
      </c>
    </row>
    <row r="38" spans="1:18">
      <c r="A38" s="2">
        <v>5546097</v>
      </c>
      <c r="B38" s="3" t="s">
        <v>81</v>
      </c>
      <c r="C38" s="3" t="s">
        <v>1</v>
      </c>
      <c r="D38" s="3" t="s">
        <v>76</v>
      </c>
      <c r="E38" s="3" t="s">
        <v>891</v>
      </c>
      <c r="F38" s="3" t="s">
        <v>1097</v>
      </c>
      <c r="G38" s="3" t="s">
        <v>1103</v>
      </c>
      <c r="H38" s="3" t="s">
        <v>3670</v>
      </c>
      <c r="I38" s="3" t="s">
        <v>1096</v>
      </c>
      <c r="J38" s="3">
        <f t="shared" si="0"/>
        <v>28</v>
      </c>
      <c r="K38" s="3" t="str">
        <f>IF(ISNUMBER(SEARCH("selesai",Sheet2!D38)-1),1,"")</f>
        <v/>
      </c>
      <c r="L38" s="3" t="str">
        <f t="shared" si="1"/>
        <v>Rp. 200.000.000</v>
      </c>
      <c r="M38" s="3" t="str">
        <f t="shared" si="2"/>
        <v>Rp. 197.587.500</v>
      </c>
      <c r="N38" s="3" t="str">
        <f t="shared" si="3"/>
        <v> 200.000.000</v>
      </c>
      <c r="O38" s="3" t="str">
        <f t="shared" si="4"/>
        <v> 197.587.500</v>
      </c>
      <c r="P38" s="3">
        <f t="shared" si="5"/>
        <v>200000000</v>
      </c>
      <c r="Q38" s="3">
        <f t="shared" si="6"/>
        <v>197587500</v>
      </c>
      <c r="R38" s="3">
        <f t="shared" si="7"/>
        <v>2412500</v>
      </c>
    </row>
    <row r="39" spans="1:18">
      <c r="A39" s="2">
        <v>5545097</v>
      </c>
      <c r="B39" s="3" t="s">
        <v>82</v>
      </c>
      <c r="C39" s="3" t="s">
        <v>1</v>
      </c>
      <c r="D39" s="3" t="s">
        <v>76</v>
      </c>
      <c r="E39" s="3" t="s">
        <v>891</v>
      </c>
      <c r="F39" s="3" t="s">
        <v>1097</v>
      </c>
      <c r="G39" s="3" t="s">
        <v>1114</v>
      </c>
      <c r="H39" s="3" t="s">
        <v>3671</v>
      </c>
      <c r="I39" s="3" t="s">
        <v>1001</v>
      </c>
      <c r="J39" s="3">
        <f t="shared" si="0"/>
        <v>27</v>
      </c>
      <c r="K39" s="3" t="str">
        <f>IF(ISNUMBER(SEARCH("selesai",Sheet2!D39)-1),1,"")</f>
        <v/>
      </c>
      <c r="L39" s="3" t="str">
        <f t="shared" si="1"/>
        <v>Rp. 250.000.000</v>
      </c>
      <c r="M39" s="3" t="str">
        <f t="shared" si="2"/>
        <v>Rp. 241.092.500</v>
      </c>
      <c r="N39" s="3" t="str">
        <f t="shared" si="3"/>
        <v> 250.000.000</v>
      </c>
      <c r="O39" s="3" t="str">
        <f t="shared" si="4"/>
        <v> 241.092.500</v>
      </c>
      <c r="P39" s="3">
        <f t="shared" si="5"/>
        <v>250000000</v>
      </c>
      <c r="Q39" s="3">
        <f t="shared" si="6"/>
        <v>241092500</v>
      </c>
      <c r="R39" s="3">
        <f t="shared" si="7"/>
        <v>8907500</v>
      </c>
    </row>
    <row r="40" spans="1:18">
      <c r="A40" s="2">
        <v>5544097</v>
      </c>
      <c r="B40" s="3" t="s">
        <v>84</v>
      </c>
      <c r="C40" s="3" t="s">
        <v>1</v>
      </c>
      <c r="D40" s="3" t="s">
        <v>76</v>
      </c>
      <c r="E40" s="3" t="s">
        <v>891</v>
      </c>
      <c r="F40" s="3" t="s">
        <v>1097</v>
      </c>
      <c r="G40" s="3" t="s">
        <v>1120</v>
      </c>
      <c r="H40" s="3" t="s">
        <v>3672</v>
      </c>
      <c r="I40" s="3" t="s">
        <v>1001</v>
      </c>
      <c r="J40" s="3">
        <f t="shared" si="0"/>
        <v>27</v>
      </c>
      <c r="K40" s="3" t="str">
        <f>IF(ISNUMBER(SEARCH("selesai",Sheet2!D40)-1),1,"")</f>
        <v/>
      </c>
      <c r="L40" s="3" t="str">
        <f t="shared" si="1"/>
        <v>Rp. 330.000.000</v>
      </c>
      <c r="M40" s="3" t="str">
        <f t="shared" si="2"/>
        <v>Rp. 325.572.500</v>
      </c>
      <c r="N40" s="3" t="str">
        <f t="shared" si="3"/>
        <v> 330.000.000</v>
      </c>
      <c r="O40" s="3" t="str">
        <f t="shared" si="4"/>
        <v> 325.572.500</v>
      </c>
      <c r="P40" s="3">
        <f t="shared" si="5"/>
        <v>330000000</v>
      </c>
      <c r="Q40" s="3">
        <f t="shared" si="6"/>
        <v>325572500</v>
      </c>
      <c r="R40" s="3">
        <f t="shared" si="7"/>
        <v>4427500</v>
      </c>
    </row>
    <row r="41" spans="1:18">
      <c r="A41" s="2">
        <v>5541097</v>
      </c>
      <c r="B41" s="3" t="s">
        <v>86</v>
      </c>
      <c r="C41" s="3" t="s">
        <v>1</v>
      </c>
      <c r="D41" s="3" t="s">
        <v>76</v>
      </c>
      <c r="E41" s="3" t="s">
        <v>891</v>
      </c>
      <c r="F41" s="3" t="s">
        <v>1097</v>
      </c>
      <c r="G41" s="3" t="s">
        <v>1120</v>
      </c>
      <c r="H41" s="3" t="s">
        <v>3672</v>
      </c>
      <c r="I41" s="3" t="s">
        <v>1126</v>
      </c>
      <c r="J41" s="3">
        <f t="shared" si="0"/>
        <v>23</v>
      </c>
      <c r="K41" s="3" t="str">
        <f>IF(ISNUMBER(SEARCH("selesai",Sheet2!D41)-1),1,"")</f>
        <v/>
      </c>
      <c r="L41" s="3" t="str">
        <f t="shared" si="1"/>
        <v>Rp. 330.000.000</v>
      </c>
      <c r="M41" s="3" t="str">
        <f t="shared" si="2"/>
        <v>Rp. 325.572.500</v>
      </c>
      <c r="N41" s="3" t="str">
        <f t="shared" si="3"/>
        <v> 330.000.000</v>
      </c>
      <c r="O41" s="3" t="str">
        <f t="shared" si="4"/>
        <v> 325.572.500</v>
      </c>
      <c r="P41" s="3">
        <f t="shared" si="5"/>
        <v>330000000</v>
      </c>
      <c r="Q41" s="3">
        <f t="shared" si="6"/>
        <v>325572500</v>
      </c>
      <c r="R41" s="3">
        <f t="shared" si="7"/>
        <v>4427500</v>
      </c>
    </row>
    <row r="42" spans="1:18">
      <c r="A42" s="2">
        <v>5540097</v>
      </c>
      <c r="B42" s="3" t="s">
        <v>87</v>
      </c>
      <c r="C42" s="3" t="s">
        <v>1</v>
      </c>
      <c r="D42" s="3" t="s">
        <v>2</v>
      </c>
      <c r="E42" s="3" t="s">
        <v>891</v>
      </c>
      <c r="F42" s="3" t="s">
        <v>1097</v>
      </c>
      <c r="G42" s="3" t="s">
        <v>1120</v>
      </c>
      <c r="H42" s="3" t="s">
        <v>3672</v>
      </c>
      <c r="I42" s="3" t="s">
        <v>1132</v>
      </c>
      <c r="J42" s="3">
        <f t="shared" si="0"/>
        <v>29</v>
      </c>
      <c r="K42" s="3">
        <f>IF(ISNUMBER(SEARCH("selesai",Sheet2!D42)-1),1,"")</f>
        <v>1</v>
      </c>
      <c r="L42" s="3" t="str">
        <f t="shared" si="1"/>
        <v>Rp. 330.000.000</v>
      </c>
      <c r="M42" s="3" t="str">
        <f t="shared" si="2"/>
        <v>Rp. 325.572.500</v>
      </c>
      <c r="N42" s="3" t="str">
        <f t="shared" si="3"/>
        <v> 330.000.000</v>
      </c>
      <c r="O42" s="3" t="str">
        <f t="shared" si="4"/>
        <v> 325.572.500</v>
      </c>
      <c r="P42" s="3">
        <f t="shared" si="5"/>
        <v>330000000</v>
      </c>
      <c r="Q42" s="3">
        <f t="shared" si="6"/>
        <v>325572500</v>
      </c>
      <c r="R42" s="3">
        <f t="shared" si="7"/>
        <v>4427500</v>
      </c>
    </row>
    <row r="43" spans="1:18">
      <c r="A43" s="2">
        <v>5539097</v>
      </c>
      <c r="B43" s="3" t="s">
        <v>88</v>
      </c>
      <c r="C43" s="3" t="s">
        <v>1</v>
      </c>
      <c r="D43" s="3" t="s">
        <v>76</v>
      </c>
      <c r="E43" s="3" t="s">
        <v>891</v>
      </c>
      <c r="F43" s="3" t="s">
        <v>1097</v>
      </c>
      <c r="G43" s="3" t="s">
        <v>1095</v>
      </c>
      <c r="H43" s="3" t="s">
        <v>3673</v>
      </c>
      <c r="I43" s="3" t="s">
        <v>1138</v>
      </c>
      <c r="J43" s="3">
        <f t="shared" si="0"/>
        <v>22</v>
      </c>
      <c r="K43" s="3" t="str">
        <f>IF(ISNUMBER(SEARCH("selesai",Sheet2!D43)-1),1,"")</f>
        <v/>
      </c>
      <c r="L43" s="3" t="str">
        <f t="shared" si="1"/>
        <v>Rp. 300.000.000</v>
      </c>
      <c r="M43" s="3" t="str">
        <f t="shared" si="2"/>
        <v>Rp. 299.282.500</v>
      </c>
      <c r="N43" s="3" t="str">
        <f t="shared" si="3"/>
        <v> 300.000.000</v>
      </c>
      <c r="O43" s="3" t="str">
        <f t="shared" si="4"/>
        <v> 299.282.500</v>
      </c>
      <c r="P43" s="3">
        <f t="shared" si="5"/>
        <v>300000000</v>
      </c>
      <c r="Q43" s="3">
        <f t="shared" si="6"/>
        <v>299282500</v>
      </c>
      <c r="R43" s="3">
        <f t="shared" si="7"/>
        <v>717500</v>
      </c>
    </row>
    <row r="44" spans="1:18">
      <c r="A44" s="2">
        <v>5537097</v>
      </c>
      <c r="B44" s="3" t="s">
        <v>90</v>
      </c>
      <c r="C44" s="3" t="s">
        <v>1</v>
      </c>
      <c r="D44" s="3" t="s">
        <v>2</v>
      </c>
      <c r="E44" s="3" t="s">
        <v>876</v>
      </c>
      <c r="F44" s="3" t="s">
        <v>919</v>
      </c>
      <c r="G44" s="3" t="s">
        <v>1144</v>
      </c>
      <c r="H44" s="3" t="s">
        <v>3674</v>
      </c>
      <c r="I44" s="3" t="s">
        <v>966</v>
      </c>
      <c r="J44" s="3">
        <f t="shared" si="0"/>
        <v>25</v>
      </c>
      <c r="K44" s="3">
        <f>IF(ISNUMBER(SEARCH("selesai",Sheet2!D44)-1),1,"")</f>
        <v>1</v>
      </c>
      <c r="L44" s="3" t="str">
        <f t="shared" si="1"/>
        <v>Rp. 406.000.000</v>
      </c>
      <c r="M44" s="3" t="str">
        <f t="shared" si="2"/>
        <v>Rp. 405.988.558</v>
      </c>
      <c r="N44" s="3" t="str">
        <f t="shared" si="3"/>
        <v> 406.000.000</v>
      </c>
      <c r="O44" s="3" t="str">
        <f t="shared" si="4"/>
        <v> 405.988.558</v>
      </c>
      <c r="P44" s="3">
        <f t="shared" si="5"/>
        <v>406000000</v>
      </c>
      <c r="Q44" s="3">
        <f t="shared" si="6"/>
        <v>405988558</v>
      </c>
      <c r="R44" s="3">
        <f t="shared" si="7"/>
        <v>11442</v>
      </c>
    </row>
    <row r="45" spans="1:18">
      <c r="A45" s="2">
        <v>5536097</v>
      </c>
      <c r="B45" s="3" t="s">
        <v>92</v>
      </c>
      <c r="C45" s="3" t="s">
        <v>1</v>
      </c>
      <c r="D45" s="3" t="s">
        <v>2</v>
      </c>
      <c r="E45" s="3" t="s">
        <v>891</v>
      </c>
      <c r="F45" s="3" t="s">
        <v>1097</v>
      </c>
      <c r="G45" s="3" t="s">
        <v>1150</v>
      </c>
      <c r="H45" s="3" t="s">
        <v>3675</v>
      </c>
      <c r="I45" s="3" t="s">
        <v>1151</v>
      </c>
      <c r="J45" s="3">
        <f t="shared" si="0"/>
        <v>21</v>
      </c>
      <c r="K45" s="3">
        <f>IF(ISNUMBER(SEARCH("selesai",Sheet2!D45)-1),1,"")</f>
        <v>1</v>
      </c>
      <c r="L45" s="3" t="str">
        <f t="shared" si="1"/>
        <v>Rp. 1.100.000.000</v>
      </c>
      <c r="M45" s="3" t="str">
        <f t="shared" si="2"/>
        <v>Rp. 1.099.653.500</v>
      </c>
      <c r="N45" s="3" t="str">
        <f t="shared" si="3"/>
        <v> 1.100.000.000</v>
      </c>
      <c r="O45" s="3" t="str">
        <f t="shared" si="4"/>
        <v> 1.099.653.500</v>
      </c>
      <c r="P45" s="3">
        <f t="shared" si="5"/>
        <v>1100000000</v>
      </c>
      <c r="Q45" s="3">
        <f t="shared" si="6"/>
        <v>1099653500</v>
      </c>
      <c r="R45" s="3">
        <f t="shared" si="7"/>
        <v>346500</v>
      </c>
    </row>
    <row r="46" spans="1:18">
      <c r="A46" s="2">
        <v>5535097</v>
      </c>
      <c r="B46" s="3" t="s">
        <v>94</v>
      </c>
      <c r="C46" s="3" t="s">
        <v>1</v>
      </c>
      <c r="D46" s="3" t="s">
        <v>2</v>
      </c>
      <c r="E46" s="3" t="s">
        <v>891</v>
      </c>
      <c r="F46" s="3" t="s">
        <v>1097</v>
      </c>
      <c r="G46" s="3" t="s">
        <v>1157</v>
      </c>
      <c r="H46" s="3" t="s">
        <v>3676</v>
      </c>
      <c r="I46" s="3" t="s">
        <v>1158</v>
      </c>
      <c r="J46" s="3">
        <f t="shared" si="0"/>
        <v>20</v>
      </c>
      <c r="K46" s="3">
        <f>IF(ISNUMBER(SEARCH("selesai",Sheet2!D46)-1),1,"")</f>
        <v>1</v>
      </c>
      <c r="L46" s="3" t="str">
        <f t="shared" si="1"/>
        <v>Rp. 500.000.000</v>
      </c>
      <c r="M46" s="3" t="str">
        <f t="shared" si="2"/>
        <v>Rp. 499.878.500</v>
      </c>
      <c r="N46" s="3" t="str">
        <f t="shared" si="3"/>
        <v> 500.000.000</v>
      </c>
      <c r="O46" s="3" t="str">
        <f t="shared" si="4"/>
        <v> 499.878.500</v>
      </c>
      <c r="P46" s="3">
        <f t="shared" si="5"/>
        <v>500000000</v>
      </c>
      <c r="Q46" s="3">
        <f t="shared" si="6"/>
        <v>499878500</v>
      </c>
      <c r="R46" s="3">
        <f t="shared" si="7"/>
        <v>121500</v>
      </c>
    </row>
    <row r="47" spans="1:18">
      <c r="A47" s="2">
        <v>5534097</v>
      </c>
      <c r="B47" s="3" t="s">
        <v>96</v>
      </c>
      <c r="C47" s="3" t="s">
        <v>1</v>
      </c>
      <c r="D47" s="3" t="s">
        <v>2</v>
      </c>
      <c r="E47" s="3" t="s">
        <v>891</v>
      </c>
      <c r="F47" s="3" t="s">
        <v>1097</v>
      </c>
      <c r="G47" s="3" t="s">
        <v>1164</v>
      </c>
      <c r="H47" s="3" t="s">
        <v>3677</v>
      </c>
      <c r="I47" s="3" t="s">
        <v>1126</v>
      </c>
      <c r="J47" s="3">
        <f t="shared" si="0"/>
        <v>23</v>
      </c>
      <c r="K47" s="3">
        <f>IF(ISNUMBER(SEARCH("selesai",Sheet2!D47)-1),1,"")</f>
        <v>1</v>
      </c>
      <c r="L47" s="3" t="str">
        <f t="shared" si="1"/>
        <v>Rp. 1.000.000.000</v>
      </c>
      <c r="M47" s="3" t="str">
        <f t="shared" si="2"/>
        <v>Rp. 999.993.500</v>
      </c>
      <c r="N47" s="3" t="str">
        <f t="shared" si="3"/>
        <v> 1.000.000.000</v>
      </c>
      <c r="O47" s="3" t="str">
        <f t="shared" si="4"/>
        <v> 999.993.500</v>
      </c>
      <c r="P47" s="3">
        <f t="shared" si="5"/>
        <v>1000000000</v>
      </c>
      <c r="Q47" s="3">
        <f t="shared" si="6"/>
        <v>999993500</v>
      </c>
      <c r="R47" s="3">
        <f t="shared" si="7"/>
        <v>6500</v>
      </c>
    </row>
    <row r="48" spans="1:18">
      <c r="A48" s="2">
        <v>5531097</v>
      </c>
      <c r="B48" s="3" t="s">
        <v>98</v>
      </c>
      <c r="C48" s="3" t="s">
        <v>1</v>
      </c>
      <c r="D48" s="3" t="s">
        <v>2</v>
      </c>
      <c r="E48" s="3" t="s">
        <v>1033</v>
      </c>
      <c r="F48" s="3" t="s">
        <v>875</v>
      </c>
      <c r="G48" s="3" t="s">
        <v>1170</v>
      </c>
      <c r="H48" s="3" t="s">
        <v>3678</v>
      </c>
      <c r="I48" s="3" t="s">
        <v>932</v>
      </c>
      <c r="J48" s="3">
        <f t="shared" si="0"/>
        <v>30</v>
      </c>
      <c r="K48" s="3">
        <f>IF(ISNUMBER(SEARCH("selesai",Sheet2!D48)-1),1,"")</f>
        <v>1</v>
      </c>
      <c r="L48" s="3" t="str">
        <f t="shared" si="1"/>
        <v>Rp. 1.140.000.000</v>
      </c>
      <c r="M48" s="3" t="str">
        <f t="shared" si="2"/>
        <v>Rp. 1.135.371.600</v>
      </c>
      <c r="N48" s="3" t="str">
        <f t="shared" si="3"/>
        <v> 1.140.000.000</v>
      </c>
      <c r="O48" s="3" t="str">
        <f t="shared" si="4"/>
        <v> 1.135.371.600</v>
      </c>
      <c r="P48" s="3">
        <f t="shared" si="5"/>
        <v>1140000000</v>
      </c>
      <c r="Q48" s="3">
        <f t="shared" si="6"/>
        <v>1135371600</v>
      </c>
      <c r="R48" s="3">
        <f t="shared" si="7"/>
        <v>4628400</v>
      </c>
    </row>
    <row r="49" spans="1:18">
      <c r="A49" s="2">
        <v>5530097</v>
      </c>
      <c r="B49" s="3" t="s">
        <v>100</v>
      </c>
      <c r="C49" s="3" t="s">
        <v>1</v>
      </c>
      <c r="D49" s="3" t="s">
        <v>2</v>
      </c>
      <c r="E49" s="3" t="s">
        <v>1033</v>
      </c>
      <c r="F49" s="3" t="s">
        <v>875</v>
      </c>
      <c r="G49" s="3" t="s">
        <v>1176</v>
      </c>
      <c r="H49" s="3" t="s">
        <v>3679</v>
      </c>
      <c r="I49" s="3" t="s">
        <v>1177</v>
      </c>
      <c r="J49" s="3">
        <f t="shared" si="0"/>
        <v>24</v>
      </c>
      <c r="K49" s="3">
        <f>IF(ISNUMBER(SEARCH("selesai",Sheet2!D49)-1),1,"")</f>
        <v>1</v>
      </c>
      <c r="L49" s="3" t="str">
        <f t="shared" si="1"/>
        <v>Rp. 2.480.000.000</v>
      </c>
      <c r="M49" s="3" t="str">
        <f t="shared" si="2"/>
        <v>Rp. 2.478.720.000</v>
      </c>
      <c r="N49" s="3" t="str">
        <f t="shared" si="3"/>
        <v> 2.480.000.000</v>
      </c>
      <c r="O49" s="3" t="str">
        <f t="shared" si="4"/>
        <v> 2.478.720.000</v>
      </c>
      <c r="P49" s="3">
        <f t="shared" si="5"/>
        <v>2480000000</v>
      </c>
      <c r="Q49" s="3">
        <f t="shared" si="6"/>
        <v>2478720000</v>
      </c>
      <c r="R49" s="3">
        <f t="shared" si="7"/>
        <v>1280000</v>
      </c>
    </row>
    <row r="50" spans="1:18">
      <c r="A50" s="2">
        <v>5529097</v>
      </c>
      <c r="B50" s="3" t="s">
        <v>103</v>
      </c>
      <c r="C50" s="3" t="s">
        <v>1</v>
      </c>
      <c r="D50" s="3" t="s">
        <v>2</v>
      </c>
      <c r="E50" s="3" t="s">
        <v>1033</v>
      </c>
      <c r="F50" s="3" t="s">
        <v>875</v>
      </c>
      <c r="G50" s="3" t="s">
        <v>1183</v>
      </c>
      <c r="H50" s="3" t="s">
        <v>3680</v>
      </c>
      <c r="I50" s="3" t="s">
        <v>932</v>
      </c>
      <c r="J50" s="3">
        <f t="shared" si="0"/>
        <v>30</v>
      </c>
      <c r="K50" s="3">
        <f>IF(ISNUMBER(SEARCH("selesai",Sheet2!D50)-1),1,"")</f>
        <v>1</v>
      </c>
      <c r="L50" s="3" t="str">
        <f t="shared" si="1"/>
        <v>Rp. 2.500.000.000</v>
      </c>
      <c r="M50" s="3" t="str">
        <f t="shared" si="2"/>
        <v>Rp. 2.493.975.000</v>
      </c>
      <c r="N50" s="3" t="str">
        <f t="shared" si="3"/>
        <v> 2.500.000.000</v>
      </c>
      <c r="O50" s="3" t="str">
        <f t="shared" si="4"/>
        <v> 2.493.975.000</v>
      </c>
      <c r="P50" s="3">
        <f t="shared" si="5"/>
        <v>2500000000</v>
      </c>
      <c r="Q50" s="3">
        <f t="shared" si="6"/>
        <v>2493975000</v>
      </c>
      <c r="R50" s="3">
        <f t="shared" si="7"/>
        <v>6025000</v>
      </c>
    </row>
    <row r="51" spans="1:18">
      <c r="A51" s="2">
        <v>5528097</v>
      </c>
      <c r="B51" s="3" t="s">
        <v>105</v>
      </c>
      <c r="C51" s="3" t="s">
        <v>1</v>
      </c>
      <c r="D51" s="3" t="s">
        <v>7</v>
      </c>
      <c r="E51" s="3" t="s">
        <v>1033</v>
      </c>
      <c r="F51" s="3" t="s">
        <v>875</v>
      </c>
      <c r="G51" s="3" t="s">
        <v>1039</v>
      </c>
      <c r="H51" s="3" t="s">
        <v>3663</v>
      </c>
      <c r="I51" s="3" t="s">
        <v>1132</v>
      </c>
      <c r="J51" s="3">
        <f t="shared" si="0"/>
        <v>29</v>
      </c>
      <c r="K51" s="3" t="str">
        <f>IF(ISNUMBER(SEARCH("selesai",Sheet2!D51)-1),1,"")</f>
        <v/>
      </c>
      <c r="L51" s="3" t="str">
        <f t="shared" si="1"/>
        <v>Rp. 846.000.000</v>
      </c>
      <c r="M51" s="3" t="str">
        <f t="shared" si="2"/>
        <v>Rp. 845.984.700</v>
      </c>
      <c r="N51" s="3" t="str">
        <f t="shared" si="3"/>
        <v> 846.000.000</v>
      </c>
      <c r="O51" s="3" t="str">
        <f t="shared" si="4"/>
        <v> 845.984.700</v>
      </c>
      <c r="P51" s="3">
        <f t="shared" si="5"/>
        <v>846000000</v>
      </c>
      <c r="Q51" s="3">
        <f t="shared" si="6"/>
        <v>845984700</v>
      </c>
      <c r="R51" s="3">
        <f t="shared" si="7"/>
        <v>15300</v>
      </c>
    </row>
    <row r="52" spans="1:18">
      <c r="A52" s="2">
        <v>5527097</v>
      </c>
      <c r="B52" s="3" t="s">
        <v>106</v>
      </c>
      <c r="C52" s="3" t="s">
        <v>1</v>
      </c>
      <c r="D52" s="3" t="s">
        <v>2</v>
      </c>
      <c r="E52" s="3" t="s">
        <v>1033</v>
      </c>
      <c r="F52" s="3" t="s">
        <v>875</v>
      </c>
      <c r="G52" s="3" t="s">
        <v>1194</v>
      </c>
      <c r="H52" s="3" t="s">
        <v>3681</v>
      </c>
      <c r="I52" s="3" t="s">
        <v>1132</v>
      </c>
      <c r="J52" s="3">
        <f t="shared" si="0"/>
        <v>29</v>
      </c>
      <c r="K52" s="3">
        <f>IF(ISNUMBER(SEARCH("selesai",Sheet2!D52)-1),1,"")</f>
        <v>1</v>
      </c>
      <c r="L52" s="3" t="str">
        <f t="shared" si="1"/>
        <v>Rp. 1.183.000.000</v>
      </c>
      <c r="M52" s="3" t="str">
        <f t="shared" si="2"/>
        <v>Rp. 1.182.788.750</v>
      </c>
      <c r="N52" s="3" t="str">
        <f t="shared" si="3"/>
        <v> 1.183.000.000</v>
      </c>
      <c r="O52" s="3" t="str">
        <f t="shared" si="4"/>
        <v> 1.182.788.750</v>
      </c>
      <c r="P52" s="3">
        <f t="shared" si="5"/>
        <v>1183000000</v>
      </c>
      <c r="Q52" s="3">
        <f t="shared" si="6"/>
        <v>1182788750</v>
      </c>
      <c r="R52" s="3">
        <f t="shared" si="7"/>
        <v>211250</v>
      </c>
    </row>
    <row r="53" spans="1:18">
      <c r="A53" s="2">
        <v>5526097</v>
      </c>
      <c r="B53" s="3" t="s">
        <v>109</v>
      </c>
      <c r="C53" s="3" t="s">
        <v>1</v>
      </c>
      <c r="D53" s="3" t="s">
        <v>7</v>
      </c>
      <c r="E53" s="3" t="s">
        <v>1033</v>
      </c>
      <c r="F53" s="3" t="s">
        <v>875</v>
      </c>
      <c r="G53" s="3" t="s">
        <v>1032</v>
      </c>
      <c r="H53" s="3" t="s">
        <v>3662</v>
      </c>
      <c r="I53" s="3" t="s">
        <v>1177</v>
      </c>
      <c r="J53" s="3">
        <f t="shared" si="0"/>
        <v>24</v>
      </c>
      <c r="K53" s="3" t="str">
        <f>IF(ISNUMBER(SEARCH("selesai",Sheet2!D53)-1),1,"")</f>
        <v/>
      </c>
      <c r="L53" s="3" t="str">
        <f t="shared" si="1"/>
        <v>Rp. 800.000.000</v>
      </c>
      <c r="M53" s="3" t="str">
        <f t="shared" si="2"/>
        <v>Rp. 798.008.900</v>
      </c>
      <c r="N53" s="3" t="str">
        <f t="shared" si="3"/>
        <v> 800.000.000</v>
      </c>
      <c r="O53" s="3" t="str">
        <f t="shared" si="4"/>
        <v> 798.008.900</v>
      </c>
      <c r="P53" s="3">
        <f t="shared" si="5"/>
        <v>800000000</v>
      </c>
      <c r="Q53" s="3">
        <f t="shared" si="6"/>
        <v>798008900</v>
      </c>
      <c r="R53" s="3">
        <f t="shared" si="7"/>
        <v>1991100</v>
      </c>
    </row>
    <row r="54" spans="1:18">
      <c r="A54" s="2">
        <v>5525097</v>
      </c>
      <c r="B54" s="3" t="s">
        <v>110</v>
      </c>
      <c r="C54" s="3" t="s">
        <v>1</v>
      </c>
      <c r="D54" s="3" t="s">
        <v>7</v>
      </c>
      <c r="E54" s="3" t="s">
        <v>1033</v>
      </c>
      <c r="F54" s="3" t="s">
        <v>875</v>
      </c>
      <c r="G54" s="3" t="s">
        <v>1045</v>
      </c>
      <c r="H54" s="3" t="s">
        <v>3664</v>
      </c>
      <c r="I54" s="3" t="s">
        <v>1205</v>
      </c>
      <c r="J54" s="3">
        <f t="shared" si="0"/>
        <v>34</v>
      </c>
      <c r="K54" s="3" t="str">
        <f>IF(ISNUMBER(SEARCH("selesai",Sheet2!D54)-1),1,"")</f>
        <v/>
      </c>
      <c r="L54" s="3" t="str">
        <f t="shared" si="1"/>
        <v>Rp. 2.660.000.000</v>
      </c>
      <c r="M54" s="3" t="str">
        <f t="shared" si="2"/>
        <v>Rp. 2.657.821.650</v>
      </c>
      <c r="N54" s="3" t="str">
        <f t="shared" si="3"/>
        <v> 2.660.000.000</v>
      </c>
      <c r="O54" s="3" t="str">
        <f t="shared" si="4"/>
        <v> 2.657.821.650</v>
      </c>
      <c r="P54" s="3">
        <f t="shared" si="5"/>
        <v>2660000000</v>
      </c>
      <c r="Q54" s="3">
        <f t="shared" si="6"/>
        <v>2657821650</v>
      </c>
      <c r="R54" s="3">
        <f t="shared" si="7"/>
        <v>2178350</v>
      </c>
    </row>
    <row r="55" spans="1:18">
      <c r="A55" s="2">
        <v>5524097</v>
      </c>
      <c r="B55" s="3" t="s">
        <v>111</v>
      </c>
      <c r="C55" s="3" t="s">
        <v>1</v>
      </c>
      <c r="D55" s="3" t="s">
        <v>2</v>
      </c>
      <c r="E55" s="3" t="s">
        <v>1033</v>
      </c>
      <c r="F55" s="3" t="s">
        <v>875</v>
      </c>
      <c r="G55" s="3" t="s">
        <v>1211</v>
      </c>
      <c r="H55" s="3" t="s">
        <v>3682</v>
      </c>
      <c r="I55" s="3" t="s">
        <v>1158</v>
      </c>
      <c r="J55" s="3">
        <f t="shared" si="0"/>
        <v>20</v>
      </c>
      <c r="K55" s="3">
        <f>IF(ISNUMBER(SEARCH("selesai",Sheet2!D55)-1),1,"")</f>
        <v>1</v>
      </c>
      <c r="L55" s="3" t="str">
        <f t="shared" si="1"/>
        <v>Rp. 240.000.000</v>
      </c>
      <c r="M55" s="3" t="str">
        <f t="shared" si="2"/>
        <v>Rp. 239.751.300</v>
      </c>
      <c r="N55" s="3" t="str">
        <f t="shared" si="3"/>
        <v> 240.000.000</v>
      </c>
      <c r="O55" s="3" t="str">
        <f t="shared" si="4"/>
        <v> 239.751.300</v>
      </c>
      <c r="P55" s="3">
        <f t="shared" si="5"/>
        <v>240000000</v>
      </c>
      <c r="Q55" s="3">
        <f t="shared" si="6"/>
        <v>239751300</v>
      </c>
      <c r="R55" s="3">
        <f t="shared" si="7"/>
        <v>248700</v>
      </c>
    </row>
    <row r="56" spans="1:18">
      <c r="A56" s="2">
        <v>5523097</v>
      </c>
      <c r="B56" s="3" t="s">
        <v>114</v>
      </c>
      <c r="C56" s="3" t="s">
        <v>1</v>
      </c>
      <c r="D56" s="3" t="s">
        <v>2</v>
      </c>
      <c r="E56" s="3" t="s">
        <v>1033</v>
      </c>
      <c r="F56" s="3" t="s">
        <v>875</v>
      </c>
      <c r="G56" s="3" t="s">
        <v>1217</v>
      </c>
      <c r="H56" s="3" t="s">
        <v>3683</v>
      </c>
      <c r="I56" s="3" t="s">
        <v>1138</v>
      </c>
      <c r="J56" s="3">
        <f t="shared" si="0"/>
        <v>22</v>
      </c>
      <c r="K56" s="3">
        <f>IF(ISNUMBER(SEARCH("selesai",Sheet2!D56)-1),1,"")</f>
        <v>1</v>
      </c>
      <c r="L56" s="3" t="str">
        <f t="shared" si="1"/>
        <v>Rp. 220.000.000</v>
      </c>
      <c r="M56" s="3" t="str">
        <f t="shared" si="2"/>
        <v>Rp. 219.991.100</v>
      </c>
      <c r="N56" s="3" t="str">
        <f t="shared" si="3"/>
        <v> 220.000.000</v>
      </c>
      <c r="O56" s="3" t="str">
        <f t="shared" si="4"/>
        <v> 219.991.100</v>
      </c>
      <c r="P56" s="3">
        <f t="shared" si="5"/>
        <v>220000000</v>
      </c>
      <c r="Q56" s="3">
        <f t="shared" si="6"/>
        <v>219991100</v>
      </c>
      <c r="R56" s="3">
        <f t="shared" si="7"/>
        <v>8900</v>
      </c>
    </row>
    <row r="57" spans="1:18">
      <c r="A57" s="2">
        <v>5522097</v>
      </c>
      <c r="B57" s="3" t="s">
        <v>117</v>
      </c>
      <c r="C57" s="3" t="s">
        <v>1</v>
      </c>
      <c r="D57" s="3" t="s">
        <v>2</v>
      </c>
      <c r="E57" s="3" t="s">
        <v>1033</v>
      </c>
      <c r="F57" s="3" t="s">
        <v>875</v>
      </c>
      <c r="G57" s="3" t="s">
        <v>1157</v>
      </c>
      <c r="H57" s="3" t="s">
        <v>3684</v>
      </c>
      <c r="I57" s="3" t="s">
        <v>1138</v>
      </c>
      <c r="J57" s="3">
        <f t="shared" si="0"/>
        <v>22</v>
      </c>
      <c r="K57" s="3">
        <f>IF(ISNUMBER(SEARCH("selesai",Sheet2!D57)-1),1,"")</f>
        <v>1</v>
      </c>
      <c r="L57" s="3" t="str">
        <f t="shared" si="1"/>
        <v>Rp. 500.000.000</v>
      </c>
      <c r="M57" s="3" t="str">
        <f t="shared" si="2"/>
        <v>Rp. 499.887.500</v>
      </c>
      <c r="N57" s="3" t="str">
        <f t="shared" si="3"/>
        <v> 500.000.000</v>
      </c>
      <c r="O57" s="3" t="str">
        <f t="shared" si="4"/>
        <v> 499.887.500</v>
      </c>
      <c r="P57" s="3">
        <f t="shared" si="5"/>
        <v>500000000</v>
      </c>
      <c r="Q57" s="3">
        <f t="shared" si="6"/>
        <v>499887500</v>
      </c>
      <c r="R57" s="3">
        <f t="shared" si="7"/>
        <v>112500</v>
      </c>
    </row>
    <row r="58" spans="1:18">
      <c r="A58" s="2">
        <v>5521097</v>
      </c>
      <c r="B58" s="3" t="s">
        <v>119</v>
      </c>
      <c r="C58" s="3" t="s">
        <v>1</v>
      </c>
      <c r="D58" s="3" t="s">
        <v>2</v>
      </c>
      <c r="E58" s="3" t="s">
        <v>1033</v>
      </c>
      <c r="F58" s="3" t="s">
        <v>875</v>
      </c>
      <c r="G58" s="3" t="s">
        <v>1228</v>
      </c>
      <c r="H58" s="3" t="s">
        <v>3685</v>
      </c>
      <c r="I58" s="3" t="s">
        <v>1229</v>
      </c>
      <c r="J58" s="3">
        <f t="shared" si="0"/>
        <v>18</v>
      </c>
      <c r="K58" s="3">
        <f>IF(ISNUMBER(SEARCH("selesai",Sheet2!D58)-1),1,"")</f>
        <v>1</v>
      </c>
      <c r="L58" s="3" t="str">
        <f t="shared" si="1"/>
        <v>Rp. 275.000.000</v>
      </c>
      <c r="M58" s="3" t="str">
        <f t="shared" si="2"/>
        <v>Rp. 274.988.875</v>
      </c>
      <c r="N58" s="3" t="str">
        <f t="shared" si="3"/>
        <v> 275.000.000</v>
      </c>
      <c r="O58" s="3" t="str">
        <f t="shared" si="4"/>
        <v> 274.988.875</v>
      </c>
      <c r="P58" s="3">
        <f t="shared" si="5"/>
        <v>275000000</v>
      </c>
      <c r="Q58" s="3">
        <f t="shared" si="6"/>
        <v>274988875</v>
      </c>
      <c r="R58" s="3">
        <f t="shared" si="7"/>
        <v>11125</v>
      </c>
    </row>
    <row r="59" spans="1:18">
      <c r="A59" s="2">
        <v>5520097</v>
      </c>
      <c r="B59" s="3" t="s">
        <v>122</v>
      </c>
      <c r="C59" s="3" t="s">
        <v>1</v>
      </c>
      <c r="D59" s="3" t="s">
        <v>2</v>
      </c>
      <c r="E59" s="3" t="s">
        <v>1033</v>
      </c>
      <c r="F59" s="3" t="s">
        <v>875</v>
      </c>
      <c r="G59" s="3" t="s">
        <v>1217</v>
      </c>
      <c r="H59" s="3" t="s">
        <v>3683</v>
      </c>
      <c r="I59" s="3" t="s">
        <v>1235</v>
      </c>
      <c r="J59" s="3">
        <f t="shared" si="0"/>
        <v>14</v>
      </c>
      <c r="K59" s="3">
        <f>IF(ISNUMBER(SEARCH("selesai",Sheet2!D59)-1),1,"")</f>
        <v>1</v>
      </c>
      <c r="L59" s="3" t="str">
        <f t="shared" si="1"/>
        <v>Rp. 220.000.000</v>
      </c>
      <c r="M59" s="3" t="str">
        <f t="shared" si="2"/>
        <v>Rp. 219.991.100</v>
      </c>
      <c r="N59" s="3" t="str">
        <f t="shared" si="3"/>
        <v> 220.000.000</v>
      </c>
      <c r="O59" s="3" t="str">
        <f t="shared" si="4"/>
        <v> 219.991.100</v>
      </c>
      <c r="P59" s="3">
        <f t="shared" si="5"/>
        <v>220000000</v>
      </c>
      <c r="Q59" s="3">
        <f t="shared" si="6"/>
        <v>219991100</v>
      </c>
      <c r="R59" s="3">
        <f t="shared" si="7"/>
        <v>8900</v>
      </c>
    </row>
    <row r="60" spans="1:18">
      <c r="A60" s="2">
        <v>5519097</v>
      </c>
      <c r="B60" s="3" t="s">
        <v>123</v>
      </c>
      <c r="C60" s="3" t="s">
        <v>1</v>
      </c>
      <c r="D60" s="3" t="s">
        <v>2</v>
      </c>
      <c r="E60" s="3" t="s">
        <v>1033</v>
      </c>
      <c r="F60" s="3" t="s">
        <v>875</v>
      </c>
      <c r="G60" s="3" t="s">
        <v>1241</v>
      </c>
      <c r="H60" s="3" t="s">
        <v>3686</v>
      </c>
      <c r="I60" s="3" t="s">
        <v>1158</v>
      </c>
      <c r="J60" s="3">
        <f t="shared" si="0"/>
        <v>20</v>
      </c>
      <c r="K60" s="3">
        <f>IF(ISNUMBER(SEARCH("selesai",Sheet2!D60)-1),1,"")</f>
        <v>1</v>
      </c>
      <c r="L60" s="3" t="str">
        <f t="shared" si="1"/>
        <v>Rp. 752.400.000</v>
      </c>
      <c r="M60" s="3" t="str">
        <f t="shared" si="2"/>
        <v>Rp. 752.396.561</v>
      </c>
      <c r="N60" s="3" t="str">
        <f t="shared" si="3"/>
        <v> 752.400.000</v>
      </c>
      <c r="O60" s="3" t="str">
        <f t="shared" si="4"/>
        <v> 752.396.561</v>
      </c>
      <c r="P60" s="3">
        <f t="shared" si="5"/>
        <v>752400000</v>
      </c>
      <c r="Q60" s="3">
        <f t="shared" si="6"/>
        <v>752396561</v>
      </c>
      <c r="R60" s="3">
        <f t="shared" si="7"/>
        <v>3439</v>
      </c>
    </row>
    <row r="61" spans="1:18">
      <c r="A61" s="2">
        <v>5518097</v>
      </c>
      <c r="B61" s="3" t="s">
        <v>126</v>
      </c>
      <c r="C61" s="3" t="s">
        <v>1</v>
      </c>
      <c r="D61" s="3" t="s">
        <v>7</v>
      </c>
      <c r="E61" s="3" t="s">
        <v>876</v>
      </c>
      <c r="F61" s="3" t="s">
        <v>919</v>
      </c>
      <c r="G61" s="3" t="s">
        <v>1000</v>
      </c>
      <c r="H61" s="3" t="s">
        <v>3657</v>
      </c>
      <c r="I61" s="3" t="s">
        <v>1205</v>
      </c>
      <c r="J61" s="3">
        <f t="shared" si="0"/>
        <v>34</v>
      </c>
      <c r="K61" s="3" t="str">
        <f>IF(ISNUMBER(SEARCH("selesai",Sheet2!D61)-1),1,"")</f>
        <v/>
      </c>
      <c r="L61" s="3" t="str">
        <f t="shared" si="1"/>
        <v>Rp. 720.000.000</v>
      </c>
      <c r="M61" s="3" t="str">
        <f t="shared" si="2"/>
        <v>Rp. 719.985.325</v>
      </c>
      <c r="N61" s="3" t="str">
        <f t="shared" si="3"/>
        <v> 720.000.000</v>
      </c>
      <c r="O61" s="3" t="str">
        <f t="shared" si="4"/>
        <v> 719.985.325</v>
      </c>
      <c r="P61" s="3">
        <f t="shared" si="5"/>
        <v>720000000</v>
      </c>
      <c r="Q61" s="3">
        <f t="shared" si="6"/>
        <v>719985325</v>
      </c>
      <c r="R61" s="3">
        <f t="shared" si="7"/>
        <v>14675</v>
      </c>
    </row>
    <row r="62" spans="1:18">
      <c r="A62" s="2">
        <v>5517097</v>
      </c>
      <c r="B62" s="3" t="s">
        <v>127</v>
      </c>
      <c r="C62" s="3" t="s">
        <v>1</v>
      </c>
      <c r="D62" s="3" t="s">
        <v>2</v>
      </c>
      <c r="E62" s="3" t="s">
        <v>876</v>
      </c>
      <c r="F62" s="3" t="s">
        <v>919</v>
      </c>
      <c r="G62" s="3" t="s">
        <v>1252</v>
      </c>
      <c r="H62" s="3" t="s">
        <v>3687</v>
      </c>
      <c r="I62" s="3" t="s">
        <v>1126</v>
      </c>
      <c r="J62" s="3">
        <f t="shared" si="0"/>
        <v>23</v>
      </c>
      <c r="K62" s="3">
        <f>IF(ISNUMBER(SEARCH("selesai",Sheet2!D62)-1),1,"")</f>
        <v>1</v>
      </c>
      <c r="L62" s="3" t="str">
        <f t="shared" si="1"/>
        <v>Rp. 900.000.000</v>
      </c>
      <c r="M62" s="3" t="str">
        <f t="shared" si="2"/>
        <v>Rp. 899.285.924</v>
      </c>
      <c r="N62" s="3" t="str">
        <f t="shared" si="3"/>
        <v> 900.000.000</v>
      </c>
      <c r="O62" s="3" t="str">
        <f t="shared" si="4"/>
        <v> 899.285.924</v>
      </c>
      <c r="P62" s="3">
        <f t="shared" si="5"/>
        <v>900000000</v>
      </c>
      <c r="Q62" s="3">
        <f t="shared" si="6"/>
        <v>899285924</v>
      </c>
      <c r="R62" s="3">
        <f t="shared" si="7"/>
        <v>714076</v>
      </c>
    </row>
    <row r="63" spans="1:18">
      <c r="A63" s="2">
        <v>5516097</v>
      </c>
      <c r="B63" s="3" t="s">
        <v>129</v>
      </c>
      <c r="C63" s="3" t="s">
        <v>1</v>
      </c>
      <c r="D63" s="3" t="s">
        <v>7</v>
      </c>
      <c r="E63" s="3" t="s">
        <v>876</v>
      </c>
      <c r="F63" s="3" t="s">
        <v>919</v>
      </c>
      <c r="G63" s="3" t="s">
        <v>917</v>
      </c>
      <c r="H63" s="3" t="s">
        <v>3649</v>
      </c>
      <c r="I63" s="3" t="s">
        <v>994</v>
      </c>
      <c r="J63" s="3">
        <f t="shared" si="0"/>
        <v>26</v>
      </c>
      <c r="K63" s="3" t="str">
        <f>IF(ISNUMBER(SEARCH("selesai",Sheet2!D63)-1),1,"")</f>
        <v/>
      </c>
      <c r="L63" s="3" t="str">
        <f t="shared" si="1"/>
        <v>Rp. 1.350.000.000</v>
      </c>
      <c r="M63" s="3" t="str">
        <f t="shared" si="2"/>
        <v>Rp. 1.348.334.417</v>
      </c>
      <c r="N63" s="3" t="str">
        <f t="shared" si="3"/>
        <v> 1.350.000.000</v>
      </c>
      <c r="O63" s="3" t="str">
        <f t="shared" si="4"/>
        <v> 1.348.334.417</v>
      </c>
      <c r="P63" s="3">
        <f t="shared" si="5"/>
        <v>1350000000</v>
      </c>
      <c r="Q63" s="3">
        <f t="shared" si="6"/>
        <v>1348334417</v>
      </c>
      <c r="R63" s="3">
        <f t="shared" si="7"/>
        <v>1665583</v>
      </c>
    </row>
    <row r="64" spans="1:18">
      <c r="A64" s="2">
        <v>5514097</v>
      </c>
      <c r="B64" s="3" t="s">
        <v>130</v>
      </c>
      <c r="C64" s="3" t="s">
        <v>1</v>
      </c>
      <c r="D64" s="3" t="s">
        <v>2</v>
      </c>
      <c r="E64" s="3" t="s">
        <v>1033</v>
      </c>
      <c r="F64" s="3" t="s">
        <v>875</v>
      </c>
      <c r="G64" s="3" t="s">
        <v>1217</v>
      </c>
      <c r="H64" s="3" t="s">
        <v>3683</v>
      </c>
      <c r="I64" s="3" t="s">
        <v>1235</v>
      </c>
      <c r="J64" s="3">
        <f t="shared" si="0"/>
        <v>14</v>
      </c>
      <c r="K64" s="3">
        <f>IF(ISNUMBER(SEARCH("selesai",Sheet2!D64)-1),1,"")</f>
        <v>1</v>
      </c>
      <c r="L64" s="3" t="str">
        <f t="shared" si="1"/>
        <v>Rp. 220.000.000</v>
      </c>
      <c r="M64" s="3" t="str">
        <f t="shared" si="2"/>
        <v>Rp. 219.991.100</v>
      </c>
      <c r="N64" s="3" t="str">
        <f t="shared" si="3"/>
        <v> 220.000.000</v>
      </c>
      <c r="O64" s="3" t="str">
        <f t="shared" si="4"/>
        <v> 219.991.100</v>
      </c>
      <c r="P64" s="3">
        <f t="shared" si="5"/>
        <v>220000000</v>
      </c>
      <c r="Q64" s="3">
        <f t="shared" si="6"/>
        <v>219991100</v>
      </c>
      <c r="R64" s="3">
        <f t="shared" si="7"/>
        <v>8900</v>
      </c>
    </row>
    <row r="65" spans="1:18">
      <c r="A65" s="2">
        <v>5513097</v>
      </c>
      <c r="B65" s="3" t="s">
        <v>132</v>
      </c>
      <c r="C65" s="3" t="s">
        <v>1</v>
      </c>
      <c r="D65" s="3" t="s">
        <v>2</v>
      </c>
      <c r="E65" s="3" t="s">
        <v>1033</v>
      </c>
      <c r="F65" s="3" t="s">
        <v>875</v>
      </c>
      <c r="G65" s="3" t="s">
        <v>1228</v>
      </c>
      <c r="H65" s="3" t="s">
        <v>3685</v>
      </c>
      <c r="I65" s="3" t="s">
        <v>1268</v>
      </c>
      <c r="J65" s="3">
        <f t="shared" si="0"/>
        <v>17</v>
      </c>
      <c r="K65" s="3">
        <f>IF(ISNUMBER(SEARCH("selesai",Sheet2!D65)-1),1,"")</f>
        <v>1</v>
      </c>
      <c r="L65" s="3" t="str">
        <f t="shared" si="1"/>
        <v>Rp. 275.000.000</v>
      </c>
      <c r="M65" s="3" t="str">
        <f t="shared" si="2"/>
        <v>Rp. 274.988.875</v>
      </c>
      <c r="N65" s="3" t="str">
        <f t="shared" si="3"/>
        <v> 275.000.000</v>
      </c>
      <c r="O65" s="3" t="str">
        <f t="shared" si="4"/>
        <v> 274.988.875</v>
      </c>
      <c r="P65" s="3">
        <f t="shared" si="5"/>
        <v>275000000</v>
      </c>
      <c r="Q65" s="3">
        <f t="shared" si="6"/>
        <v>274988875</v>
      </c>
      <c r="R65" s="3">
        <f t="shared" si="7"/>
        <v>11125</v>
      </c>
    </row>
    <row r="66" spans="1:18">
      <c r="A66" s="2">
        <v>5512097</v>
      </c>
      <c r="B66" s="3" t="s">
        <v>134</v>
      </c>
      <c r="C66" s="3" t="s">
        <v>1</v>
      </c>
      <c r="D66" s="3" t="s">
        <v>2</v>
      </c>
      <c r="E66" s="3" t="s">
        <v>1033</v>
      </c>
      <c r="F66" s="3" t="s">
        <v>875</v>
      </c>
      <c r="G66" s="3" t="s">
        <v>1274</v>
      </c>
      <c r="H66" s="3" t="s">
        <v>3688</v>
      </c>
      <c r="I66" s="3" t="s">
        <v>1056</v>
      </c>
      <c r="J66" s="3">
        <f t="shared" si="0"/>
        <v>11</v>
      </c>
      <c r="K66" s="3">
        <f>IF(ISNUMBER(SEARCH("selesai",Sheet2!D66)-1),1,"")</f>
        <v>1</v>
      </c>
      <c r="L66" s="3" t="str">
        <f t="shared" si="1"/>
        <v>Rp. 750.000.000</v>
      </c>
      <c r="M66" s="3" t="str">
        <f t="shared" si="2"/>
        <v>Rp. 446.325.000</v>
      </c>
      <c r="N66" s="3" t="str">
        <f t="shared" si="3"/>
        <v> 750.000.000</v>
      </c>
      <c r="O66" s="3" t="str">
        <f t="shared" si="4"/>
        <v> 446.325.000</v>
      </c>
      <c r="P66" s="3">
        <f t="shared" si="5"/>
        <v>750000000</v>
      </c>
      <c r="Q66" s="3">
        <f t="shared" si="6"/>
        <v>446325000</v>
      </c>
      <c r="R66" s="3">
        <f t="shared" si="7"/>
        <v>303675000</v>
      </c>
    </row>
    <row r="67" spans="1:18">
      <c r="A67" s="2">
        <v>5509097</v>
      </c>
      <c r="B67" s="3" t="s">
        <v>136</v>
      </c>
      <c r="C67" s="3" t="s">
        <v>1</v>
      </c>
      <c r="D67" s="3" t="s">
        <v>2</v>
      </c>
      <c r="E67" s="3" t="s">
        <v>1033</v>
      </c>
      <c r="F67" s="3" t="s">
        <v>875</v>
      </c>
      <c r="G67" s="3" t="s">
        <v>1095</v>
      </c>
      <c r="H67" s="3" t="s">
        <v>3689</v>
      </c>
      <c r="I67" s="3" t="s">
        <v>972</v>
      </c>
      <c r="J67" s="3">
        <f t="shared" ref="J67:J130" si="8">VALUE(SUBSTITUTE(I67,"peserta",""))</f>
        <v>9</v>
      </c>
      <c r="K67" s="3">
        <f>IF(ISNUMBER(SEARCH("selesai",Sheet2!D67)-1),1,"")</f>
        <v>1</v>
      </c>
      <c r="L67" s="3" t="str">
        <f t="shared" ref="L67:L130" si="9">LEFT(G67,SEARCH(",",G67)-1)</f>
        <v>Rp. 300.000.000</v>
      </c>
      <c r="M67" s="3" t="str">
        <f t="shared" ref="M67:M130" si="10">LEFT(H67,SEARCH(",",H67)-1)</f>
        <v>Rp. 299.999.700</v>
      </c>
      <c r="N67" s="3" t="str">
        <f t="shared" ref="N67:N130" si="11">SUBSTITUTE(L67,"Rp.","")</f>
        <v> 300.000.000</v>
      </c>
      <c r="O67" s="3" t="str">
        <f t="shared" ref="O67:O130" si="12">SUBSTITUTE(M67,"Rp.","")</f>
        <v> 299.999.700</v>
      </c>
      <c r="P67" s="3">
        <f t="shared" ref="P67:P130" si="13">VALUE(SUBSTITUTE(N67,".",""))</f>
        <v>300000000</v>
      </c>
      <c r="Q67" s="3">
        <f t="shared" ref="Q67:Q130" si="14">VALUE(SUBSTITUTE(O67,".",""))</f>
        <v>299999700</v>
      </c>
      <c r="R67" s="3">
        <f t="shared" ref="R67:R130" si="15">ABS(P67-Q67)</f>
        <v>300</v>
      </c>
    </row>
    <row r="68" spans="1:18">
      <c r="A68" s="2">
        <v>5508097</v>
      </c>
      <c r="B68" s="3" t="s">
        <v>139</v>
      </c>
      <c r="C68" s="3" t="s">
        <v>1</v>
      </c>
      <c r="D68" s="3" t="s">
        <v>2</v>
      </c>
      <c r="E68" s="3" t="s">
        <v>876</v>
      </c>
      <c r="F68" s="3" t="s">
        <v>919</v>
      </c>
      <c r="G68" s="3" t="s">
        <v>1285</v>
      </c>
      <c r="H68" s="3" t="s">
        <v>3690</v>
      </c>
      <c r="I68" s="3" t="s">
        <v>898</v>
      </c>
      <c r="J68" s="3">
        <f t="shared" si="8"/>
        <v>35</v>
      </c>
      <c r="K68" s="3">
        <f>IF(ISNUMBER(SEARCH("selesai",Sheet2!D68)-1),1,"")</f>
        <v>1</v>
      </c>
      <c r="L68" s="3" t="str">
        <f t="shared" si="9"/>
        <v>Rp. 660.000.000</v>
      </c>
      <c r="M68" s="3" t="str">
        <f t="shared" si="10"/>
        <v>Rp. 659.990.463</v>
      </c>
      <c r="N68" s="3" t="str">
        <f t="shared" si="11"/>
        <v> 660.000.000</v>
      </c>
      <c r="O68" s="3" t="str">
        <f t="shared" si="12"/>
        <v> 659.990.463</v>
      </c>
      <c r="P68" s="3">
        <f t="shared" si="13"/>
        <v>660000000</v>
      </c>
      <c r="Q68" s="3">
        <f t="shared" si="14"/>
        <v>659990463</v>
      </c>
      <c r="R68" s="3">
        <f t="shared" si="15"/>
        <v>9537</v>
      </c>
    </row>
    <row r="69" spans="1:18">
      <c r="A69" s="2">
        <v>5507097</v>
      </c>
      <c r="B69" s="3" t="s">
        <v>141</v>
      </c>
      <c r="C69" s="3" t="s">
        <v>1</v>
      </c>
      <c r="D69" s="3" t="s">
        <v>2</v>
      </c>
      <c r="E69" s="3" t="s">
        <v>1033</v>
      </c>
      <c r="F69" s="3" t="s">
        <v>875</v>
      </c>
      <c r="G69" s="3" t="s">
        <v>1291</v>
      </c>
      <c r="H69" s="3" t="s">
        <v>3691</v>
      </c>
      <c r="I69" s="3" t="s">
        <v>1235</v>
      </c>
      <c r="J69" s="3">
        <f t="shared" si="8"/>
        <v>14</v>
      </c>
      <c r="K69" s="3">
        <f>IF(ISNUMBER(SEARCH("selesai",Sheet2!D69)-1),1,"")</f>
        <v>1</v>
      </c>
      <c r="L69" s="3" t="str">
        <f t="shared" si="9"/>
        <v>Rp. 415.600.000</v>
      </c>
      <c r="M69" s="3" t="str">
        <f t="shared" si="10"/>
        <v>Rp. 415.492.000</v>
      </c>
      <c r="N69" s="3" t="str">
        <f t="shared" si="11"/>
        <v> 415.600.000</v>
      </c>
      <c r="O69" s="3" t="str">
        <f t="shared" si="12"/>
        <v> 415.492.000</v>
      </c>
      <c r="P69" s="3">
        <f t="shared" si="13"/>
        <v>415600000</v>
      </c>
      <c r="Q69" s="3">
        <f t="shared" si="14"/>
        <v>415492000</v>
      </c>
      <c r="R69" s="3">
        <f t="shared" si="15"/>
        <v>108000</v>
      </c>
    </row>
    <row r="70" spans="1:18">
      <c r="A70" s="2">
        <v>5505097</v>
      </c>
      <c r="B70" s="3" t="s">
        <v>144</v>
      </c>
      <c r="C70" s="3" t="s">
        <v>1</v>
      </c>
      <c r="D70" s="3" t="s">
        <v>7</v>
      </c>
      <c r="E70" s="3" t="s">
        <v>876</v>
      </c>
      <c r="F70" s="3" t="s">
        <v>919</v>
      </c>
      <c r="G70" s="3" t="s">
        <v>1297</v>
      </c>
      <c r="H70" s="3" t="s">
        <v>3692</v>
      </c>
      <c r="I70" s="3" t="s">
        <v>1298</v>
      </c>
      <c r="J70" s="3">
        <f t="shared" si="8"/>
        <v>45</v>
      </c>
      <c r="K70" s="3" t="str">
        <f>IF(ISNUMBER(SEARCH("selesai",Sheet2!D70)-1),1,"")</f>
        <v/>
      </c>
      <c r="L70" s="3" t="str">
        <f t="shared" si="9"/>
        <v>Rp. 2.000.000.000</v>
      </c>
      <c r="M70" s="3" t="str">
        <f t="shared" si="10"/>
        <v>Rp. 1.999.511.127</v>
      </c>
      <c r="N70" s="3" t="str">
        <f t="shared" si="11"/>
        <v> 2.000.000.000</v>
      </c>
      <c r="O70" s="3" t="str">
        <f t="shared" si="12"/>
        <v> 1.999.511.127</v>
      </c>
      <c r="P70" s="3">
        <f t="shared" si="13"/>
        <v>2000000000</v>
      </c>
      <c r="Q70" s="3">
        <f t="shared" si="14"/>
        <v>1999511127</v>
      </c>
      <c r="R70" s="3">
        <f t="shared" si="15"/>
        <v>488873</v>
      </c>
    </row>
    <row r="71" spans="1:18">
      <c r="A71" s="2">
        <v>5504097</v>
      </c>
      <c r="B71" s="3" t="s">
        <v>146</v>
      </c>
      <c r="C71" s="3" t="s">
        <v>1</v>
      </c>
      <c r="D71" s="3" t="s">
        <v>2</v>
      </c>
      <c r="E71" s="3" t="s">
        <v>1033</v>
      </c>
      <c r="F71" s="3" t="s">
        <v>1097</v>
      </c>
      <c r="G71" s="3" t="s">
        <v>1304</v>
      </c>
      <c r="H71" s="3" t="s">
        <v>3693</v>
      </c>
      <c r="I71" s="3" t="s">
        <v>1305</v>
      </c>
      <c r="J71" s="3">
        <f t="shared" si="8"/>
        <v>15</v>
      </c>
      <c r="K71" s="3">
        <f>IF(ISNUMBER(SEARCH("selesai",Sheet2!D71)-1),1,"")</f>
        <v>1</v>
      </c>
      <c r="L71" s="3" t="str">
        <f t="shared" si="9"/>
        <v>Rp. 405.000.000</v>
      </c>
      <c r="M71" s="3" t="str">
        <f t="shared" si="10"/>
        <v>Rp. 327.827.500</v>
      </c>
      <c r="N71" s="3" t="str">
        <f t="shared" si="11"/>
        <v> 405.000.000</v>
      </c>
      <c r="O71" s="3" t="str">
        <f t="shared" si="12"/>
        <v> 327.827.500</v>
      </c>
      <c r="P71" s="3">
        <f t="shared" si="13"/>
        <v>405000000</v>
      </c>
      <c r="Q71" s="3">
        <f t="shared" si="14"/>
        <v>327827500</v>
      </c>
      <c r="R71" s="3">
        <f t="shared" si="15"/>
        <v>77172500</v>
      </c>
    </row>
    <row r="72" spans="1:18">
      <c r="A72" s="2">
        <v>5503097</v>
      </c>
      <c r="B72" s="3" t="s">
        <v>148</v>
      </c>
      <c r="C72" s="3" t="s">
        <v>149</v>
      </c>
      <c r="D72" s="3" t="s">
        <v>2</v>
      </c>
      <c r="E72" s="3" t="s">
        <v>1312</v>
      </c>
      <c r="F72" s="3" t="s">
        <v>875</v>
      </c>
      <c r="G72" s="3" t="s">
        <v>1311</v>
      </c>
      <c r="H72" s="3" t="s">
        <v>3694</v>
      </c>
      <c r="I72" s="3" t="s">
        <v>905</v>
      </c>
      <c r="J72" s="3">
        <f t="shared" si="8"/>
        <v>31</v>
      </c>
      <c r="K72" s="3">
        <f>IF(ISNUMBER(SEARCH("selesai",Sheet2!D72)-1),1,"")</f>
        <v>1</v>
      </c>
      <c r="L72" s="3" t="str">
        <f t="shared" si="9"/>
        <v>Rp. 420.331.000</v>
      </c>
      <c r="M72" s="3" t="str">
        <f t="shared" si="10"/>
        <v>Rp. 420.156.000</v>
      </c>
      <c r="N72" s="3" t="str">
        <f t="shared" si="11"/>
        <v> 420.331.000</v>
      </c>
      <c r="O72" s="3" t="str">
        <f t="shared" si="12"/>
        <v> 420.156.000</v>
      </c>
      <c r="P72" s="3">
        <f t="shared" si="13"/>
        <v>420331000</v>
      </c>
      <c r="Q72" s="3">
        <f t="shared" si="14"/>
        <v>420156000</v>
      </c>
      <c r="R72" s="3">
        <f t="shared" si="15"/>
        <v>175000</v>
      </c>
    </row>
    <row r="73" spans="1:18">
      <c r="A73" s="2">
        <v>5500097</v>
      </c>
      <c r="B73" s="3" t="s">
        <v>152</v>
      </c>
      <c r="C73" s="3" t="s">
        <v>1</v>
      </c>
      <c r="D73" s="3" t="s">
        <v>2</v>
      </c>
      <c r="E73" s="3" t="s">
        <v>876</v>
      </c>
      <c r="F73" s="3" t="s">
        <v>919</v>
      </c>
      <c r="G73" s="3" t="s">
        <v>1285</v>
      </c>
      <c r="H73" s="3" t="s">
        <v>3695</v>
      </c>
      <c r="I73" s="3" t="s">
        <v>1132</v>
      </c>
      <c r="J73" s="3">
        <f t="shared" si="8"/>
        <v>29</v>
      </c>
      <c r="K73" s="3">
        <f>IF(ISNUMBER(SEARCH("selesai",Sheet2!D73)-1),1,"")</f>
        <v>1</v>
      </c>
      <c r="L73" s="3" t="str">
        <f t="shared" si="9"/>
        <v>Rp. 660.000.000</v>
      </c>
      <c r="M73" s="3" t="str">
        <f t="shared" si="10"/>
        <v>Rp. 659.991.292</v>
      </c>
      <c r="N73" s="3" t="str">
        <f t="shared" si="11"/>
        <v> 660.000.000</v>
      </c>
      <c r="O73" s="3" t="str">
        <f t="shared" si="12"/>
        <v> 659.991.292</v>
      </c>
      <c r="P73" s="3">
        <f t="shared" si="13"/>
        <v>660000000</v>
      </c>
      <c r="Q73" s="3">
        <f t="shared" si="14"/>
        <v>659991292</v>
      </c>
      <c r="R73" s="3">
        <f t="shared" si="15"/>
        <v>8708</v>
      </c>
    </row>
    <row r="74" spans="1:18">
      <c r="A74" s="2">
        <v>5499097</v>
      </c>
      <c r="B74" s="3" t="s">
        <v>153</v>
      </c>
      <c r="C74" s="3" t="s">
        <v>1</v>
      </c>
      <c r="D74" s="3" t="s">
        <v>2</v>
      </c>
      <c r="E74" s="3" t="s">
        <v>876</v>
      </c>
      <c r="F74" s="3" t="s">
        <v>919</v>
      </c>
      <c r="G74" s="3" t="s">
        <v>1323</v>
      </c>
      <c r="H74" s="3" t="s">
        <v>3696</v>
      </c>
      <c r="I74" s="3" t="s">
        <v>1001</v>
      </c>
      <c r="J74" s="3">
        <f t="shared" si="8"/>
        <v>27</v>
      </c>
      <c r="K74" s="3">
        <f>IF(ISNUMBER(SEARCH("selesai",Sheet2!D74)-1),1,"")</f>
        <v>1</v>
      </c>
      <c r="L74" s="3" t="str">
        <f t="shared" si="9"/>
        <v>Rp. 544.000.000</v>
      </c>
      <c r="M74" s="3" t="str">
        <f t="shared" si="10"/>
        <v>Rp. 543.991.639</v>
      </c>
      <c r="N74" s="3" t="str">
        <f t="shared" si="11"/>
        <v> 544.000.000</v>
      </c>
      <c r="O74" s="3" t="str">
        <f t="shared" si="12"/>
        <v> 543.991.639</v>
      </c>
      <c r="P74" s="3">
        <f t="shared" si="13"/>
        <v>544000000</v>
      </c>
      <c r="Q74" s="3">
        <f t="shared" si="14"/>
        <v>543991639</v>
      </c>
      <c r="R74" s="3">
        <f t="shared" si="15"/>
        <v>8361</v>
      </c>
    </row>
    <row r="75" spans="1:18">
      <c r="A75" s="2">
        <v>5498097</v>
      </c>
      <c r="B75" s="3" t="s">
        <v>155</v>
      </c>
      <c r="C75" s="3" t="s">
        <v>149</v>
      </c>
      <c r="D75" s="3" t="s">
        <v>7</v>
      </c>
      <c r="E75" s="3" t="s">
        <v>1312</v>
      </c>
      <c r="F75" s="3" t="s">
        <v>875</v>
      </c>
      <c r="G75" s="3" t="s">
        <v>1329</v>
      </c>
      <c r="H75" s="3" t="s">
        <v>3697</v>
      </c>
      <c r="I75" s="3" t="s">
        <v>1126</v>
      </c>
      <c r="J75" s="3">
        <f t="shared" si="8"/>
        <v>23</v>
      </c>
      <c r="K75" s="3" t="str">
        <f>IF(ISNUMBER(SEARCH("selesai",Sheet2!D75)-1),1,"")</f>
        <v/>
      </c>
      <c r="L75" s="3" t="str">
        <f t="shared" si="9"/>
        <v>Rp. 509.000.000</v>
      </c>
      <c r="M75" s="3" t="str">
        <f t="shared" si="10"/>
        <v>Rp. 508.860.000</v>
      </c>
      <c r="N75" s="3" t="str">
        <f t="shared" si="11"/>
        <v> 509.000.000</v>
      </c>
      <c r="O75" s="3" t="str">
        <f t="shared" si="12"/>
        <v> 508.860.000</v>
      </c>
      <c r="P75" s="3">
        <f t="shared" si="13"/>
        <v>509000000</v>
      </c>
      <c r="Q75" s="3">
        <f t="shared" si="14"/>
        <v>508860000</v>
      </c>
      <c r="R75" s="3">
        <f t="shared" si="15"/>
        <v>140000</v>
      </c>
    </row>
    <row r="76" spans="1:18">
      <c r="A76" s="2">
        <v>5496097</v>
      </c>
      <c r="B76" s="3" t="s">
        <v>157</v>
      </c>
      <c r="C76" s="3" t="s">
        <v>1</v>
      </c>
      <c r="D76" s="3" t="s">
        <v>2</v>
      </c>
      <c r="E76" s="3" t="s">
        <v>1033</v>
      </c>
      <c r="F76" s="3" t="s">
        <v>919</v>
      </c>
      <c r="G76" s="3" t="s">
        <v>1335</v>
      </c>
      <c r="H76" s="3" t="s">
        <v>3698</v>
      </c>
      <c r="I76" s="3" t="s">
        <v>1132</v>
      </c>
      <c r="J76" s="3">
        <f t="shared" si="8"/>
        <v>29</v>
      </c>
      <c r="K76" s="3">
        <f>IF(ISNUMBER(SEARCH("selesai",Sheet2!D76)-1),1,"")</f>
        <v>1</v>
      </c>
      <c r="L76" s="3" t="str">
        <f t="shared" si="9"/>
        <v>Rp. 254.741.000</v>
      </c>
      <c r="M76" s="3" t="str">
        <f t="shared" si="10"/>
        <v>Rp. 254.510.831</v>
      </c>
      <c r="N76" s="3" t="str">
        <f t="shared" si="11"/>
        <v> 254.741.000</v>
      </c>
      <c r="O76" s="3" t="str">
        <f t="shared" si="12"/>
        <v> 254.510.831</v>
      </c>
      <c r="P76" s="3">
        <f t="shared" si="13"/>
        <v>254741000</v>
      </c>
      <c r="Q76" s="3">
        <f t="shared" si="14"/>
        <v>254510831</v>
      </c>
      <c r="R76" s="3">
        <f t="shared" si="15"/>
        <v>230169</v>
      </c>
    </row>
    <row r="77" spans="1:18">
      <c r="A77" s="2">
        <v>5495097</v>
      </c>
      <c r="B77" s="3" t="s">
        <v>159</v>
      </c>
      <c r="C77" s="3" t="s">
        <v>1</v>
      </c>
      <c r="D77" s="3" t="s">
        <v>2</v>
      </c>
      <c r="E77" s="3" t="s">
        <v>1033</v>
      </c>
      <c r="F77" s="3" t="s">
        <v>919</v>
      </c>
      <c r="G77" s="3" t="s">
        <v>1341</v>
      </c>
      <c r="H77" s="3" t="s">
        <v>3699</v>
      </c>
      <c r="I77" s="3" t="s">
        <v>1342</v>
      </c>
      <c r="J77" s="3">
        <f t="shared" si="8"/>
        <v>44</v>
      </c>
      <c r="K77" s="3">
        <f>IF(ISNUMBER(SEARCH("selesai",Sheet2!D77)-1),1,"")</f>
        <v>1</v>
      </c>
      <c r="L77" s="3" t="str">
        <f t="shared" si="9"/>
        <v>Rp. 1.628.307.000</v>
      </c>
      <c r="M77" s="3" t="str">
        <f t="shared" si="10"/>
        <v>Rp. 1.626.841.062</v>
      </c>
      <c r="N77" s="3" t="str">
        <f t="shared" si="11"/>
        <v> 1.628.307.000</v>
      </c>
      <c r="O77" s="3" t="str">
        <f t="shared" si="12"/>
        <v> 1.626.841.062</v>
      </c>
      <c r="P77" s="3">
        <f t="shared" si="13"/>
        <v>1628307000</v>
      </c>
      <c r="Q77" s="3">
        <f t="shared" si="14"/>
        <v>1626841062</v>
      </c>
      <c r="R77" s="3">
        <f t="shared" si="15"/>
        <v>1465938</v>
      </c>
    </row>
    <row r="78" spans="1:18">
      <c r="A78" s="2">
        <v>5494097</v>
      </c>
      <c r="B78" s="3" t="s">
        <v>160</v>
      </c>
      <c r="C78" s="3" t="s">
        <v>1</v>
      </c>
      <c r="D78" s="3" t="s">
        <v>2</v>
      </c>
      <c r="E78" s="3" t="s">
        <v>1033</v>
      </c>
      <c r="F78" s="3" t="s">
        <v>919</v>
      </c>
      <c r="G78" s="3" t="s">
        <v>1348</v>
      </c>
      <c r="H78" s="3" t="s">
        <v>3700</v>
      </c>
      <c r="I78" s="3" t="s">
        <v>905</v>
      </c>
      <c r="J78" s="3">
        <f t="shared" si="8"/>
        <v>31</v>
      </c>
      <c r="K78" s="3">
        <f>IF(ISNUMBER(SEARCH("selesai",Sheet2!D78)-1),1,"")</f>
        <v>1</v>
      </c>
      <c r="L78" s="3" t="str">
        <f t="shared" si="9"/>
        <v>Rp. 609.343.000</v>
      </c>
      <c r="M78" s="3" t="str">
        <f t="shared" si="10"/>
        <v>Rp. 608.776.544</v>
      </c>
      <c r="N78" s="3" t="str">
        <f t="shared" si="11"/>
        <v> 609.343.000</v>
      </c>
      <c r="O78" s="3" t="str">
        <f t="shared" si="12"/>
        <v> 608.776.544</v>
      </c>
      <c r="P78" s="3">
        <f t="shared" si="13"/>
        <v>609343000</v>
      </c>
      <c r="Q78" s="3">
        <f t="shared" si="14"/>
        <v>608776544</v>
      </c>
      <c r="R78" s="3">
        <f t="shared" si="15"/>
        <v>566456</v>
      </c>
    </row>
    <row r="79" spans="1:18">
      <c r="A79" s="2">
        <v>5493097</v>
      </c>
      <c r="B79" s="3" t="s">
        <v>162</v>
      </c>
      <c r="C79" s="3" t="s">
        <v>1</v>
      </c>
      <c r="D79" s="3" t="s">
        <v>2</v>
      </c>
      <c r="E79" s="3" t="s">
        <v>1033</v>
      </c>
      <c r="F79" s="3" t="s">
        <v>919</v>
      </c>
      <c r="G79" s="3" t="s">
        <v>1354</v>
      </c>
      <c r="H79" s="3" t="s">
        <v>3701</v>
      </c>
      <c r="I79" s="3" t="s">
        <v>1075</v>
      </c>
      <c r="J79" s="3">
        <f t="shared" si="8"/>
        <v>42</v>
      </c>
      <c r="K79" s="3">
        <f>IF(ISNUMBER(SEARCH("selesai",Sheet2!D79)-1),1,"")</f>
        <v>1</v>
      </c>
      <c r="L79" s="3" t="str">
        <f t="shared" si="9"/>
        <v>Rp. 908.926.000</v>
      </c>
      <c r="M79" s="3" t="str">
        <f t="shared" si="10"/>
        <v>Rp. 907.528.863</v>
      </c>
      <c r="N79" s="3" t="str">
        <f t="shared" si="11"/>
        <v> 908.926.000</v>
      </c>
      <c r="O79" s="3" t="str">
        <f t="shared" si="12"/>
        <v> 907.528.863</v>
      </c>
      <c r="P79" s="3">
        <f t="shared" si="13"/>
        <v>908926000</v>
      </c>
      <c r="Q79" s="3">
        <f t="shared" si="14"/>
        <v>907528863</v>
      </c>
      <c r="R79" s="3">
        <f t="shared" si="15"/>
        <v>1397137</v>
      </c>
    </row>
    <row r="80" spans="1:18">
      <c r="A80" s="2">
        <v>5492097</v>
      </c>
      <c r="B80" s="3" t="s">
        <v>164</v>
      </c>
      <c r="C80" s="3" t="s">
        <v>1</v>
      </c>
      <c r="D80" s="3" t="s">
        <v>2</v>
      </c>
      <c r="E80" s="3" t="s">
        <v>1033</v>
      </c>
      <c r="F80" s="3" t="s">
        <v>919</v>
      </c>
      <c r="G80" s="3" t="s">
        <v>1360</v>
      </c>
      <c r="H80" s="3" t="s">
        <v>3702</v>
      </c>
      <c r="I80" s="3" t="s">
        <v>1361</v>
      </c>
      <c r="J80" s="3">
        <f t="shared" si="8"/>
        <v>48</v>
      </c>
      <c r="K80" s="3">
        <f>IF(ISNUMBER(SEARCH("selesai",Sheet2!D80)-1),1,"")</f>
        <v>1</v>
      </c>
      <c r="L80" s="3" t="str">
        <f t="shared" si="9"/>
        <v>Rp. 3.372.113.000</v>
      </c>
      <c r="M80" s="3" t="str">
        <f t="shared" si="10"/>
        <v>Rp. 3.371.081.063</v>
      </c>
      <c r="N80" s="3" t="str">
        <f t="shared" si="11"/>
        <v> 3.372.113.000</v>
      </c>
      <c r="O80" s="3" t="str">
        <f t="shared" si="12"/>
        <v> 3.371.081.063</v>
      </c>
      <c r="P80" s="3">
        <f t="shared" si="13"/>
        <v>3372113000</v>
      </c>
      <c r="Q80" s="3">
        <f t="shared" si="14"/>
        <v>3371081063</v>
      </c>
      <c r="R80" s="3">
        <f t="shared" si="15"/>
        <v>1031937</v>
      </c>
    </row>
    <row r="81" spans="1:18">
      <c r="A81" s="2">
        <v>5491097</v>
      </c>
      <c r="B81" s="3" t="s">
        <v>166</v>
      </c>
      <c r="C81" s="3" t="s">
        <v>1</v>
      </c>
      <c r="D81" s="3" t="s">
        <v>2</v>
      </c>
      <c r="E81" s="3" t="s">
        <v>1033</v>
      </c>
      <c r="F81" s="3" t="s">
        <v>919</v>
      </c>
      <c r="G81" s="3" t="s">
        <v>1367</v>
      </c>
      <c r="H81" s="3" t="s">
        <v>3703</v>
      </c>
      <c r="I81" s="3" t="s">
        <v>1342</v>
      </c>
      <c r="J81" s="3">
        <f t="shared" si="8"/>
        <v>44</v>
      </c>
      <c r="K81" s="3">
        <f>IF(ISNUMBER(SEARCH("selesai",Sheet2!D81)-1),1,"")</f>
        <v>1</v>
      </c>
      <c r="L81" s="3" t="str">
        <f t="shared" si="9"/>
        <v>Rp. 1.538.623.000</v>
      </c>
      <c r="M81" s="3" t="str">
        <f t="shared" si="10"/>
        <v>Rp. 1.105.141.579</v>
      </c>
      <c r="N81" s="3" t="str">
        <f t="shared" si="11"/>
        <v> 1.538.623.000</v>
      </c>
      <c r="O81" s="3" t="str">
        <f t="shared" si="12"/>
        <v> 1.105.141.579</v>
      </c>
      <c r="P81" s="3">
        <f t="shared" si="13"/>
        <v>1538623000</v>
      </c>
      <c r="Q81" s="3">
        <f t="shared" si="14"/>
        <v>1105141579</v>
      </c>
      <c r="R81" s="3">
        <f t="shared" si="15"/>
        <v>433481421</v>
      </c>
    </row>
    <row r="82" spans="1:18">
      <c r="A82" s="2">
        <v>5490097</v>
      </c>
      <c r="B82" s="3" t="s">
        <v>167</v>
      </c>
      <c r="C82" s="3" t="s">
        <v>1</v>
      </c>
      <c r="D82" s="3" t="s">
        <v>2</v>
      </c>
      <c r="E82" s="3" t="s">
        <v>1033</v>
      </c>
      <c r="F82" s="3" t="s">
        <v>919</v>
      </c>
      <c r="G82" s="3" t="s">
        <v>1373</v>
      </c>
      <c r="H82" s="3" t="s">
        <v>3704</v>
      </c>
      <c r="I82" s="3" t="s">
        <v>1374</v>
      </c>
      <c r="J82" s="3">
        <f t="shared" si="8"/>
        <v>39</v>
      </c>
      <c r="K82" s="3">
        <f>IF(ISNUMBER(SEARCH("selesai",Sheet2!D82)-1),1,"")</f>
        <v>1</v>
      </c>
      <c r="L82" s="3" t="str">
        <f t="shared" si="9"/>
        <v>Rp. 1.894.506.000</v>
      </c>
      <c r="M82" s="3" t="str">
        <f t="shared" si="10"/>
        <v>Rp. 1.791.841.505</v>
      </c>
      <c r="N82" s="3" t="str">
        <f t="shared" si="11"/>
        <v> 1.894.506.000</v>
      </c>
      <c r="O82" s="3" t="str">
        <f t="shared" si="12"/>
        <v> 1.791.841.505</v>
      </c>
      <c r="P82" s="3">
        <f t="shared" si="13"/>
        <v>1894506000</v>
      </c>
      <c r="Q82" s="3">
        <f t="shared" si="14"/>
        <v>1791841505</v>
      </c>
      <c r="R82" s="3">
        <f t="shared" si="15"/>
        <v>102664495</v>
      </c>
    </row>
    <row r="83" spans="1:18">
      <c r="A83" s="2">
        <v>5488097</v>
      </c>
      <c r="B83" s="3" t="s">
        <v>169</v>
      </c>
      <c r="C83" s="3" t="s">
        <v>1</v>
      </c>
      <c r="D83" s="3" t="s">
        <v>2</v>
      </c>
      <c r="E83" s="3" t="s">
        <v>1033</v>
      </c>
      <c r="F83" s="3" t="s">
        <v>919</v>
      </c>
      <c r="G83" s="3" t="s">
        <v>1380</v>
      </c>
      <c r="H83" s="3" t="s">
        <v>3705</v>
      </c>
      <c r="I83" s="3" t="s">
        <v>994</v>
      </c>
      <c r="J83" s="3">
        <f t="shared" si="8"/>
        <v>26</v>
      </c>
      <c r="K83" s="3">
        <f>IF(ISNUMBER(SEARCH("selesai",Sheet2!D83)-1),1,"")</f>
        <v>1</v>
      </c>
      <c r="L83" s="3" t="str">
        <f t="shared" si="9"/>
        <v>Rp. 436.400.000</v>
      </c>
      <c r="M83" s="3" t="str">
        <f t="shared" si="10"/>
        <v>Rp. 435.815.888</v>
      </c>
      <c r="N83" s="3" t="str">
        <f t="shared" si="11"/>
        <v> 436.400.000</v>
      </c>
      <c r="O83" s="3" t="str">
        <f t="shared" si="12"/>
        <v> 435.815.888</v>
      </c>
      <c r="P83" s="3">
        <f t="shared" si="13"/>
        <v>436400000</v>
      </c>
      <c r="Q83" s="3">
        <f t="shared" si="14"/>
        <v>435815888</v>
      </c>
      <c r="R83" s="3">
        <f t="shared" si="15"/>
        <v>584112</v>
      </c>
    </row>
    <row r="84" spans="1:18">
      <c r="A84" s="2">
        <v>5487097</v>
      </c>
      <c r="B84" s="3" t="s">
        <v>171</v>
      </c>
      <c r="C84" s="3" t="s">
        <v>1</v>
      </c>
      <c r="D84" s="3" t="s">
        <v>2</v>
      </c>
      <c r="E84" s="3" t="s">
        <v>1033</v>
      </c>
      <c r="F84" s="3" t="s">
        <v>919</v>
      </c>
      <c r="G84" s="3" t="s">
        <v>1386</v>
      </c>
      <c r="H84" s="3" t="s">
        <v>3706</v>
      </c>
      <c r="I84" s="3" t="s">
        <v>918</v>
      </c>
      <c r="J84" s="3">
        <f t="shared" si="8"/>
        <v>19</v>
      </c>
      <c r="K84" s="3">
        <f>IF(ISNUMBER(SEARCH("selesai",Sheet2!D84)-1),1,"")</f>
        <v>1</v>
      </c>
      <c r="L84" s="3" t="str">
        <f t="shared" si="9"/>
        <v>Rp. 349.120.000</v>
      </c>
      <c r="M84" s="3" t="str">
        <f t="shared" si="10"/>
        <v>Rp. 348.649.726</v>
      </c>
      <c r="N84" s="3" t="str">
        <f t="shared" si="11"/>
        <v> 349.120.000</v>
      </c>
      <c r="O84" s="3" t="str">
        <f t="shared" si="12"/>
        <v> 348.649.726</v>
      </c>
      <c r="P84" s="3">
        <f t="shared" si="13"/>
        <v>349120000</v>
      </c>
      <c r="Q84" s="3">
        <f t="shared" si="14"/>
        <v>348649726</v>
      </c>
      <c r="R84" s="3">
        <f t="shared" si="15"/>
        <v>470274</v>
      </c>
    </row>
    <row r="85" spans="1:18">
      <c r="A85" s="2">
        <v>5486097</v>
      </c>
      <c r="B85" s="3" t="s">
        <v>173</v>
      </c>
      <c r="C85" s="3" t="s">
        <v>1</v>
      </c>
      <c r="D85" s="3" t="s">
        <v>2</v>
      </c>
      <c r="E85" s="3" t="s">
        <v>876</v>
      </c>
      <c r="F85" s="3" t="s">
        <v>875</v>
      </c>
      <c r="G85" s="3" t="s">
        <v>1392</v>
      </c>
      <c r="H85" s="3" t="s">
        <v>3707</v>
      </c>
      <c r="I85" s="3" t="s">
        <v>1096</v>
      </c>
      <c r="J85" s="3">
        <f t="shared" si="8"/>
        <v>28</v>
      </c>
      <c r="K85" s="3">
        <f>IF(ISNUMBER(SEARCH("selesai",Sheet2!D85)-1),1,"")</f>
        <v>1</v>
      </c>
      <c r="L85" s="3" t="str">
        <f t="shared" si="9"/>
        <v>Rp. 301.400.000</v>
      </c>
      <c r="M85" s="3" t="str">
        <f t="shared" si="10"/>
        <v>Rp. 301.399.990</v>
      </c>
      <c r="N85" s="3" t="str">
        <f t="shared" si="11"/>
        <v> 301.400.000</v>
      </c>
      <c r="O85" s="3" t="str">
        <f t="shared" si="12"/>
        <v> 301.399.990</v>
      </c>
      <c r="P85" s="3">
        <f t="shared" si="13"/>
        <v>301400000</v>
      </c>
      <c r="Q85" s="3">
        <f t="shared" si="14"/>
        <v>301399990</v>
      </c>
      <c r="R85" s="3">
        <f t="shared" si="15"/>
        <v>10</v>
      </c>
    </row>
    <row r="86" spans="1:18">
      <c r="A86" s="2">
        <v>5484097</v>
      </c>
      <c r="B86" s="3" t="s">
        <v>176</v>
      </c>
      <c r="C86" s="3" t="s">
        <v>149</v>
      </c>
      <c r="D86" s="3" t="s">
        <v>2</v>
      </c>
      <c r="E86" s="3" t="s">
        <v>1312</v>
      </c>
      <c r="F86" s="3" t="s">
        <v>919</v>
      </c>
      <c r="G86" s="3" t="s">
        <v>1398</v>
      </c>
      <c r="H86" s="3" t="s">
        <v>3708</v>
      </c>
      <c r="I86" s="3" t="s">
        <v>1399</v>
      </c>
      <c r="J86" s="3">
        <f t="shared" si="8"/>
        <v>76</v>
      </c>
      <c r="K86" s="3">
        <f>IF(ISNUMBER(SEARCH("selesai",Sheet2!D86)-1),1,"")</f>
        <v>1</v>
      </c>
      <c r="L86" s="3" t="str">
        <f t="shared" si="9"/>
        <v>Rp. 1.320.000.000</v>
      </c>
      <c r="M86" s="3" t="str">
        <f t="shared" si="10"/>
        <v>Rp. 1.319.896.345</v>
      </c>
      <c r="N86" s="3" t="str">
        <f t="shared" si="11"/>
        <v> 1.320.000.000</v>
      </c>
      <c r="O86" s="3" t="str">
        <f t="shared" si="12"/>
        <v> 1.319.896.345</v>
      </c>
      <c r="P86" s="3">
        <f t="shared" si="13"/>
        <v>1320000000</v>
      </c>
      <c r="Q86" s="3">
        <f t="shared" si="14"/>
        <v>1319896345</v>
      </c>
      <c r="R86" s="3">
        <f t="shared" si="15"/>
        <v>103655</v>
      </c>
    </row>
    <row r="87" spans="1:18">
      <c r="A87" s="2">
        <v>5482097</v>
      </c>
      <c r="B87" s="3" t="s">
        <v>177</v>
      </c>
      <c r="C87" s="3" t="s">
        <v>1</v>
      </c>
      <c r="D87" s="3" t="s">
        <v>2</v>
      </c>
      <c r="E87" s="3" t="s">
        <v>876</v>
      </c>
      <c r="F87" s="3" t="s">
        <v>875</v>
      </c>
      <c r="G87" s="3" t="s">
        <v>1405</v>
      </c>
      <c r="H87" s="3" t="s">
        <v>3709</v>
      </c>
      <c r="I87" s="3" t="s">
        <v>1001</v>
      </c>
      <c r="J87" s="3">
        <f t="shared" si="8"/>
        <v>27</v>
      </c>
      <c r="K87" s="3">
        <f>IF(ISNUMBER(SEARCH("selesai",Sheet2!D87)-1),1,"")</f>
        <v>1</v>
      </c>
      <c r="L87" s="3" t="str">
        <f t="shared" si="9"/>
        <v>Rp. 1.333.292.542</v>
      </c>
      <c r="M87" s="3" t="str">
        <f t="shared" si="10"/>
        <v>Rp. 1.333.292.000</v>
      </c>
      <c r="N87" s="3" t="str">
        <f t="shared" si="11"/>
        <v> 1.333.292.542</v>
      </c>
      <c r="O87" s="3" t="str">
        <f t="shared" si="12"/>
        <v> 1.333.292.000</v>
      </c>
      <c r="P87" s="3">
        <f t="shared" si="13"/>
        <v>1333292542</v>
      </c>
      <c r="Q87" s="3">
        <f t="shared" si="14"/>
        <v>1333292000</v>
      </c>
      <c r="R87" s="3">
        <f t="shared" si="15"/>
        <v>542</v>
      </c>
    </row>
    <row r="88" spans="1:18">
      <c r="A88" s="2">
        <v>5481097</v>
      </c>
      <c r="B88" s="3" t="s">
        <v>179</v>
      </c>
      <c r="C88" s="3" t="s">
        <v>1</v>
      </c>
      <c r="D88" s="3" t="s">
        <v>2</v>
      </c>
      <c r="E88" s="3" t="s">
        <v>876</v>
      </c>
      <c r="F88" s="3" t="s">
        <v>919</v>
      </c>
      <c r="G88" s="3" t="s">
        <v>1411</v>
      </c>
      <c r="H88" s="3" t="s">
        <v>3710</v>
      </c>
      <c r="I88" s="3" t="s">
        <v>1412</v>
      </c>
      <c r="J88" s="3">
        <f t="shared" si="8"/>
        <v>50</v>
      </c>
      <c r="K88" s="3">
        <f>IF(ISNUMBER(SEARCH("selesai",Sheet2!D88)-1),1,"")</f>
        <v>1</v>
      </c>
      <c r="L88" s="3" t="str">
        <f t="shared" si="9"/>
        <v>Rp. 35.000.000.000</v>
      </c>
      <c r="M88" s="3" t="str">
        <f t="shared" si="10"/>
        <v>Rp. 19.180.476.971</v>
      </c>
      <c r="N88" s="3" t="str">
        <f t="shared" si="11"/>
        <v> 35.000.000.000</v>
      </c>
      <c r="O88" s="3" t="str">
        <f t="shared" si="12"/>
        <v> 19.180.476.971</v>
      </c>
      <c r="P88" s="3">
        <f t="shared" si="13"/>
        <v>35000000000</v>
      </c>
      <c r="Q88" s="3">
        <f t="shared" si="14"/>
        <v>19180476971</v>
      </c>
      <c r="R88" s="3">
        <f t="shared" si="15"/>
        <v>15819523029</v>
      </c>
    </row>
    <row r="89" spans="1:18">
      <c r="A89" s="2">
        <v>5477097</v>
      </c>
      <c r="B89" s="3" t="s">
        <v>181</v>
      </c>
      <c r="C89" s="3" t="s">
        <v>1</v>
      </c>
      <c r="D89" s="3" t="s">
        <v>2</v>
      </c>
      <c r="E89" s="3" t="s">
        <v>876</v>
      </c>
      <c r="F89" s="3" t="s">
        <v>875</v>
      </c>
      <c r="G89" s="3" t="s">
        <v>1418</v>
      </c>
      <c r="H89" s="3" t="s">
        <v>3711</v>
      </c>
      <c r="I89" s="3" t="s">
        <v>898</v>
      </c>
      <c r="J89" s="3">
        <f t="shared" si="8"/>
        <v>35</v>
      </c>
      <c r="K89" s="3">
        <f>IF(ISNUMBER(SEARCH("selesai",Sheet2!D89)-1),1,"")</f>
        <v>1</v>
      </c>
      <c r="L89" s="3" t="str">
        <f t="shared" si="9"/>
        <v>Rp. 342.440.000</v>
      </c>
      <c r="M89" s="3" t="str">
        <f t="shared" si="10"/>
        <v>Rp. 342.439.900</v>
      </c>
      <c r="N89" s="3" t="str">
        <f t="shared" si="11"/>
        <v> 342.440.000</v>
      </c>
      <c r="O89" s="3" t="str">
        <f t="shared" si="12"/>
        <v> 342.439.900</v>
      </c>
      <c r="P89" s="3">
        <f t="shared" si="13"/>
        <v>342440000</v>
      </c>
      <c r="Q89" s="3">
        <f t="shared" si="14"/>
        <v>342439900</v>
      </c>
      <c r="R89" s="3">
        <f t="shared" si="15"/>
        <v>100</v>
      </c>
    </row>
    <row r="90" spans="1:18">
      <c r="A90" s="2">
        <v>5476097</v>
      </c>
      <c r="B90" s="3" t="s">
        <v>183</v>
      </c>
      <c r="C90" s="3" t="s">
        <v>1</v>
      </c>
      <c r="D90" s="3" t="s">
        <v>7</v>
      </c>
      <c r="E90" s="3" t="s">
        <v>876</v>
      </c>
      <c r="F90" s="3" t="s">
        <v>919</v>
      </c>
      <c r="G90" s="3" t="s">
        <v>939</v>
      </c>
      <c r="H90" s="3" t="s">
        <v>3651</v>
      </c>
      <c r="I90" s="3" t="s">
        <v>1424</v>
      </c>
      <c r="J90" s="3">
        <f t="shared" si="8"/>
        <v>60</v>
      </c>
      <c r="K90" s="3" t="str">
        <f>IF(ISNUMBER(SEARCH("selesai",Sheet2!D90)-1),1,"")</f>
        <v/>
      </c>
      <c r="L90" s="3" t="str">
        <f t="shared" si="9"/>
        <v>Rp. 7.000.000.000</v>
      </c>
      <c r="M90" s="3" t="str">
        <f t="shared" si="10"/>
        <v>Rp. 6.995.454.441</v>
      </c>
      <c r="N90" s="3" t="str">
        <f t="shared" si="11"/>
        <v> 7.000.000.000</v>
      </c>
      <c r="O90" s="3" t="str">
        <f t="shared" si="12"/>
        <v> 6.995.454.441</v>
      </c>
      <c r="P90" s="3">
        <f t="shared" si="13"/>
        <v>7000000000</v>
      </c>
      <c r="Q90" s="3">
        <f t="shared" si="14"/>
        <v>6995454441</v>
      </c>
      <c r="R90" s="3">
        <f t="shared" si="15"/>
        <v>4545559</v>
      </c>
    </row>
    <row r="91" spans="1:18">
      <c r="A91" s="2">
        <v>5475097</v>
      </c>
      <c r="B91" s="3" t="s">
        <v>144</v>
      </c>
      <c r="C91" s="3" t="s">
        <v>1</v>
      </c>
      <c r="D91" s="3" t="s">
        <v>7</v>
      </c>
      <c r="E91" s="3" t="s">
        <v>876</v>
      </c>
      <c r="F91" s="3" t="s">
        <v>919</v>
      </c>
      <c r="G91" s="3" t="s">
        <v>1297</v>
      </c>
      <c r="H91" s="3" t="s">
        <v>3692</v>
      </c>
      <c r="I91" s="3" t="s">
        <v>1430</v>
      </c>
      <c r="J91" s="3">
        <f t="shared" si="8"/>
        <v>56</v>
      </c>
      <c r="K91" s="3" t="str">
        <f>IF(ISNUMBER(SEARCH("selesai",Sheet2!D91)-1),1,"")</f>
        <v/>
      </c>
      <c r="L91" s="3" t="str">
        <f t="shared" si="9"/>
        <v>Rp. 2.000.000.000</v>
      </c>
      <c r="M91" s="3" t="str">
        <f t="shared" si="10"/>
        <v>Rp. 1.999.511.127</v>
      </c>
      <c r="N91" s="3" t="str">
        <f t="shared" si="11"/>
        <v> 2.000.000.000</v>
      </c>
      <c r="O91" s="3" t="str">
        <f t="shared" si="12"/>
        <v> 1.999.511.127</v>
      </c>
      <c r="P91" s="3">
        <f t="shared" si="13"/>
        <v>2000000000</v>
      </c>
      <c r="Q91" s="3">
        <f t="shared" si="14"/>
        <v>1999511127</v>
      </c>
      <c r="R91" s="3">
        <f t="shared" si="15"/>
        <v>488873</v>
      </c>
    </row>
    <row r="92" spans="1:18">
      <c r="A92" s="2">
        <v>5474097</v>
      </c>
      <c r="B92" s="3" t="s">
        <v>184</v>
      </c>
      <c r="C92" s="3" t="s">
        <v>1</v>
      </c>
      <c r="D92" s="3" t="s">
        <v>2</v>
      </c>
      <c r="E92" s="3" t="s">
        <v>876</v>
      </c>
      <c r="F92" s="3" t="s">
        <v>1097</v>
      </c>
      <c r="G92" s="3" t="s">
        <v>1436</v>
      </c>
      <c r="H92" s="3" t="s">
        <v>3712</v>
      </c>
      <c r="I92" s="3" t="s">
        <v>1235</v>
      </c>
      <c r="J92" s="3">
        <f t="shared" si="8"/>
        <v>14</v>
      </c>
      <c r="K92" s="3">
        <f>IF(ISNUMBER(SEARCH("selesai",Sheet2!D92)-1),1,"")</f>
        <v>1</v>
      </c>
      <c r="L92" s="3" t="str">
        <f t="shared" si="9"/>
        <v>Rp. 259.870.500</v>
      </c>
      <c r="M92" s="3" t="str">
        <f t="shared" si="10"/>
        <v>Rp. 259.864.000</v>
      </c>
      <c r="N92" s="3" t="str">
        <f t="shared" si="11"/>
        <v> 259.870.500</v>
      </c>
      <c r="O92" s="3" t="str">
        <f t="shared" si="12"/>
        <v> 259.864.000</v>
      </c>
      <c r="P92" s="3">
        <f t="shared" si="13"/>
        <v>259870500</v>
      </c>
      <c r="Q92" s="3">
        <f t="shared" si="14"/>
        <v>259864000</v>
      </c>
      <c r="R92" s="3">
        <f t="shared" si="15"/>
        <v>6500</v>
      </c>
    </row>
    <row r="93" spans="1:18">
      <c r="A93" s="2">
        <v>5473097</v>
      </c>
      <c r="B93" s="3" t="s">
        <v>186</v>
      </c>
      <c r="C93" s="3" t="s">
        <v>1</v>
      </c>
      <c r="D93" s="3" t="s">
        <v>2</v>
      </c>
      <c r="E93" s="3" t="s">
        <v>876</v>
      </c>
      <c r="F93" s="3" t="s">
        <v>1026</v>
      </c>
      <c r="G93" s="3" t="s">
        <v>1442</v>
      </c>
      <c r="H93" s="3" t="s">
        <v>3713</v>
      </c>
      <c r="I93" s="3" t="s">
        <v>1443</v>
      </c>
      <c r="J93" s="3">
        <f t="shared" si="8"/>
        <v>12</v>
      </c>
      <c r="K93" s="3">
        <f>IF(ISNUMBER(SEARCH("selesai",Sheet2!D93)-1),1,"")</f>
        <v>1</v>
      </c>
      <c r="L93" s="3" t="str">
        <f t="shared" si="9"/>
        <v>Rp. 390.000.000</v>
      </c>
      <c r="M93" s="3" t="str">
        <f t="shared" si="10"/>
        <v>Rp. 389.946.700</v>
      </c>
      <c r="N93" s="3" t="str">
        <f t="shared" si="11"/>
        <v> 390.000.000</v>
      </c>
      <c r="O93" s="3" t="str">
        <f t="shared" si="12"/>
        <v> 389.946.700</v>
      </c>
      <c r="P93" s="3">
        <f t="shared" si="13"/>
        <v>390000000</v>
      </c>
      <c r="Q93" s="3">
        <f t="shared" si="14"/>
        <v>389946700</v>
      </c>
      <c r="R93" s="3">
        <f t="shared" si="15"/>
        <v>53300</v>
      </c>
    </row>
    <row r="94" spans="1:18">
      <c r="A94" s="2">
        <v>5472097</v>
      </c>
      <c r="B94" s="3" t="s">
        <v>189</v>
      </c>
      <c r="C94" s="3" t="s">
        <v>1</v>
      </c>
      <c r="D94" s="3" t="s">
        <v>76</v>
      </c>
      <c r="E94" s="3" t="s">
        <v>876</v>
      </c>
      <c r="F94" s="3" t="s">
        <v>1097</v>
      </c>
      <c r="G94" s="3" t="s">
        <v>1114</v>
      </c>
      <c r="H94" s="3" t="s">
        <v>3714</v>
      </c>
      <c r="I94" s="3" t="s">
        <v>966</v>
      </c>
      <c r="J94" s="3">
        <f t="shared" si="8"/>
        <v>25</v>
      </c>
      <c r="K94" s="3" t="str">
        <f>IF(ISNUMBER(SEARCH("selesai",Sheet2!D94)-1),1,"")</f>
        <v/>
      </c>
      <c r="L94" s="3" t="str">
        <f t="shared" si="9"/>
        <v>Rp. 250.000.000</v>
      </c>
      <c r="M94" s="3" t="str">
        <f t="shared" si="10"/>
        <v>Rp. 151.085.000</v>
      </c>
      <c r="N94" s="3" t="str">
        <f t="shared" si="11"/>
        <v> 250.000.000</v>
      </c>
      <c r="O94" s="3" t="str">
        <f t="shared" si="12"/>
        <v> 151.085.000</v>
      </c>
      <c r="P94" s="3">
        <f t="shared" si="13"/>
        <v>250000000</v>
      </c>
      <c r="Q94" s="3">
        <f t="shared" si="14"/>
        <v>151085000</v>
      </c>
      <c r="R94" s="3">
        <f t="shared" si="15"/>
        <v>98915000</v>
      </c>
    </row>
    <row r="95" spans="1:18">
      <c r="A95" s="2">
        <v>5471097</v>
      </c>
      <c r="B95" s="3" t="s">
        <v>191</v>
      </c>
      <c r="C95" s="3" t="s">
        <v>1</v>
      </c>
      <c r="D95" s="3" t="s">
        <v>2</v>
      </c>
      <c r="E95" s="3" t="s">
        <v>876</v>
      </c>
      <c r="F95" s="3" t="s">
        <v>919</v>
      </c>
      <c r="G95" s="3" t="s">
        <v>1454</v>
      </c>
      <c r="H95" s="3" t="s">
        <v>3715</v>
      </c>
      <c r="I95" s="3" t="s">
        <v>1455</v>
      </c>
      <c r="J95" s="3">
        <f t="shared" si="8"/>
        <v>93</v>
      </c>
      <c r="K95" s="3">
        <f>IF(ISNUMBER(SEARCH("selesai",Sheet2!D95)-1),1,"")</f>
        <v>1</v>
      </c>
      <c r="L95" s="3" t="str">
        <f t="shared" si="9"/>
        <v>Rp. 12.500.000.000</v>
      </c>
      <c r="M95" s="3" t="str">
        <f t="shared" si="10"/>
        <v>Rp. 7.999.939.750</v>
      </c>
      <c r="N95" s="3" t="str">
        <f t="shared" si="11"/>
        <v> 12.500.000.000</v>
      </c>
      <c r="O95" s="3" t="str">
        <f t="shared" si="12"/>
        <v> 7.999.939.750</v>
      </c>
      <c r="P95" s="3">
        <f t="shared" si="13"/>
        <v>12500000000</v>
      </c>
      <c r="Q95" s="3">
        <f t="shared" si="14"/>
        <v>7999939750</v>
      </c>
      <c r="R95" s="3">
        <f t="shared" si="15"/>
        <v>4500060250</v>
      </c>
    </row>
    <row r="96" spans="1:18">
      <c r="A96" s="2">
        <v>5470097</v>
      </c>
      <c r="B96" s="3" t="s">
        <v>193</v>
      </c>
      <c r="C96" s="3" t="s">
        <v>1</v>
      </c>
      <c r="D96" s="3" t="s">
        <v>2</v>
      </c>
      <c r="E96" s="3" t="s">
        <v>876</v>
      </c>
      <c r="F96" s="3" t="s">
        <v>919</v>
      </c>
      <c r="G96" s="3" t="s">
        <v>1461</v>
      </c>
      <c r="H96" s="3" t="s">
        <v>3716</v>
      </c>
      <c r="I96" s="3" t="s">
        <v>1462</v>
      </c>
      <c r="J96" s="3">
        <f t="shared" si="8"/>
        <v>41</v>
      </c>
      <c r="K96" s="3">
        <f>IF(ISNUMBER(SEARCH("selesai",Sheet2!D96)-1),1,"")</f>
        <v>1</v>
      </c>
      <c r="L96" s="3" t="str">
        <f t="shared" si="9"/>
        <v>Rp. 13.323.610.000</v>
      </c>
      <c r="M96" s="3" t="str">
        <f t="shared" si="10"/>
        <v>Rp. 10.387.842.706</v>
      </c>
      <c r="N96" s="3" t="str">
        <f t="shared" si="11"/>
        <v> 13.323.610.000</v>
      </c>
      <c r="O96" s="3" t="str">
        <f t="shared" si="12"/>
        <v> 10.387.842.706</v>
      </c>
      <c r="P96" s="3">
        <f t="shared" si="13"/>
        <v>13323610000</v>
      </c>
      <c r="Q96" s="3">
        <f t="shared" si="14"/>
        <v>10387842706</v>
      </c>
      <c r="R96" s="3">
        <f t="shared" si="15"/>
        <v>2935767294</v>
      </c>
    </row>
    <row r="97" spans="1:18">
      <c r="A97" s="2">
        <v>5468097</v>
      </c>
      <c r="B97" s="3" t="s">
        <v>196</v>
      </c>
      <c r="C97" s="3" t="s">
        <v>1</v>
      </c>
      <c r="D97" s="3" t="s">
        <v>7</v>
      </c>
      <c r="E97" s="3" t="s">
        <v>876</v>
      </c>
      <c r="F97" s="3" t="s">
        <v>875</v>
      </c>
      <c r="G97" s="3" t="s">
        <v>883</v>
      </c>
      <c r="H97" s="3" t="s">
        <v>3654</v>
      </c>
      <c r="I97" s="3" t="s">
        <v>884</v>
      </c>
      <c r="J97" s="3">
        <f t="shared" si="8"/>
        <v>7</v>
      </c>
      <c r="K97" s="3" t="str">
        <f>IF(ISNUMBER(SEARCH("selesai",Sheet2!D97)-1),1,"")</f>
        <v/>
      </c>
      <c r="L97" s="3" t="str">
        <f t="shared" si="9"/>
        <v>Rp. 363.200.000</v>
      </c>
      <c r="M97" s="3" t="str">
        <f t="shared" si="10"/>
        <v>Rp. 362.560.000</v>
      </c>
      <c r="N97" s="3" t="str">
        <f t="shared" si="11"/>
        <v> 363.200.000</v>
      </c>
      <c r="O97" s="3" t="str">
        <f t="shared" si="12"/>
        <v> 362.560.000</v>
      </c>
      <c r="P97" s="3">
        <f t="shared" si="13"/>
        <v>363200000</v>
      </c>
      <c r="Q97" s="3">
        <f t="shared" si="14"/>
        <v>362560000</v>
      </c>
      <c r="R97" s="3">
        <f t="shared" si="15"/>
        <v>640000</v>
      </c>
    </row>
    <row r="98" spans="1:18">
      <c r="A98" s="2">
        <v>5464097</v>
      </c>
      <c r="B98" s="3" t="s">
        <v>197</v>
      </c>
      <c r="C98" s="3" t="s">
        <v>1</v>
      </c>
      <c r="D98" s="3" t="s">
        <v>2</v>
      </c>
      <c r="E98" s="3" t="s">
        <v>876</v>
      </c>
      <c r="F98" s="3" t="s">
        <v>875</v>
      </c>
      <c r="G98" s="3" t="s">
        <v>1473</v>
      </c>
      <c r="H98" s="3" t="s">
        <v>3717</v>
      </c>
      <c r="I98" s="3" t="s">
        <v>1474</v>
      </c>
      <c r="J98" s="3">
        <f t="shared" si="8"/>
        <v>33</v>
      </c>
      <c r="K98" s="3">
        <f>IF(ISNUMBER(SEARCH("selesai",Sheet2!D98)-1),1,"")</f>
        <v>1</v>
      </c>
      <c r="L98" s="3" t="str">
        <f t="shared" si="9"/>
        <v>Rp. 2.287.800.000</v>
      </c>
      <c r="M98" s="3" t="str">
        <f t="shared" si="10"/>
        <v>Rp. 2.227.509.700</v>
      </c>
      <c r="N98" s="3" t="str">
        <f t="shared" si="11"/>
        <v> 2.287.800.000</v>
      </c>
      <c r="O98" s="3" t="str">
        <f t="shared" si="12"/>
        <v> 2.227.509.700</v>
      </c>
      <c r="P98" s="3">
        <f t="shared" si="13"/>
        <v>2287800000</v>
      </c>
      <c r="Q98" s="3">
        <f t="shared" si="14"/>
        <v>2227509700</v>
      </c>
      <c r="R98" s="3">
        <f t="shared" si="15"/>
        <v>60290300</v>
      </c>
    </row>
    <row r="99" spans="1:18">
      <c r="A99" s="2">
        <v>5463097</v>
      </c>
      <c r="B99" s="3" t="s">
        <v>199</v>
      </c>
      <c r="C99" s="3" t="s">
        <v>1</v>
      </c>
      <c r="D99" s="3" t="s">
        <v>2</v>
      </c>
      <c r="E99" s="3" t="s">
        <v>876</v>
      </c>
      <c r="F99" s="3" t="s">
        <v>919</v>
      </c>
      <c r="G99" s="3" t="s">
        <v>1480</v>
      </c>
      <c r="H99" s="3" t="s">
        <v>3718</v>
      </c>
      <c r="I99" s="3" t="s">
        <v>1268</v>
      </c>
      <c r="J99" s="3">
        <f t="shared" si="8"/>
        <v>17</v>
      </c>
      <c r="K99" s="3">
        <f>IF(ISNUMBER(SEARCH("selesai",Sheet2!D99)-1),1,"")</f>
        <v>1</v>
      </c>
      <c r="L99" s="3" t="str">
        <f t="shared" si="9"/>
        <v>Rp. 448.792.000</v>
      </c>
      <c r="M99" s="3" t="str">
        <f t="shared" si="10"/>
        <v>Rp. 447.874.245</v>
      </c>
      <c r="N99" s="3" t="str">
        <f t="shared" si="11"/>
        <v> 448.792.000</v>
      </c>
      <c r="O99" s="3" t="str">
        <f t="shared" si="12"/>
        <v> 447.874.245</v>
      </c>
      <c r="P99" s="3">
        <f t="shared" si="13"/>
        <v>448792000</v>
      </c>
      <c r="Q99" s="3">
        <f t="shared" si="14"/>
        <v>447874245</v>
      </c>
      <c r="R99" s="3">
        <f t="shared" si="15"/>
        <v>917755</v>
      </c>
    </row>
    <row r="100" spans="1:18">
      <c r="A100" s="2">
        <v>5462097</v>
      </c>
      <c r="B100" s="3" t="s">
        <v>201</v>
      </c>
      <c r="C100" s="3" t="s">
        <v>1</v>
      </c>
      <c r="D100" s="3" t="s">
        <v>2</v>
      </c>
      <c r="E100" s="3" t="s">
        <v>876</v>
      </c>
      <c r="F100" s="3" t="s">
        <v>919</v>
      </c>
      <c r="G100" s="3" t="s">
        <v>1480</v>
      </c>
      <c r="H100" s="3" t="s">
        <v>3719</v>
      </c>
      <c r="I100" s="3" t="s">
        <v>1268</v>
      </c>
      <c r="J100" s="3">
        <f t="shared" si="8"/>
        <v>17</v>
      </c>
      <c r="K100" s="3">
        <f>IF(ISNUMBER(SEARCH("selesai",Sheet2!D100)-1),1,"")</f>
        <v>1</v>
      </c>
      <c r="L100" s="3" t="str">
        <f t="shared" si="9"/>
        <v>Rp. 448.792.000</v>
      </c>
      <c r="M100" s="3" t="str">
        <f t="shared" si="10"/>
        <v>Rp. 447.218.117</v>
      </c>
      <c r="N100" s="3" t="str">
        <f t="shared" si="11"/>
        <v> 448.792.000</v>
      </c>
      <c r="O100" s="3" t="str">
        <f t="shared" si="12"/>
        <v> 447.218.117</v>
      </c>
      <c r="P100" s="3">
        <f t="shared" si="13"/>
        <v>448792000</v>
      </c>
      <c r="Q100" s="3">
        <f t="shared" si="14"/>
        <v>447218117</v>
      </c>
      <c r="R100" s="3">
        <f t="shared" si="15"/>
        <v>1573883</v>
      </c>
    </row>
    <row r="101" spans="1:18">
      <c r="A101" s="2">
        <v>5461097</v>
      </c>
      <c r="B101" s="3" t="s">
        <v>203</v>
      </c>
      <c r="C101" s="3" t="s">
        <v>1</v>
      </c>
      <c r="D101" s="3" t="s">
        <v>2</v>
      </c>
      <c r="E101" s="3" t="s">
        <v>876</v>
      </c>
      <c r="F101" s="3" t="s">
        <v>1097</v>
      </c>
      <c r="G101" s="3" t="s">
        <v>1491</v>
      </c>
      <c r="H101" s="3" t="s">
        <v>3720</v>
      </c>
      <c r="I101" s="3" t="s">
        <v>1492</v>
      </c>
      <c r="J101" s="3">
        <f t="shared" si="8"/>
        <v>13</v>
      </c>
      <c r="K101" s="3">
        <f>IF(ISNUMBER(SEARCH("selesai",Sheet2!D101)-1),1,"")</f>
        <v>1</v>
      </c>
      <c r="L101" s="3" t="str">
        <f t="shared" si="9"/>
        <v>Rp. 150.000.000</v>
      </c>
      <c r="M101" s="3" t="str">
        <f t="shared" si="10"/>
        <v>Rp. 136.730.000</v>
      </c>
      <c r="N101" s="3" t="str">
        <f t="shared" si="11"/>
        <v> 150.000.000</v>
      </c>
      <c r="O101" s="3" t="str">
        <f t="shared" si="12"/>
        <v> 136.730.000</v>
      </c>
      <c r="P101" s="3">
        <f t="shared" si="13"/>
        <v>150000000</v>
      </c>
      <c r="Q101" s="3">
        <f t="shared" si="14"/>
        <v>136730000</v>
      </c>
      <c r="R101" s="3">
        <f t="shared" si="15"/>
        <v>13270000</v>
      </c>
    </row>
    <row r="102" spans="1:18">
      <c r="A102" s="2">
        <v>5460097</v>
      </c>
      <c r="B102" s="3" t="s">
        <v>205</v>
      </c>
      <c r="C102" s="3" t="s">
        <v>1</v>
      </c>
      <c r="D102" s="3" t="s">
        <v>2</v>
      </c>
      <c r="E102" s="3" t="s">
        <v>876</v>
      </c>
      <c r="F102" s="3" t="s">
        <v>1097</v>
      </c>
      <c r="G102" s="3" t="s">
        <v>1103</v>
      </c>
      <c r="H102" s="3" t="s">
        <v>3721</v>
      </c>
      <c r="I102" s="3" t="s">
        <v>1056</v>
      </c>
      <c r="J102" s="3">
        <f t="shared" si="8"/>
        <v>11</v>
      </c>
      <c r="K102" s="3">
        <f>IF(ISNUMBER(SEARCH("selesai",Sheet2!D102)-1),1,"")</f>
        <v>1</v>
      </c>
      <c r="L102" s="3" t="str">
        <f t="shared" si="9"/>
        <v>Rp. 200.000.000</v>
      </c>
      <c r="M102" s="3" t="str">
        <f t="shared" si="10"/>
        <v>Rp. 168.410.000</v>
      </c>
      <c r="N102" s="3" t="str">
        <f t="shared" si="11"/>
        <v> 200.000.000</v>
      </c>
      <c r="O102" s="3" t="str">
        <f t="shared" si="12"/>
        <v> 168.410.000</v>
      </c>
      <c r="P102" s="3">
        <f t="shared" si="13"/>
        <v>200000000</v>
      </c>
      <c r="Q102" s="3">
        <f t="shared" si="14"/>
        <v>168410000</v>
      </c>
      <c r="R102" s="3">
        <f t="shared" si="15"/>
        <v>31590000</v>
      </c>
    </row>
    <row r="103" spans="1:18">
      <c r="A103" s="2">
        <v>5459097</v>
      </c>
      <c r="B103" s="3" t="s">
        <v>207</v>
      </c>
      <c r="C103" s="3" t="s">
        <v>1</v>
      </c>
      <c r="D103" s="3" t="s">
        <v>2</v>
      </c>
      <c r="E103" s="3" t="s">
        <v>1033</v>
      </c>
      <c r="F103" s="3" t="s">
        <v>875</v>
      </c>
      <c r="G103" s="3" t="s">
        <v>1503</v>
      </c>
      <c r="H103" s="3" t="s">
        <v>3722</v>
      </c>
      <c r="I103" s="3" t="s">
        <v>994</v>
      </c>
      <c r="J103" s="3">
        <f t="shared" si="8"/>
        <v>26</v>
      </c>
      <c r="K103" s="3">
        <f>IF(ISNUMBER(SEARCH("selesai",Sheet2!D103)-1),1,"")</f>
        <v>1</v>
      </c>
      <c r="L103" s="3" t="str">
        <f t="shared" si="9"/>
        <v>Rp. 450.000.000</v>
      </c>
      <c r="M103" s="3" t="str">
        <f t="shared" si="10"/>
        <v>Rp. 446.223.800</v>
      </c>
      <c r="N103" s="3" t="str">
        <f t="shared" si="11"/>
        <v> 450.000.000</v>
      </c>
      <c r="O103" s="3" t="str">
        <f t="shared" si="12"/>
        <v> 446.223.800</v>
      </c>
      <c r="P103" s="3">
        <f t="shared" si="13"/>
        <v>450000000</v>
      </c>
      <c r="Q103" s="3">
        <f t="shared" si="14"/>
        <v>446223800</v>
      </c>
      <c r="R103" s="3">
        <f t="shared" si="15"/>
        <v>3776200</v>
      </c>
    </row>
    <row r="104" spans="1:18">
      <c r="A104" s="2">
        <v>5458097</v>
      </c>
      <c r="B104" s="3" t="s">
        <v>209</v>
      </c>
      <c r="C104" s="3" t="s">
        <v>1</v>
      </c>
      <c r="D104" s="3" t="s">
        <v>2</v>
      </c>
      <c r="E104" s="3" t="s">
        <v>876</v>
      </c>
      <c r="F104" s="3" t="s">
        <v>919</v>
      </c>
      <c r="G104" s="3" t="s">
        <v>1509</v>
      </c>
      <c r="H104" s="3" t="s">
        <v>3723</v>
      </c>
      <c r="I104" s="3" t="s">
        <v>1001</v>
      </c>
      <c r="J104" s="3">
        <f t="shared" si="8"/>
        <v>27</v>
      </c>
      <c r="K104" s="3">
        <f>IF(ISNUMBER(SEARCH("selesai",Sheet2!D104)-1),1,"")</f>
        <v>1</v>
      </c>
      <c r="L104" s="3" t="str">
        <f t="shared" si="9"/>
        <v>Rp. 396.000.000</v>
      </c>
      <c r="M104" s="3" t="str">
        <f t="shared" si="10"/>
        <v>Rp. 395.988.287</v>
      </c>
      <c r="N104" s="3" t="str">
        <f t="shared" si="11"/>
        <v> 396.000.000</v>
      </c>
      <c r="O104" s="3" t="str">
        <f t="shared" si="12"/>
        <v> 395.988.287</v>
      </c>
      <c r="P104" s="3">
        <f t="shared" si="13"/>
        <v>396000000</v>
      </c>
      <c r="Q104" s="3">
        <f t="shared" si="14"/>
        <v>395988287</v>
      </c>
      <c r="R104" s="3">
        <f t="shared" si="15"/>
        <v>11713</v>
      </c>
    </row>
    <row r="105" spans="1:18">
      <c r="A105" s="2">
        <v>5457097</v>
      </c>
      <c r="B105" s="3" t="s">
        <v>211</v>
      </c>
      <c r="C105" s="3" t="s">
        <v>1</v>
      </c>
      <c r="D105" s="3" t="s">
        <v>2</v>
      </c>
      <c r="E105" s="3" t="s">
        <v>876</v>
      </c>
      <c r="F105" s="3" t="s">
        <v>919</v>
      </c>
      <c r="G105" s="3" t="s">
        <v>1515</v>
      </c>
      <c r="H105" s="3" t="s">
        <v>3724</v>
      </c>
      <c r="I105" s="3" t="s">
        <v>932</v>
      </c>
      <c r="J105" s="3">
        <f t="shared" si="8"/>
        <v>30</v>
      </c>
      <c r="K105" s="3">
        <f>IF(ISNUMBER(SEARCH("selesai",Sheet2!D105)-1),1,"")</f>
        <v>1</v>
      </c>
      <c r="L105" s="3" t="str">
        <f t="shared" si="9"/>
        <v>Rp. 1.500.000.000</v>
      </c>
      <c r="M105" s="3" t="str">
        <f t="shared" si="10"/>
        <v>Rp. 1.499.983.987</v>
      </c>
      <c r="N105" s="3" t="str">
        <f t="shared" si="11"/>
        <v> 1.500.000.000</v>
      </c>
      <c r="O105" s="3" t="str">
        <f t="shared" si="12"/>
        <v> 1.499.983.987</v>
      </c>
      <c r="P105" s="3">
        <f t="shared" si="13"/>
        <v>1500000000</v>
      </c>
      <c r="Q105" s="3">
        <f t="shared" si="14"/>
        <v>1499983987</v>
      </c>
      <c r="R105" s="3">
        <f t="shared" si="15"/>
        <v>16013</v>
      </c>
    </row>
    <row r="106" spans="1:18">
      <c r="A106" s="2">
        <v>5456097</v>
      </c>
      <c r="B106" s="3" t="s">
        <v>213</v>
      </c>
      <c r="C106" s="3" t="s">
        <v>1</v>
      </c>
      <c r="D106" s="3" t="s">
        <v>2</v>
      </c>
      <c r="E106" s="3" t="s">
        <v>876</v>
      </c>
      <c r="F106" s="3" t="s">
        <v>919</v>
      </c>
      <c r="G106" s="3" t="s">
        <v>1521</v>
      </c>
      <c r="H106" s="3" t="s">
        <v>3725</v>
      </c>
      <c r="I106" s="3" t="s">
        <v>1522</v>
      </c>
      <c r="J106" s="3">
        <f t="shared" si="8"/>
        <v>53</v>
      </c>
      <c r="K106" s="3">
        <f>IF(ISNUMBER(SEARCH("selesai",Sheet2!D106)-1),1,"")</f>
        <v>1</v>
      </c>
      <c r="L106" s="3" t="str">
        <f t="shared" si="9"/>
        <v>Rp. 2.200.000.000</v>
      </c>
      <c r="M106" s="3" t="str">
        <f t="shared" si="10"/>
        <v>Rp. 2.199.774.548</v>
      </c>
      <c r="N106" s="3" t="str">
        <f t="shared" si="11"/>
        <v> 2.200.000.000</v>
      </c>
      <c r="O106" s="3" t="str">
        <f t="shared" si="12"/>
        <v> 2.199.774.548</v>
      </c>
      <c r="P106" s="3">
        <f t="shared" si="13"/>
        <v>2200000000</v>
      </c>
      <c r="Q106" s="3">
        <f t="shared" si="14"/>
        <v>2199774548</v>
      </c>
      <c r="R106" s="3">
        <f t="shared" si="15"/>
        <v>225452</v>
      </c>
    </row>
    <row r="107" spans="1:18">
      <c r="A107" s="2">
        <v>5455097</v>
      </c>
      <c r="B107" s="3" t="s">
        <v>214</v>
      </c>
      <c r="C107" s="3" t="s">
        <v>1</v>
      </c>
      <c r="D107" s="3" t="s">
        <v>2</v>
      </c>
      <c r="E107" s="3" t="s">
        <v>876</v>
      </c>
      <c r="F107" s="3" t="s">
        <v>919</v>
      </c>
      <c r="G107" s="3" t="s">
        <v>1528</v>
      </c>
      <c r="H107" s="3" t="s">
        <v>3726</v>
      </c>
      <c r="I107" s="3" t="s">
        <v>1492</v>
      </c>
      <c r="J107" s="3">
        <f t="shared" si="8"/>
        <v>13</v>
      </c>
      <c r="K107" s="3">
        <f>IF(ISNUMBER(SEARCH("selesai",Sheet2!D107)-1),1,"")</f>
        <v>1</v>
      </c>
      <c r="L107" s="3" t="str">
        <f t="shared" si="9"/>
        <v>Rp. 630.000.000</v>
      </c>
      <c r="M107" s="3" t="str">
        <f t="shared" si="10"/>
        <v>Rp. 629.991.305</v>
      </c>
      <c r="N107" s="3" t="str">
        <f t="shared" si="11"/>
        <v> 630.000.000</v>
      </c>
      <c r="O107" s="3" t="str">
        <f t="shared" si="12"/>
        <v> 629.991.305</v>
      </c>
      <c r="P107" s="3">
        <f t="shared" si="13"/>
        <v>630000000</v>
      </c>
      <c r="Q107" s="3">
        <f t="shared" si="14"/>
        <v>629991305</v>
      </c>
      <c r="R107" s="3">
        <f t="shared" si="15"/>
        <v>8695</v>
      </c>
    </row>
    <row r="108" spans="1:18">
      <c r="A108" s="2">
        <v>5454097</v>
      </c>
      <c r="B108" s="3" t="s">
        <v>216</v>
      </c>
      <c r="C108" s="3" t="s">
        <v>1</v>
      </c>
      <c r="D108" s="3" t="s">
        <v>76</v>
      </c>
      <c r="E108" s="3" t="s">
        <v>1033</v>
      </c>
      <c r="F108" s="3" t="s">
        <v>1097</v>
      </c>
      <c r="G108" s="3" t="s">
        <v>1304</v>
      </c>
      <c r="H108" s="3" t="s">
        <v>3693</v>
      </c>
      <c r="I108" s="3" t="s">
        <v>1138</v>
      </c>
      <c r="J108" s="3">
        <f t="shared" si="8"/>
        <v>22</v>
      </c>
      <c r="K108" s="3" t="str">
        <f>IF(ISNUMBER(SEARCH("selesai",Sheet2!D108)-1),1,"")</f>
        <v/>
      </c>
      <c r="L108" s="3" t="str">
        <f t="shared" si="9"/>
        <v>Rp. 405.000.000</v>
      </c>
      <c r="M108" s="3" t="str">
        <f t="shared" si="10"/>
        <v>Rp. 327.827.500</v>
      </c>
      <c r="N108" s="3" t="str">
        <f t="shared" si="11"/>
        <v> 405.000.000</v>
      </c>
      <c r="O108" s="3" t="str">
        <f t="shared" si="12"/>
        <v> 327.827.500</v>
      </c>
      <c r="P108" s="3">
        <f t="shared" si="13"/>
        <v>405000000</v>
      </c>
      <c r="Q108" s="3">
        <f t="shared" si="14"/>
        <v>327827500</v>
      </c>
      <c r="R108" s="3">
        <f t="shared" si="15"/>
        <v>77172500</v>
      </c>
    </row>
    <row r="109" spans="1:18">
      <c r="A109" s="2">
        <v>5451097</v>
      </c>
      <c r="B109" s="3" t="s">
        <v>217</v>
      </c>
      <c r="C109" s="3" t="s">
        <v>149</v>
      </c>
      <c r="D109" s="3" t="s">
        <v>2</v>
      </c>
      <c r="E109" s="3" t="s">
        <v>1312</v>
      </c>
      <c r="F109" s="3" t="s">
        <v>919</v>
      </c>
      <c r="G109" s="3" t="s">
        <v>1539</v>
      </c>
      <c r="H109" s="3" t="s">
        <v>3727</v>
      </c>
      <c r="I109" s="3" t="s">
        <v>1540</v>
      </c>
      <c r="J109" s="3">
        <f t="shared" si="8"/>
        <v>75</v>
      </c>
      <c r="K109" s="3">
        <f>IF(ISNUMBER(SEARCH("selesai",Sheet2!D109)-1),1,"")</f>
        <v>1</v>
      </c>
      <c r="L109" s="3" t="str">
        <f t="shared" si="9"/>
        <v>Rp. 3.550.000.000</v>
      </c>
      <c r="M109" s="3" t="str">
        <f t="shared" si="10"/>
        <v>Rp. 3.547.698.726</v>
      </c>
      <c r="N109" s="3" t="str">
        <f t="shared" si="11"/>
        <v> 3.550.000.000</v>
      </c>
      <c r="O109" s="3" t="str">
        <f t="shared" si="12"/>
        <v> 3.547.698.726</v>
      </c>
      <c r="P109" s="3">
        <f t="shared" si="13"/>
        <v>3550000000</v>
      </c>
      <c r="Q109" s="3">
        <f t="shared" si="14"/>
        <v>3547698726</v>
      </c>
      <c r="R109" s="3">
        <f t="shared" si="15"/>
        <v>2301274</v>
      </c>
    </row>
    <row r="110" spans="1:18">
      <c r="A110" s="2">
        <v>5450097</v>
      </c>
      <c r="B110" s="3" t="s">
        <v>219</v>
      </c>
      <c r="C110" s="3" t="s">
        <v>1</v>
      </c>
      <c r="D110" s="3" t="s">
        <v>7</v>
      </c>
      <c r="E110" s="3" t="s">
        <v>876</v>
      </c>
      <c r="F110" s="3" t="s">
        <v>875</v>
      </c>
      <c r="G110" s="3" t="s">
        <v>1392</v>
      </c>
      <c r="H110" s="3" t="s">
        <v>3707</v>
      </c>
      <c r="I110" s="3" t="s">
        <v>1138</v>
      </c>
      <c r="J110" s="3">
        <f t="shared" si="8"/>
        <v>22</v>
      </c>
      <c r="K110" s="3" t="str">
        <f>IF(ISNUMBER(SEARCH("selesai",Sheet2!D110)-1),1,"")</f>
        <v/>
      </c>
      <c r="L110" s="3" t="str">
        <f t="shared" si="9"/>
        <v>Rp. 301.400.000</v>
      </c>
      <c r="M110" s="3" t="str">
        <f t="shared" si="10"/>
        <v>Rp. 301.399.990</v>
      </c>
      <c r="N110" s="3" t="str">
        <f t="shared" si="11"/>
        <v> 301.400.000</v>
      </c>
      <c r="O110" s="3" t="str">
        <f t="shared" si="12"/>
        <v> 301.399.990</v>
      </c>
      <c r="P110" s="3">
        <f t="shared" si="13"/>
        <v>301400000</v>
      </c>
      <c r="Q110" s="3">
        <f t="shared" si="14"/>
        <v>301399990</v>
      </c>
      <c r="R110" s="3">
        <f t="shared" si="15"/>
        <v>10</v>
      </c>
    </row>
    <row r="111" spans="1:18">
      <c r="A111" s="2">
        <v>5449097</v>
      </c>
      <c r="B111" s="3" t="s">
        <v>220</v>
      </c>
      <c r="C111" s="3" t="s">
        <v>1</v>
      </c>
      <c r="D111" s="3" t="s">
        <v>7</v>
      </c>
      <c r="E111" s="3" t="s">
        <v>876</v>
      </c>
      <c r="F111" s="3" t="s">
        <v>919</v>
      </c>
      <c r="G111" s="3" t="s">
        <v>1297</v>
      </c>
      <c r="H111" s="3" t="s">
        <v>3692</v>
      </c>
      <c r="I111" s="3" t="s">
        <v>1551</v>
      </c>
      <c r="J111" s="3">
        <f t="shared" si="8"/>
        <v>59</v>
      </c>
      <c r="K111" s="3" t="str">
        <f>IF(ISNUMBER(SEARCH("selesai",Sheet2!D111)-1),1,"")</f>
        <v/>
      </c>
      <c r="L111" s="3" t="str">
        <f t="shared" si="9"/>
        <v>Rp. 2.000.000.000</v>
      </c>
      <c r="M111" s="3" t="str">
        <f t="shared" si="10"/>
        <v>Rp. 1.999.511.127</v>
      </c>
      <c r="N111" s="3" t="str">
        <f t="shared" si="11"/>
        <v> 2.000.000.000</v>
      </c>
      <c r="O111" s="3" t="str">
        <f t="shared" si="12"/>
        <v> 1.999.511.127</v>
      </c>
      <c r="P111" s="3">
        <f t="shared" si="13"/>
        <v>2000000000</v>
      </c>
      <c r="Q111" s="3">
        <f t="shared" si="14"/>
        <v>1999511127</v>
      </c>
      <c r="R111" s="3">
        <f t="shared" si="15"/>
        <v>488873</v>
      </c>
    </row>
    <row r="112" spans="1:18">
      <c r="A112" s="2">
        <v>5448097</v>
      </c>
      <c r="B112" s="3" t="s">
        <v>221</v>
      </c>
      <c r="C112" s="3" t="s">
        <v>1</v>
      </c>
      <c r="D112" s="3" t="s">
        <v>7</v>
      </c>
      <c r="E112" s="3" t="s">
        <v>876</v>
      </c>
      <c r="F112" s="3" t="s">
        <v>919</v>
      </c>
      <c r="G112" s="3" t="s">
        <v>1411</v>
      </c>
      <c r="H112" s="3" t="s">
        <v>3710</v>
      </c>
      <c r="I112" s="3" t="s">
        <v>1557</v>
      </c>
      <c r="J112" s="3">
        <f t="shared" si="8"/>
        <v>63</v>
      </c>
      <c r="K112" s="3" t="str">
        <f>IF(ISNUMBER(SEARCH("selesai",Sheet2!D112)-1),1,"")</f>
        <v/>
      </c>
      <c r="L112" s="3" t="str">
        <f t="shared" si="9"/>
        <v>Rp. 35.000.000.000</v>
      </c>
      <c r="M112" s="3" t="str">
        <f t="shared" si="10"/>
        <v>Rp. 19.180.476.971</v>
      </c>
      <c r="N112" s="3" t="str">
        <f t="shared" si="11"/>
        <v> 35.000.000.000</v>
      </c>
      <c r="O112" s="3" t="str">
        <f t="shared" si="12"/>
        <v> 19.180.476.971</v>
      </c>
      <c r="P112" s="3">
        <f t="shared" si="13"/>
        <v>35000000000</v>
      </c>
      <c r="Q112" s="3">
        <f t="shared" si="14"/>
        <v>19180476971</v>
      </c>
      <c r="R112" s="3">
        <f t="shared" si="15"/>
        <v>15819523029</v>
      </c>
    </row>
    <row r="113" spans="1:18">
      <c r="A113" s="2">
        <v>5446097</v>
      </c>
      <c r="B113" s="3" t="s">
        <v>222</v>
      </c>
      <c r="C113" s="3" t="s">
        <v>1</v>
      </c>
      <c r="D113" s="3" t="s">
        <v>2</v>
      </c>
      <c r="E113" s="3" t="s">
        <v>876</v>
      </c>
      <c r="F113" s="3" t="s">
        <v>1026</v>
      </c>
      <c r="G113" s="3" t="s">
        <v>1563</v>
      </c>
      <c r="H113" s="3" t="s">
        <v>3728</v>
      </c>
      <c r="I113" s="3" t="s">
        <v>1492</v>
      </c>
      <c r="J113" s="3">
        <f t="shared" si="8"/>
        <v>13</v>
      </c>
      <c r="K113" s="3">
        <f>IF(ISNUMBER(SEARCH("selesai",Sheet2!D113)-1),1,"")</f>
        <v>1</v>
      </c>
      <c r="L113" s="3" t="str">
        <f t="shared" si="9"/>
        <v>Rp. 661.250.000</v>
      </c>
      <c r="M113" s="3" t="str">
        <f t="shared" si="10"/>
        <v>Rp. 661.155.000</v>
      </c>
      <c r="N113" s="3" t="str">
        <f t="shared" si="11"/>
        <v> 661.250.000</v>
      </c>
      <c r="O113" s="3" t="str">
        <f t="shared" si="12"/>
        <v> 661.155.000</v>
      </c>
      <c r="P113" s="3">
        <f t="shared" si="13"/>
        <v>661250000</v>
      </c>
      <c r="Q113" s="3">
        <f t="shared" si="14"/>
        <v>661155000</v>
      </c>
      <c r="R113" s="3">
        <f t="shared" si="15"/>
        <v>95000</v>
      </c>
    </row>
    <row r="114" spans="1:18">
      <c r="A114" s="2">
        <v>5445097</v>
      </c>
      <c r="B114" s="3" t="s">
        <v>224</v>
      </c>
      <c r="C114" s="3" t="s">
        <v>1</v>
      </c>
      <c r="D114" s="3" t="s">
        <v>2</v>
      </c>
      <c r="E114" s="3" t="s">
        <v>876</v>
      </c>
      <c r="F114" s="3" t="s">
        <v>875</v>
      </c>
      <c r="G114" s="3" t="s">
        <v>1569</v>
      </c>
      <c r="H114" s="3" t="s">
        <v>3729</v>
      </c>
      <c r="I114" s="3" t="s">
        <v>874</v>
      </c>
      <c r="J114" s="3">
        <f t="shared" si="8"/>
        <v>8</v>
      </c>
      <c r="K114" s="3">
        <f>IF(ISNUMBER(SEARCH("selesai",Sheet2!D114)-1),1,"")</f>
        <v>1</v>
      </c>
      <c r="L114" s="3" t="str">
        <f t="shared" si="9"/>
        <v>Rp. 1.550.000.000</v>
      </c>
      <c r="M114" s="3" t="str">
        <f t="shared" si="10"/>
        <v>Rp. 593.288.770</v>
      </c>
      <c r="N114" s="3" t="str">
        <f t="shared" si="11"/>
        <v> 1.550.000.000</v>
      </c>
      <c r="O114" s="3" t="str">
        <f t="shared" si="12"/>
        <v> 593.288.770</v>
      </c>
      <c r="P114" s="3">
        <f t="shared" si="13"/>
        <v>1550000000</v>
      </c>
      <c r="Q114" s="3">
        <f t="shared" si="14"/>
        <v>593288770</v>
      </c>
      <c r="R114" s="3">
        <f t="shared" si="15"/>
        <v>956711230</v>
      </c>
    </row>
    <row r="115" spans="1:18">
      <c r="A115" s="2">
        <v>5444097</v>
      </c>
      <c r="B115" s="3" t="s">
        <v>227</v>
      </c>
      <c r="C115" s="3" t="s">
        <v>1</v>
      </c>
      <c r="D115" s="3" t="s">
        <v>2</v>
      </c>
      <c r="E115" s="3" t="s">
        <v>876</v>
      </c>
      <c r="F115" s="3" t="s">
        <v>919</v>
      </c>
      <c r="G115" s="3" t="s">
        <v>1503</v>
      </c>
      <c r="H115" s="3" t="s">
        <v>3730</v>
      </c>
      <c r="I115" s="3" t="s">
        <v>1056</v>
      </c>
      <c r="J115" s="3">
        <f t="shared" si="8"/>
        <v>11</v>
      </c>
      <c r="K115" s="3">
        <f>IF(ISNUMBER(SEARCH("selesai",Sheet2!D115)-1),1,"")</f>
        <v>1</v>
      </c>
      <c r="L115" s="3" t="str">
        <f t="shared" si="9"/>
        <v>Rp. 450.000.000</v>
      </c>
      <c r="M115" s="3" t="str">
        <f t="shared" si="10"/>
        <v>Rp. 449.998.436</v>
      </c>
      <c r="N115" s="3" t="str">
        <f t="shared" si="11"/>
        <v> 450.000.000</v>
      </c>
      <c r="O115" s="3" t="str">
        <f t="shared" si="12"/>
        <v> 449.998.436</v>
      </c>
      <c r="P115" s="3">
        <f t="shared" si="13"/>
        <v>450000000</v>
      </c>
      <c r="Q115" s="3">
        <f t="shared" si="14"/>
        <v>449998436</v>
      </c>
      <c r="R115" s="3">
        <f t="shared" si="15"/>
        <v>1564</v>
      </c>
    </row>
    <row r="116" spans="1:18">
      <c r="A116" s="2">
        <v>5443097</v>
      </c>
      <c r="B116" s="3" t="s">
        <v>229</v>
      </c>
      <c r="C116" s="3" t="s">
        <v>1</v>
      </c>
      <c r="D116" s="3" t="s">
        <v>2</v>
      </c>
      <c r="E116" s="3" t="s">
        <v>876</v>
      </c>
      <c r="F116" s="3" t="s">
        <v>919</v>
      </c>
      <c r="G116" s="3" t="s">
        <v>1503</v>
      </c>
      <c r="H116" s="3" t="s">
        <v>3731</v>
      </c>
      <c r="I116" s="3" t="s">
        <v>1235</v>
      </c>
      <c r="J116" s="3">
        <f t="shared" si="8"/>
        <v>14</v>
      </c>
      <c r="K116" s="3">
        <f>IF(ISNUMBER(SEARCH("selesai",Sheet2!D116)-1),1,"")</f>
        <v>1</v>
      </c>
      <c r="L116" s="3" t="str">
        <f t="shared" si="9"/>
        <v>Rp. 450.000.000</v>
      </c>
      <c r="M116" s="3" t="str">
        <f t="shared" si="10"/>
        <v>Rp. 449.999.014</v>
      </c>
      <c r="N116" s="3" t="str">
        <f t="shared" si="11"/>
        <v> 450.000.000</v>
      </c>
      <c r="O116" s="3" t="str">
        <f t="shared" si="12"/>
        <v> 449.999.014</v>
      </c>
      <c r="P116" s="3">
        <f t="shared" si="13"/>
        <v>450000000</v>
      </c>
      <c r="Q116" s="3">
        <f t="shared" si="14"/>
        <v>449999014</v>
      </c>
      <c r="R116" s="3">
        <f t="shared" si="15"/>
        <v>986</v>
      </c>
    </row>
    <row r="117" spans="1:18">
      <c r="A117" s="2">
        <v>5441097</v>
      </c>
      <c r="B117" s="3" t="s">
        <v>230</v>
      </c>
      <c r="C117" s="3" t="s">
        <v>1</v>
      </c>
      <c r="D117" s="3" t="s">
        <v>2</v>
      </c>
      <c r="E117" s="3" t="s">
        <v>876</v>
      </c>
      <c r="F117" s="3" t="s">
        <v>875</v>
      </c>
      <c r="G117" s="3" t="s">
        <v>1183</v>
      </c>
      <c r="H117" s="3" t="s">
        <v>3732</v>
      </c>
      <c r="I117" s="3" t="s">
        <v>1412</v>
      </c>
      <c r="J117" s="3">
        <f t="shared" si="8"/>
        <v>50</v>
      </c>
      <c r="K117" s="3">
        <f>IF(ISNUMBER(SEARCH("selesai",Sheet2!D117)-1),1,"")</f>
        <v>1</v>
      </c>
      <c r="L117" s="3" t="str">
        <f t="shared" si="9"/>
        <v>Rp. 2.500.000.000</v>
      </c>
      <c r="M117" s="3" t="str">
        <f t="shared" si="10"/>
        <v>Rp. 2.200.107.580</v>
      </c>
      <c r="N117" s="3" t="str">
        <f t="shared" si="11"/>
        <v> 2.500.000.000</v>
      </c>
      <c r="O117" s="3" t="str">
        <f t="shared" si="12"/>
        <v> 2.200.107.580</v>
      </c>
      <c r="P117" s="3">
        <f t="shared" si="13"/>
        <v>2500000000</v>
      </c>
      <c r="Q117" s="3">
        <f t="shared" si="14"/>
        <v>2200107580</v>
      </c>
      <c r="R117" s="3">
        <f t="shared" si="15"/>
        <v>299892420</v>
      </c>
    </row>
    <row r="118" spans="1:18">
      <c r="A118" s="2">
        <v>5440097</v>
      </c>
      <c r="B118" s="3" t="s">
        <v>232</v>
      </c>
      <c r="C118" s="3" t="s">
        <v>1</v>
      </c>
      <c r="D118" s="3" t="s">
        <v>7</v>
      </c>
      <c r="E118" s="3" t="s">
        <v>876</v>
      </c>
      <c r="F118" s="3" t="s">
        <v>875</v>
      </c>
      <c r="G118" s="3" t="s">
        <v>1088</v>
      </c>
      <c r="H118" s="3" t="s">
        <v>3668</v>
      </c>
      <c r="I118" s="3" t="s">
        <v>898</v>
      </c>
      <c r="J118" s="3">
        <f t="shared" si="8"/>
        <v>35</v>
      </c>
      <c r="K118" s="3" t="str">
        <f>IF(ISNUMBER(SEARCH("selesai",Sheet2!D118)-1),1,"")</f>
        <v/>
      </c>
      <c r="L118" s="3" t="str">
        <f t="shared" si="9"/>
        <v>Rp. 12.400.000.000</v>
      </c>
      <c r="M118" s="3" t="str">
        <f t="shared" si="10"/>
        <v>Rp. 12.089.704.000</v>
      </c>
      <c r="N118" s="3" t="str">
        <f t="shared" si="11"/>
        <v> 12.400.000.000</v>
      </c>
      <c r="O118" s="3" t="str">
        <f t="shared" si="12"/>
        <v> 12.089.704.000</v>
      </c>
      <c r="P118" s="3">
        <f t="shared" si="13"/>
        <v>12400000000</v>
      </c>
      <c r="Q118" s="3">
        <f t="shared" si="14"/>
        <v>12089704000</v>
      </c>
      <c r="R118" s="3">
        <f t="shared" si="15"/>
        <v>310296000</v>
      </c>
    </row>
    <row r="119" spans="1:18">
      <c r="A119" s="2">
        <v>5439097</v>
      </c>
      <c r="B119" s="3" t="s">
        <v>233</v>
      </c>
      <c r="C119" s="3" t="s">
        <v>1</v>
      </c>
      <c r="D119" s="3" t="s">
        <v>7</v>
      </c>
      <c r="E119" s="3" t="s">
        <v>876</v>
      </c>
      <c r="F119" s="3" t="s">
        <v>875</v>
      </c>
      <c r="G119" s="3" t="s">
        <v>1595</v>
      </c>
      <c r="H119" s="3" t="s">
        <v>3733</v>
      </c>
      <c r="I119" s="3" t="s">
        <v>932</v>
      </c>
      <c r="J119" s="3">
        <f t="shared" si="8"/>
        <v>30</v>
      </c>
      <c r="K119" s="3" t="str">
        <f>IF(ISNUMBER(SEARCH("selesai",Sheet2!D119)-1),1,"")</f>
        <v/>
      </c>
      <c r="L119" s="3" t="str">
        <f t="shared" si="9"/>
        <v>Rp. 24.800.000.000</v>
      </c>
      <c r="M119" s="3" t="str">
        <f t="shared" si="10"/>
        <v>Rp. 24.179.408.000</v>
      </c>
      <c r="N119" s="3" t="str">
        <f t="shared" si="11"/>
        <v> 24.800.000.000</v>
      </c>
      <c r="O119" s="3" t="str">
        <f t="shared" si="12"/>
        <v> 24.179.408.000</v>
      </c>
      <c r="P119" s="3">
        <f t="shared" si="13"/>
        <v>24800000000</v>
      </c>
      <c r="Q119" s="3">
        <f t="shared" si="14"/>
        <v>24179408000</v>
      </c>
      <c r="R119" s="3">
        <f t="shared" si="15"/>
        <v>620592000</v>
      </c>
    </row>
    <row r="120" spans="1:18">
      <c r="A120" s="2">
        <v>5438097</v>
      </c>
      <c r="B120" s="3" t="s">
        <v>235</v>
      </c>
      <c r="C120" s="3" t="s">
        <v>1</v>
      </c>
      <c r="D120" s="3" t="s">
        <v>7</v>
      </c>
      <c r="E120" s="3" t="s">
        <v>876</v>
      </c>
      <c r="F120" s="3" t="s">
        <v>919</v>
      </c>
      <c r="G120" s="3" t="s">
        <v>1285</v>
      </c>
      <c r="H120" s="3" t="s">
        <v>3690</v>
      </c>
      <c r="I120" s="3" t="s">
        <v>1462</v>
      </c>
      <c r="J120" s="3">
        <f t="shared" si="8"/>
        <v>41</v>
      </c>
      <c r="K120" s="3" t="str">
        <f>IF(ISNUMBER(SEARCH("selesai",Sheet2!D120)-1),1,"")</f>
        <v/>
      </c>
      <c r="L120" s="3" t="str">
        <f t="shared" si="9"/>
        <v>Rp. 660.000.000</v>
      </c>
      <c r="M120" s="3" t="str">
        <f t="shared" si="10"/>
        <v>Rp. 659.990.463</v>
      </c>
      <c r="N120" s="3" t="str">
        <f t="shared" si="11"/>
        <v> 660.000.000</v>
      </c>
      <c r="O120" s="3" t="str">
        <f t="shared" si="12"/>
        <v> 659.990.463</v>
      </c>
      <c r="P120" s="3">
        <f t="shared" si="13"/>
        <v>660000000</v>
      </c>
      <c r="Q120" s="3">
        <f t="shared" si="14"/>
        <v>659990463</v>
      </c>
      <c r="R120" s="3">
        <f t="shared" si="15"/>
        <v>9537</v>
      </c>
    </row>
    <row r="121" spans="1:18">
      <c r="A121" s="2">
        <v>5437097</v>
      </c>
      <c r="B121" s="3" t="s">
        <v>236</v>
      </c>
      <c r="C121" s="3" t="s">
        <v>1</v>
      </c>
      <c r="D121" s="3" t="s">
        <v>7</v>
      </c>
      <c r="E121" s="3" t="s">
        <v>876</v>
      </c>
      <c r="F121" s="3" t="s">
        <v>919</v>
      </c>
      <c r="G121" s="3" t="s">
        <v>1007</v>
      </c>
      <c r="H121" s="3" t="s">
        <v>3659</v>
      </c>
      <c r="I121" s="3" t="s">
        <v>1063</v>
      </c>
      <c r="J121" s="3">
        <f t="shared" si="8"/>
        <v>36</v>
      </c>
      <c r="K121" s="3" t="str">
        <f>IF(ISNUMBER(SEARCH("selesai",Sheet2!D121)-1),1,"")</f>
        <v/>
      </c>
      <c r="L121" s="3" t="str">
        <f t="shared" si="9"/>
        <v>Rp. 495.000.000</v>
      </c>
      <c r="M121" s="3" t="str">
        <f t="shared" si="10"/>
        <v>Rp. 494.983.649</v>
      </c>
      <c r="N121" s="3" t="str">
        <f t="shared" si="11"/>
        <v> 495.000.000</v>
      </c>
      <c r="O121" s="3" t="str">
        <f t="shared" si="12"/>
        <v> 494.983.649</v>
      </c>
      <c r="P121" s="3">
        <f t="shared" si="13"/>
        <v>495000000</v>
      </c>
      <c r="Q121" s="3">
        <f t="shared" si="14"/>
        <v>494983649</v>
      </c>
      <c r="R121" s="3">
        <f t="shared" si="15"/>
        <v>16351</v>
      </c>
    </row>
    <row r="122" spans="1:18">
      <c r="A122" s="2">
        <v>5436097</v>
      </c>
      <c r="B122" s="3" t="s">
        <v>237</v>
      </c>
      <c r="C122" s="3" t="s">
        <v>1</v>
      </c>
      <c r="D122" s="3" t="s">
        <v>7</v>
      </c>
      <c r="E122" s="3" t="s">
        <v>876</v>
      </c>
      <c r="F122" s="3" t="s">
        <v>919</v>
      </c>
      <c r="G122" s="3" t="s">
        <v>1323</v>
      </c>
      <c r="H122" s="3" t="s">
        <v>3696</v>
      </c>
      <c r="I122" s="3" t="s">
        <v>905</v>
      </c>
      <c r="J122" s="3">
        <f t="shared" si="8"/>
        <v>31</v>
      </c>
      <c r="K122" s="3" t="str">
        <f>IF(ISNUMBER(SEARCH("selesai",Sheet2!D122)-1),1,"")</f>
        <v/>
      </c>
      <c r="L122" s="3" t="str">
        <f t="shared" si="9"/>
        <v>Rp. 544.000.000</v>
      </c>
      <c r="M122" s="3" t="str">
        <f t="shared" si="10"/>
        <v>Rp. 543.991.639</v>
      </c>
      <c r="N122" s="3" t="str">
        <f t="shared" si="11"/>
        <v> 544.000.000</v>
      </c>
      <c r="O122" s="3" t="str">
        <f t="shared" si="12"/>
        <v> 543.991.639</v>
      </c>
      <c r="P122" s="3">
        <f t="shared" si="13"/>
        <v>544000000</v>
      </c>
      <c r="Q122" s="3">
        <f t="shared" si="14"/>
        <v>543991639</v>
      </c>
      <c r="R122" s="3">
        <f t="shared" si="15"/>
        <v>8361</v>
      </c>
    </row>
    <row r="123" spans="1:18">
      <c r="A123" s="2">
        <v>5435097</v>
      </c>
      <c r="B123" s="3" t="s">
        <v>238</v>
      </c>
      <c r="C123" s="3" t="s">
        <v>1</v>
      </c>
      <c r="D123" s="3" t="s">
        <v>7</v>
      </c>
      <c r="E123" s="3" t="s">
        <v>876</v>
      </c>
      <c r="F123" s="3" t="s">
        <v>919</v>
      </c>
      <c r="G123" s="3" t="s">
        <v>1285</v>
      </c>
      <c r="H123" s="3" t="s">
        <v>3695</v>
      </c>
      <c r="I123" s="3" t="s">
        <v>932</v>
      </c>
      <c r="J123" s="3">
        <f t="shared" si="8"/>
        <v>30</v>
      </c>
      <c r="K123" s="3" t="str">
        <f>IF(ISNUMBER(SEARCH("selesai",Sheet2!D123)-1),1,"")</f>
        <v/>
      </c>
      <c r="L123" s="3" t="str">
        <f t="shared" si="9"/>
        <v>Rp. 660.000.000</v>
      </c>
      <c r="M123" s="3" t="str">
        <f t="shared" si="10"/>
        <v>Rp. 659.991.292</v>
      </c>
      <c r="N123" s="3" t="str">
        <f t="shared" si="11"/>
        <v> 660.000.000</v>
      </c>
      <c r="O123" s="3" t="str">
        <f t="shared" si="12"/>
        <v> 659.991.292</v>
      </c>
      <c r="P123" s="3">
        <f t="shared" si="13"/>
        <v>660000000</v>
      </c>
      <c r="Q123" s="3">
        <f t="shared" si="14"/>
        <v>659991292</v>
      </c>
      <c r="R123" s="3">
        <f t="shared" si="15"/>
        <v>8708</v>
      </c>
    </row>
    <row r="124" spans="1:18">
      <c r="A124" s="2">
        <v>5434097</v>
      </c>
      <c r="B124" s="3" t="s">
        <v>239</v>
      </c>
      <c r="C124" s="3" t="s">
        <v>1</v>
      </c>
      <c r="D124" s="3" t="s">
        <v>7</v>
      </c>
      <c r="E124" s="3" t="s">
        <v>876</v>
      </c>
      <c r="F124" s="3" t="s">
        <v>919</v>
      </c>
      <c r="G124" s="3" t="s">
        <v>1144</v>
      </c>
      <c r="H124" s="3" t="s">
        <v>3674</v>
      </c>
      <c r="I124" s="3" t="s">
        <v>1474</v>
      </c>
      <c r="J124" s="3">
        <f t="shared" si="8"/>
        <v>33</v>
      </c>
      <c r="K124" s="3" t="str">
        <f>IF(ISNUMBER(SEARCH("selesai",Sheet2!D124)-1),1,"")</f>
        <v/>
      </c>
      <c r="L124" s="3" t="str">
        <f t="shared" si="9"/>
        <v>Rp. 406.000.000</v>
      </c>
      <c r="M124" s="3" t="str">
        <f t="shared" si="10"/>
        <v>Rp. 405.988.558</v>
      </c>
      <c r="N124" s="3" t="str">
        <f t="shared" si="11"/>
        <v> 406.000.000</v>
      </c>
      <c r="O124" s="3" t="str">
        <f t="shared" si="12"/>
        <v> 405.988.558</v>
      </c>
      <c r="P124" s="3">
        <f t="shared" si="13"/>
        <v>406000000</v>
      </c>
      <c r="Q124" s="3">
        <f t="shared" si="14"/>
        <v>405988558</v>
      </c>
      <c r="R124" s="3">
        <f t="shared" si="15"/>
        <v>11442</v>
      </c>
    </row>
    <row r="125" spans="1:18">
      <c r="A125" s="2">
        <v>5433097</v>
      </c>
      <c r="B125" s="3" t="s">
        <v>240</v>
      </c>
      <c r="C125" s="3" t="s">
        <v>1</v>
      </c>
      <c r="D125" s="3" t="s">
        <v>7</v>
      </c>
      <c r="E125" s="3" t="s">
        <v>876</v>
      </c>
      <c r="F125" s="3" t="s">
        <v>919</v>
      </c>
      <c r="G125" s="3" t="s">
        <v>1007</v>
      </c>
      <c r="H125" s="3" t="s">
        <v>3658</v>
      </c>
      <c r="I125" s="3" t="s">
        <v>1205</v>
      </c>
      <c r="J125" s="3">
        <f t="shared" si="8"/>
        <v>34</v>
      </c>
      <c r="K125" s="3" t="str">
        <f>IF(ISNUMBER(SEARCH("selesai",Sheet2!D125)-1),1,"")</f>
        <v/>
      </c>
      <c r="L125" s="3" t="str">
        <f t="shared" si="9"/>
        <v>Rp. 495.000.000</v>
      </c>
      <c r="M125" s="3" t="str">
        <f t="shared" si="10"/>
        <v>Rp. 494.987.201</v>
      </c>
      <c r="N125" s="3" t="str">
        <f t="shared" si="11"/>
        <v> 495.000.000</v>
      </c>
      <c r="O125" s="3" t="str">
        <f t="shared" si="12"/>
        <v> 494.987.201</v>
      </c>
      <c r="P125" s="3">
        <f t="shared" si="13"/>
        <v>495000000</v>
      </c>
      <c r="Q125" s="3">
        <f t="shared" si="14"/>
        <v>494987201</v>
      </c>
      <c r="R125" s="3">
        <f t="shared" si="15"/>
        <v>12799</v>
      </c>
    </row>
    <row r="126" spans="1:18">
      <c r="A126" s="2">
        <v>5432097</v>
      </c>
      <c r="B126" s="3" t="s">
        <v>241</v>
      </c>
      <c r="C126" s="3" t="s">
        <v>1</v>
      </c>
      <c r="D126" s="3" t="s">
        <v>2</v>
      </c>
      <c r="E126" s="3" t="s">
        <v>876</v>
      </c>
      <c r="F126" s="3" t="s">
        <v>919</v>
      </c>
      <c r="G126" s="3" t="s">
        <v>1631</v>
      </c>
      <c r="H126" s="3" t="s">
        <v>3734</v>
      </c>
      <c r="I126" s="3" t="s">
        <v>1374</v>
      </c>
      <c r="J126" s="3">
        <f t="shared" si="8"/>
        <v>39</v>
      </c>
      <c r="K126" s="3">
        <f>IF(ISNUMBER(SEARCH("selesai",Sheet2!D126)-1),1,"")</f>
        <v>1</v>
      </c>
      <c r="L126" s="3" t="str">
        <f t="shared" si="9"/>
        <v>Rp. 518.000.000</v>
      </c>
      <c r="M126" s="3" t="str">
        <f t="shared" si="10"/>
        <v>Rp. 517.987.445</v>
      </c>
      <c r="N126" s="3" t="str">
        <f t="shared" si="11"/>
        <v> 518.000.000</v>
      </c>
      <c r="O126" s="3" t="str">
        <f t="shared" si="12"/>
        <v> 517.987.445</v>
      </c>
      <c r="P126" s="3">
        <f t="shared" si="13"/>
        <v>518000000</v>
      </c>
      <c r="Q126" s="3">
        <f t="shared" si="14"/>
        <v>517987445</v>
      </c>
      <c r="R126" s="3">
        <f t="shared" si="15"/>
        <v>12555</v>
      </c>
    </row>
    <row r="127" spans="1:18">
      <c r="A127" s="2">
        <v>5431097</v>
      </c>
      <c r="B127" s="3" t="s">
        <v>243</v>
      </c>
      <c r="C127" s="3" t="s">
        <v>1</v>
      </c>
      <c r="D127" s="3" t="s">
        <v>76</v>
      </c>
      <c r="E127" s="3" t="s">
        <v>876</v>
      </c>
      <c r="F127" s="3" t="s">
        <v>1097</v>
      </c>
      <c r="G127" s="3" t="s">
        <v>1637</v>
      </c>
      <c r="H127" s="3" t="s">
        <v>3735</v>
      </c>
      <c r="I127" s="3" t="s">
        <v>1082</v>
      </c>
      <c r="J127" s="3">
        <f t="shared" si="8"/>
        <v>10</v>
      </c>
      <c r="K127" s="3" t="str">
        <f>IF(ISNUMBER(SEARCH("selesai",Sheet2!D127)-1),1,"")</f>
        <v/>
      </c>
      <c r="L127" s="3" t="str">
        <f t="shared" si="9"/>
        <v>Rp. 276.009.200</v>
      </c>
      <c r="M127" s="3" t="str">
        <f t="shared" si="10"/>
        <v>Rp. 271.891.895</v>
      </c>
      <c r="N127" s="3" t="str">
        <f t="shared" si="11"/>
        <v> 276.009.200</v>
      </c>
      <c r="O127" s="3" t="str">
        <f t="shared" si="12"/>
        <v> 271.891.895</v>
      </c>
      <c r="P127" s="3">
        <f t="shared" si="13"/>
        <v>276009200</v>
      </c>
      <c r="Q127" s="3">
        <f t="shared" si="14"/>
        <v>271891895</v>
      </c>
      <c r="R127" s="3">
        <f t="shared" si="15"/>
        <v>4117305</v>
      </c>
    </row>
    <row r="128" spans="1:18">
      <c r="A128" s="2">
        <v>5430097</v>
      </c>
      <c r="B128" s="3" t="s">
        <v>245</v>
      </c>
      <c r="C128" s="3" t="s">
        <v>149</v>
      </c>
      <c r="D128" s="3" t="s">
        <v>2</v>
      </c>
      <c r="E128" s="3" t="s">
        <v>1312</v>
      </c>
      <c r="F128" s="3" t="s">
        <v>875</v>
      </c>
      <c r="G128" s="3" t="s">
        <v>1643</v>
      </c>
      <c r="H128" s="3" t="s">
        <v>3736</v>
      </c>
      <c r="I128" s="3" t="s">
        <v>1126</v>
      </c>
      <c r="J128" s="3">
        <f t="shared" si="8"/>
        <v>23</v>
      </c>
      <c r="K128" s="3">
        <f>IF(ISNUMBER(SEARCH("selesai",Sheet2!D128)-1),1,"")</f>
        <v>1</v>
      </c>
      <c r="L128" s="3" t="str">
        <f t="shared" si="9"/>
        <v>Rp. 520.000.000</v>
      </c>
      <c r="M128" s="3" t="str">
        <f t="shared" si="10"/>
        <v>Rp. 519.750.000</v>
      </c>
      <c r="N128" s="3" t="str">
        <f t="shared" si="11"/>
        <v> 520.000.000</v>
      </c>
      <c r="O128" s="3" t="str">
        <f t="shared" si="12"/>
        <v> 519.750.000</v>
      </c>
      <c r="P128" s="3">
        <f t="shared" si="13"/>
        <v>520000000</v>
      </c>
      <c r="Q128" s="3">
        <f t="shared" si="14"/>
        <v>519750000</v>
      </c>
      <c r="R128" s="3">
        <f t="shared" si="15"/>
        <v>250000</v>
      </c>
    </row>
    <row r="129" spans="1:18">
      <c r="A129" s="2">
        <v>5428097</v>
      </c>
      <c r="B129" s="3" t="s">
        <v>247</v>
      </c>
      <c r="C129" s="3" t="s">
        <v>1</v>
      </c>
      <c r="D129" s="3" t="s">
        <v>2</v>
      </c>
      <c r="E129" s="3" t="s">
        <v>876</v>
      </c>
      <c r="F129" s="3" t="s">
        <v>919</v>
      </c>
      <c r="G129" s="3" t="s">
        <v>1649</v>
      </c>
      <c r="H129" s="3" t="s">
        <v>3737</v>
      </c>
      <c r="I129" s="3" t="s">
        <v>1268</v>
      </c>
      <c r="J129" s="3">
        <f t="shared" si="8"/>
        <v>17</v>
      </c>
      <c r="K129" s="3">
        <f>IF(ISNUMBER(SEARCH("selesai",Sheet2!D129)-1),1,"")</f>
        <v>1</v>
      </c>
      <c r="L129" s="3" t="str">
        <f t="shared" si="9"/>
        <v>Rp. 558.000.000</v>
      </c>
      <c r="M129" s="3" t="str">
        <f t="shared" si="10"/>
        <v>Rp. 557.992.356</v>
      </c>
      <c r="N129" s="3" t="str">
        <f t="shared" si="11"/>
        <v> 558.000.000</v>
      </c>
      <c r="O129" s="3" t="str">
        <f t="shared" si="12"/>
        <v> 557.992.356</v>
      </c>
      <c r="P129" s="3">
        <f t="shared" si="13"/>
        <v>558000000</v>
      </c>
      <c r="Q129" s="3">
        <f t="shared" si="14"/>
        <v>557992356</v>
      </c>
      <c r="R129" s="3">
        <f t="shared" si="15"/>
        <v>7644</v>
      </c>
    </row>
    <row r="130" spans="1:18">
      <c r="A130" s="2">
        <v>5427097</v>
      </c>
      <c r="B130" s="3" t="s">
        <v>249</v>
      </c>
      <c r="C130" s="3" t="s">
        <v>1</v>
      </c>
      <c r="D130" s="3" t="s">
        <v>2</v>
      </c>
      <c r="E130" s="3" t="s">
        <v>876</v>
      </c>
      <c r="F130" s="3" t="s">
        <v>919</v>
      </c>
      <c r="G130" s="3" t="s">
        <v>1503</v>
      </c>
      <c r="H130" s="3" t="s">
        <v>3738</v>
      </c>
      <c r="I130" s="3" t="s">
        <v>1056</v>
      </c>
      <c r="J130" s="3">
        <f t="shared" si="8"/>
        <v>11</v>
      </c>
      <c r="K130" s="3">
        <f>IF(ISNUMBER(SEARCH("selesai",Sheet2!D130)-1),1,"")</f>
        <v>1</v>
      </c>
      <c r="L130" s="3" t="str">
        <f t="shared" si="9"/>
        <v>Rp. 450.000.000</v>
      </c>
      <c r="M130" s="3" t="str">
        <f t="shared" si="10"/>
        <v>Rp. 449.993.338</v>
      </c>
      <c r="N130" s="3" t="str">
        <f t="shared" si="11"/>
        <v> 450.000.000</v>
      </c>
      <c r="O130" s="3" t="str">
        <f t="shared" si="12"/>
        <v> 449.993.338</v>
      </c>
      <c r="P130" s="3">
        <f t="shared" si="13"/>
        <v>450000000</v>
      </c>
      <c r="Q130" s="3">
        <f t="shared" si="14"/>
        <v>449993338</v>
      </c>
      <c r="R130" s="3">
        <f t="shared" si="15"/>
        <v>6662</v>
      </c>
    </row>
    <row r="131" spans="1:18">
      <c r="A131" s="2">
        <v>5426097</v>
      </c>
      <c r="B131" s="3" t="s">
        <v>250</v>
      </c>
      <c r="C131" s="3" t="s">
        <v>1</v>
      </c>
      <c r="D131" s="3" t="s">
        <v>2</v>
      </c>
      <c r="E131" s="3" t="s">
        <v>876</v>
      </c>
      <c r="F131" s="3" t="s">
        <v>919</v>
      </c>
      <c r="G131" s="3" t="s">
        <v>1528</v>
      </c>
      <c r="H131" s="3" t="s">
        <v>3739</v>
      </c>
      <c r="I131" s="3" t="s">
        <v>1305</v>
      </c>
      <c r="J131" s="3">
        <f t="shared" ref="J131:J194" si="16">VALUE(SUBSTITUTE(I131,"peserta",""))</f>
        <v>15</v>
      </c>
      <c r="K131" s="3">
        <f>IF(ISNUMBER(SEARCH("selesai",Sheet2!D131)-1),1,"")</f>
        <v>1</v>
      </c>
      <c r="L131" s="3" t="str">
        <f t="shared" ref="L131:L194" si="17">LEFT(G131,SEARCH(",",G131)-1)</f>
        <v>Rp. 630.000.000</v>
      </c>
      <c r="M131" s="3" t="str">
        <f t="shared" ref="M131:M194" si="18">LEFT(H131,SEARCH(",",H131)-1)</f>
        <v>Rp. 629.985.273</v>
      </c>
      <c r="N131" s="3" t="str">
        <f t="shared" ref="N131:N194" si="19">SUBSTITUTE(L131,"Rp.","")</f>
        <v> 630.000.000</v>
      </c>
      <c r="O131" s="3" t="str">
        <f t="shared" ref="O131:O194" si="20">SUBSTITUTE(M131,"Rp.","")</f>
        <v> 629.985.273</v>
      </c>
      <c r="P131" s="3">
        <f t="shared" ref="P131:P194" si="21">VALUE(SUBSTITUTE(N131,".",""))</f>
        <v>630000000</v>
      </c>
      <c r="Q131" s="3">
        <f t="shared" ref="Q131:Q194" si="22">VALUE(SUBSTITUTE(O131,".",""))</f>
        <v>629985273</v>
      </c>
      <c r="R131" s="3">
        <f t="shared" ref="R131:R194" si="23">ABS(P131-Q131)</f>
        <v>14727</v>
      </c>
    </row>
    <row r="132" spans="1:18">
      <c r="A132" s="2">
        <v>5425097</v>
      </c>
      <c r="B132" s="3" t="s">
        <v>251</v>
      </c>
      <c r="C132" s="3" t="s">
        <v>1</v>
      </c>
      <c r="D132" s="3" t="s">
        <v>2</v>
      </c>
      <c r="E132" s="3" t="s">
        <v>876</v>
      </c>
      <c r="F132" s="3" t="s">
        <v>919</v>
      </c>
      <c r="G132" s="3" t="s">
        <v>1665</v>
      </c>
      <c r="H132" s="3" t="s">
        <v>3740</v>
      </c>
      <c r="I132" s="3" t="s">
        <v>1443</v>
      </c>
      <c r="J132" s="3">
        <f t="shared" si="16"/>
        <v>12</v>
      </c>
      <c r="K132" s="3">
        <f>IF(ISNUMBER(SEARCH("selesai",Sheet2!D132)-1),1,"")</f>
        <v>1</v>
      </c>
      <c r="L132" s="3" t="str">
        <f t="shared" si="17"/>
        <v>Rp. 810.000.000</v>
      </c>
      <c r="M132" s="3" t="str">
        <f t="shared" si="18"/>
        <v>Rp. 809.986.217</v>
      </c>
      <c r="N132" s="3" t="str">
        <f t="shared" si="19"/>
        <v> 810.000.000</v>
      </c>
      <c r="O132" s="3" t="str">
        <f t="shared" si="20"/>
        <v> 809.986.217</v>
      </c>
      <c r="P132" s="3">
        <f t="shared" si="21"/>
        <v>810000000</v>
      </c>
      <c r="Q132" s="3">
        <f t="shared" si="22"/>
        <v>809986217</v>
      </c>
      <c r="R132" s="3">
        <f t="shared" si="23"/>
        <v>13783</v>
      </c>
    </row>
    <row r="133" spans="1:18">
      <c r="A133" s="2">
        <v>5422097</v>
      </c>
      <c r="B133" s="3" t="s">
        <v>253</v>
      </c>
      <c r="C133" s="3" t="s">
        <v>1</v>
      </c>
      <c r="D133" s="3" t="s">
        <v>2</v>
      </c>
      <c r="E133" s="3" t="s">
        <v>876</v>
      </c>
      <c r="F133" s="3" t="s">
        <v>919</v>
      </c>
      <c r="G133" s="3" t="s">
        <v>1671</v>
      </c>
      <c r="H133" s="3" t="s">
        <v>3741</v>
      </c>
      <c r="I133" s="3" t="s">
        <v>1672</v>
      </c>
      <c r="J133" s="3">
        <f t="shared" si="16"/>
        <v>16</v>
      </c>
      <c r="K133" s="3">
        <f>IF(ISNUMBER(SEARCH("selesai",Sheet2!D133)-1),1,"")</f>
        <v>1</v>
      </c>
      <c r="L133" s="3" t="str">
        <f t="shared" si="17"/>
        <v>Rp. 455.068.200</v>
      </c>
      <c r="M133" s="3" t="str">
        <f t="shared" si="18"/>
        <v>Rp. 455.041.809</v>
      </c>
      <c r="N133" s="3" t="str">
        <f t="shared" si="19"/>
        <v> 455.068.200</v>
      </c>
      <c r="O133" s="3" t="str">
        <f t="shared" si="20"/>
        <v> 455.041.809</v>
      </c>
      <c r="P133" s="3">
        <f t="shared" si="21"/>
        <v>455068200</v>
      </c>
      <c r="Q133" s="3">
        <f t="shared" si="22"/>
        <v>455041809</v>
      </c>
      <c r="R133" s="3">
        <f t="shared" si="23"/>
        <v>26391</v>
      </c>
    </row>
    <row r="134" spans="1:18">
      <c r="A134" s="2">
        <v>5419097</v>
      </c>
      <c r="B134" s="3" t="s">
        <v>255</v>
      </c>
      <c r="C134" s="3" t="s">
        <v>1</v>
      </c>
      <c r="D134" s="3" t="s">
        <v>2</v>
      </c>
      <c r="E134" s="3" t="s">
        <v>876</v>
      </c>
      <c r="F134" s="3" t="s">
        <v>919</v>
      </c>
      <c r="G134" s="3" t="s">
        <v>1678</v>
      </c>
      <c r="H134" s="3" t="s">
        <v>3742</v>
      </c>
      <c r="I134" s="3" t="s">
        <v>994</v>
      </c>
      <c r="J134" s="3">
        <f t="shared" si="16"/>
        <v>26</v>
      </c>
      <c r="K134" s="3">
        <f>IF(ISNUMBER(SEARCH("selesai",Sheet2!D134)-1),1,"")</f>
        <v>1</v>
      </c>
      <c r="L134" s="3" t="str">
        <f t="shared" si="17"/>
        <v>Rp. 900.792.000</v>
      </c>
      <c r="M134" s="3" t="str">
        <f t="shared" si="18"/>
        <v>Rp. 897.410.121</v>
      </c>
      <c r="N134" s="3" t="str">
        <f t="shared" si="19"/>
        <v> 900.792.000</v>
      </c>
      <c r="O134" s="3" t="str">
        <f t="shared" si="20"/>
        <v> 897.410.121</v>
      </c>
      <c r="P134" s="3">
        <f t="shared" si="21"/>
        <v>900792000</v>
      </c>
      <c r="Q134" s="3">
        <f t="shared" si="22"/>
        <v>897410121</v>
      </c>
      <c r="R134" s="3">
        <f t="shared" si="23"/>
        <v>3381879</v>
      </c>
    </row>
    <row r="135" spans="1:18">
      <c r="A135" s="2">
        <v>5418097</v>
      </c>
      <c r="B135" s="3" t="s">
        <v>257</v>
      </c>
      <c r="C135" s="3" t="s">
        <v>1</v>
      </c>
      <c r="D135" s="3" t="s">
        <v>7</v>
      </c>
      <c r="E135" s="3" t="s">
        <v>876</v>
      </c>
      <c r="F135" s="3" t="s">
        <v>919</v>
      </c>
      <c r="G135" s="3" t="s">
        <v>1480</v>
      </c>
      <c r="H135" s="3" t="s">
        <v>3719</v>
      </c>
      <c r="I135" s="3" t="s">
        <v>1229</v>
      </c>
      <c r="J135" s="3">
        <f t="shared" si="16"/>
        <v>18</v>
      </c>
      <c r="K135" s="3" t="str">
        <f>IF(ISNUMBER(SEARCH("selesai",Sheet2!D135)-1),1,"")</f>
        <v/>
      </c>
      <c r="L135" s="3" t="str">
        <f t="shared" si="17"/>
        <v>Rp. 448.792.000</v>
      </c>
      <c r="M135" s="3" t="str">
        <f t="shared" si="18"/>
        <v>Rp. 447.218.117</v>
      </c>
      <c r="N135" s="3" t="str">
        <f t="shared" si="19"/>
        <v> 448.792.000</v>
      </c>
      <c r="O135" s="3" t="str">
        <f t="shared" si="20"/>
        <v> 447.218.117</v>
      </c>
      <c r="P135" s="3">
        <f t="shared" si="21"/>
        <v>448792000</v>
      </c>
      <c r="Q135" s="3">
        <f t="shared" si="22"/>
        <v>447218117</v>
      </c>
      <c r="R135" s="3">
        <f t="shared" si="23"/>
        <v>1573883</v>
      </c>
    </row>
    <row r="136" spans="1:18">
      <c r="A136" s="2">
        <v>5417097</v>
      </c>
      <c r="B136" s="3" t="s">
        <v>258</v>
      </c>
      <c r="C136" s="3" t="s">
        <v>1</v>
      </c>
      <c r="D136" s="3" t="s">
        <v>2</v>
      </c>
      <c r="E136" s="3" t="s">
        <v>876</v>
      </c>
      <c r="F136" s="3" t="s">
        <v>919</v>
      </c>
      <c r="G136" s="3" t="s">
        <v>1480</v>
      </c>
      <c r="H136" s="3" t="s">
        <v>3743</v>
      </c>
      <c r="I136" s="3" t="s">
        <v>1126</v>
      </c>
      <c r="J136" s="3">
        <f t="shared" si="16"/>
        <v>23</v>
      </c>
      <c r="K136" s="3">
        <f>IF(ISNUMBER(SEARCH("selesai",Sheet2!D136)-1),1,"")</f>
        <v>1</v>
      </c>
      <c r="L136" s="3" t="str">
        <f t="shared" si="17"/>
        <v>Rp. 448.792.000</v>
      </c>
      <c r="M136" s="3" t="str">
        <f t="shared" si="18"/>
        <v>Rp. 447.747.328</v>
      </c>
      <c r="N136" s="3" t="str">
        <f t="shared" si="19"/>
        <v> 448.792.000</v>
      </c>
      <c r="O136" s="3" t="str">
        <f t="shared" si="20"/>
        <v> 447.747.328</v>
      </c>
      <c r="P136" s="3">
        <f t="shared" si="21"/>
        <v>448792000</v>
      </c>
      <c r="Q136" s="3">
        <f t="shared" si="22"/>
        <v>447747328</v>
      </c>
      <c r="R136" s="3">
        <f t="shared" si="23"/>
        <v>1044672</v>
      </c>
    </row>
    <row r="137" spans="1:18">
      <c r="A137" s="2">
        <v>5416097</v>
      </c>
      <c r="B137" s="3" t="s">
        <v>260</v>
      </c>
      <c r="C137" s="3" t="s">
        <v>1</v>
      </c>
      <c r="D137" s="3" t="s">
        <v>7</v>
      </c>
      <c r="E137" s="3" t="s">
        <v>876</v>
      </c>
      <c r="F137" s="3" t="s">
        <v>919</v>
      </c>
      <c r="G137" s="3" t="s">
        <v>1480</v>
      </c>
      <c r="H137" s="3" t="s">
        <v>3718</v>
      </c>
      <c r="I137" s="3" t="s">
        <v>1268</v>
      </c>
      <c r="J137" s="3">
        <f t="shared" si="16"/>
        <v>17</v>
      </c>
      <c r="K137" s="3" t="str">
        <f>IF(ISNUMBER(SEARCH("selesai",Sheet2!D137)-1),1,"")</f>
        <v/>
      </c>
      <c r="L137" s="3" t="str">
        <f t="shared" si="17"/>
        <v>Rp. 448.792.000</v>
      </c>
      <c r="M137" s="3" t="str">
        <f t="shared" si="18"/>
        <v>Rp. 447.874.245</v>
      </c>
      <c r="N137" s="3" t="str">
        <f t="shared" si="19"/>
        <v> 448.792.000</v>
      </c>
      <c r="O137" s="3" t="str">
        <f t="shared" si="20"/>
        <v> 447.874.245</v>
      </c>
      <c r="P137" s="3">
        <f t="shared" si="21"/>
        <v>448792000</v>
      </c>
      <c r="Q137" s="3">
        <f t="shared" si="22"/>
        <v>447874245</v>
      </c>
      <c r="R137" s="3">
        <f t="shared" si="23"/>
        <v>917755</v>
      </c>
    </row>
    <row r="138" spans="1:18">
      <c r="A138" s="2">
        <v>5415097</v>
      </c>
      <c r="B138" s="3" t="s">
        <v>261</v>
      </c>
      <c r="C138" s="3" t="s">
        <v>1</v>
      </c>
      <c r="D138" s="3" t="s">
        <v>2</v>
      </c>
      <c r="E138" s="3" t="s">
        <v>876</v>
      </c>
      <c r="F138" s="3" t="s">
        <v>1097</v>
      </c>
      <c r="G138" s="3" t="s">
        <v>1274</v>
      </c>
      <c r="H138" s="3" t="s">
        <v>3744</v>
      </c>
      <c r="I138" s="3" t="s">
        <v>972</v>
      </c>
      <c r="J138" s="3">
        <f t="shared" si="16"/>
        <v>9</v>
      </c>
      <c r="K138" s="3">
        <f>IF(ISNUMBER(SEARCH("selesai",Sheet2!D138)-1),1,"")</f>
        <v>1</v>
      </c>
      <c r="L138" s="3" t="str">
        <f t="shared" si="17"/>
        <v>Rp. 750.000.000</v>
      </c>
      <c r="M138" s="3" t="str">
        <f t="shared" si="18"/>
        <v>Rp. 458.150.000</v>
      </c>
      <c r="N138" s="3" t="str">
        <f t="shared" si="19"/>
        <v> 750.000.000</v>
      </c>
      <c r="O138" s="3" t="str">
        <f t="shared" si="20"/>
        <v> 458.150.000</v>
      </c>
      <c r="P138" s="3">
        <f t="shared" si="21"/>
        <v>750000000</v>
      </c>
      <c r="Q138" s="3">
        <f t="shared" si="22"/>
        <v>458150000</v>
      </c>
      <c r="R138" s="3">
        <f t="shared" si="23"/>
        <v>291850000</v>
      </c>
    </row>
    <row r="139" spans="1:18">
      <c r="A139" s="2">
        <v>5413097</v>
      </c>
      <c r="B139" s="3" t="s">
        <v>263</v>
      </c>
      <c r="C139" s="3" t="s">
        <v>1</v>
      </c>
      <c r="D139" s="3" t="s">
        <v>2</v>
      </c>
      <c r="E139" s="3" t="s">
        <v>876</v>
      </c>
      <c r="F139" s="3" t="s">
        <v>919</v>
      </c>
      <c r="G139" s="3" t="s">
        <v>1704</v>
      </c>
      <c r="H139" s="3" t="s">
        <v>3745</v>
      </c>
      <c r="I139" s="3" t="s">
        <v>994</v>
      </c>
      <c r="J139" s="3">
        <f t="shared" si="16"/>
        <v>26</v>
      </c>
      <c r="K139" s="3">
        <f>IF(ISNUMBER(SEARCH("selesai",Sheet2!D139)-1),1,"")</f>
        <v>1</v>
      </c>
      <c r="L139" s="3" t="str">
        <f t="shared" si="17"/>
        <v>Rp. 448.500.000</v>
      </c>
      <c r="M139" s="3" t="str">
        <f t="shared" si="18"/>
        <v>Rp. 448.499.653</v>
      </c>
      <c r="N139" s="3" t="str">
        <f t="shared" si="19"/>
        <v> 448.500.000</v>
      </c>
      <c r="O139" s="3" t="str">
        <f t="shared" si="20"/>
        <v> 448.499.653</v>
      </c>
      <c r="P139" s="3">
        <f t="shared" si="21"/>
        <v>448500000</v>
      </c>
      <c r="Q139" s="3">
        <f t="shared" si="22"/>
        <v>448499653</v>
      </c>
      <c r="R139" s="3">
        <f t="shared" si="23"/>
        <v>347</v>
      </c>
    </row>
    <row r="140" spans="1:18">
      <c r="A140" s="2">
        <v>5412097</v>
      </c>
      <c r="B140" s="3" t="s">
        <v>266</v>
      </c>
      <c r="C140" s="3" t="s">
        <v>1</v>
      </c>
      <c r="D140" s="3" t="s">
        <v>2</v>
      </c>
      <c r="E140" s="3" t="s">
        <v>876</v>
      </c>
      <c r="F140" s="3" t="s">
        <v>919</v>
      </c>
      <c r="G140" s="3" t="s">
        <v>1710</v>
      </c>
      <c r="H140" s="3" t="s">
        <v>3746</v>
      </c>
      <c r="I140" s="3" t="s">
        <v>925</v>
      </c>
      <c r="J140" s="3">
        <f t="shared" si="16"/>
        <v>38</v>
      </c>
      <c r="K140" s="3">
        <f>IF(ISNUMBER(SEARCH("selesai",Sheet2!D140)-1),1,"")</f>
        <v>1</v>
      </c>
      <c r="L140" s="3" t="str">
        <f t="shared" si="17"/>
        <v>Rp. 398.500.000</v>
      </c>
      <c r="M140" s="3" t="str">
        <f t="shared" si="18"/>
        <v>Rp. 398.499.969</v>
      </c>
      <c r="N140" s="3" t="str">
        <f t="shared" si="19"/>
        <v> 398.500.000</v>
      </c>
      <c r="O140" s="3" t="str">
        <f t="shared" si="20"/>
        <v> 398.499.969</v>
      </c>
      <c r="P140" s="3">
        <f t="shared" si="21"/>
        <v>398500000</v>
      </c>
      <c r="Q140" s="3">
        <f t="shared" si="22"/>
        <v>398499969</v>
      </c>
      <c r="R140" s="3">
        <f t="shared" si="23"/>
        <v>31</v>
      </c>
    </row>
    <row r="141" spans="1:18">
      <c r="A141" s="2">
        <v>5411097</v>
      </c>
      <c r="B141" s="3" t="s">
        <v>269</v>
      </c>
      <c r="C141" s="3" t="s">
        <v>1</v>
      </c>
      <c r="D141" s="3" t="s">
        <v>2</v>
      </c>
      <c r="E141" s="3" t="s">
        <v>876</v>
      </c>
      <c r="F141" s="3" t="s">
        <v>919</v>
      </c>
      <c r="G141" s="3" t="s">
        <v>1710</v>
      </c>
      <c r="H141" s="3" t="s">
        <v>3746</v>
      </c>
      <c r="I141" s="3" t="s">
        <v>898</v>
      </c>
      <c r="J141" s="3">
        <f t="shared" si="16"/>
        <v>35</v>
      </c>
      <c r="K141" s="3">
        <f>IF(ISNUMBER(SEARCH("selesai",Sheet2!D141)-1),1,"")</f>
        <v>1</v>
      </c>
      <c r="L141" s="3" t="str">
        <f t="shared" si="17"/>
        <v>Rp. 398.500.000</v>
      </c>
      <c r="M141" s="3" t="str">
        <f t="shared" si="18"/>
        <v>Rp. 398.499.969</v>
      </c>
      <c r="N141" s="3" t="str">
        <f t="shared" si="19"/>
        <v> 398.500.000</v>
      </c>
      <c r="O141" s="3" t="str">
        <f t="shared" si="20"/>
        <v> 398.499.969</v>
      </c>
      <c r="P141" s="3">
        <f t="shared" si="21"/>
        <v>398500000</v>
      </c>
      <c r="Q141" s="3">
        <f t="shared" si="22"/>
        <v>398499969</v>
      </c>
      <c r="R141" s="3">
        <f t="shared" si="23"/>
        <v>31</v>
      </c>
    </row>
    <row r="142" spans="1:18">
      <c r="A142" s="2">
        <v>5409097</v>
      </c>
      <c r="B142" s="3" t="s">
        <v>271</v>
      </c>
      <c r="C142" s="3" t="s">
        <v>1</v>
      </c>
      <c r="D142" s="3" t="s">
        <v>2</v>
      </c>
      <c r="E142" s="3" t="s">
        <v>876</v>
      </c>
      <c r="F142" s="3" t="s">
        <v>919</v>
      </c>
      <c r="G142" s="3" t="s">
        <v>1721</v>
      </c>
      <c r="H142" s="3" t="s">
        <v>3747</v>
      </c>
      <c r="I142" s="3" t="s">
        <v>1001</v>
      </c>
      <c r="J142" s="3">
        <f t="shared" si="16"/>
        <v>27</v>
      </c>
      <c r="K142" s="3">
        <f>IF(ISNUMBER(SEARCH("selesai",Sheet2!D142)-1),1,"")</f>
        <v>1</v>
      </c>
      <c r="L142" s="3" t="str">
        <f t="shared" si="17"/>
        <v>Rp. 298.500.000</v>
      </c>
      <c r="M142" s="3" t="str">
        <f t="shared" si="18"/>
        <v>Rp. 298.499.975</v>
      </c>
      <c r="N142" s="3" t="str">
        <f t="shared" si="19"/>
        <v> 298.500.000</v>
      </c>
      <c r="O142" s="3" t="str">
        <f t="shared" si="20"/>
        <v> 298.499.975</v>
      </c>
      <c r="P142" s="3">
        <f t="shared" si="21"/>
        <v>298500000</v>
      </c>
      <c r="Q142" s="3">
        <f t="shared" si="22"/>
        <v>298499975</v>
      </c>
      <c r="R142" s="3">
        <f t="shared" si="23"/>
        <v>25</v>
      </c>
    </row>
    <row r="143" spans="1:18">
      <c r="A143" s="2">
        <v>5407097</v>
      </c>
      <c r="B143" s="3" t="s">
        <v>274</v>
      </c>
      <c r="C143" s="3" t="s">
        <v>1</v>
      </c>
      <c r="D143" s="3" t="s">
        <v>2</v>
      </c>
      <c r="E143" s="3" t="s">
        <v>876</v>
      </c>
      <c r="F143" s="3" t="s">
        <v>919</v>
      </c>
      <c r="G143" s="3" t="s">
        <v>1727</v>
      </c>
      <c r="H143" s="3" t="s">
        <v>3748</v>
      </c>
      <c r="I143" s="3" t="s">
        <v>1342</v>
      </c>
      <c r="J143" s="3">
        <f t="shared" si="16"/>
        <v>44</v>
      </c>
      <c r="K143" s="3">
        <f>IF(ISNUMBER(SEARCH("selesai",Sheet2!D143)-1),1,"")</f>
        <v>1</v>
      </c>
      <c r="L143" s="3" t="str">
        <f t="shared" si="17"/>
        <v>Rp. 4.223.000.000</v>
      </c>
      <c r="M143" s="3" t="str">
        <f t="shared" si="18"/>
        <v>Rp. 4.222.000.030</v>
      </c>
      <c r="N143" s="3" t="str">
        <f t="shared" si="19"/>
        <v> 4.223.000.000</v>
      </c>
      <c r="O143" s="3" t="str">
        <f t="shared" si="20"/>
        <v> 4.222.000.030</v>
      </c>
      <c r="P143" s="3">
        <f t="shared" si="21"/>
        <v>4223000000</v>
      </c>
      <c r="Q143" s="3">
        <f t="shared" si="22"/>
        <v>4222000030</v>
      </c>
      <c r="R143" s="3">
        <f t="shared" si="23"/>
        <v>999970</v>
      </c>
    </row>
    <row r="144" spans="1:18">
      <c r="A144" s="2">
        <v>5406097</v>
      </c>
      <c r="B144" s="3" t="s">
        <v>277</v>
      </c>
      <c r="C144" s="3" t="s">
        <v>1</v>
      </c>
      <c r="D144" s="3" t="s">
        <v>2</v>
      </c>
      <c r="E144" s="3" t="s">
        <v>876</v>
      </c>
      <c r="F144" s="3" t="s">
        <v>919</v>
      </c>
      <c r="G144" s="3" t="s">
        <v>1733</v>
      </c>
      <c r="H144" s="3" t="s">
        <v>3749</v>
      </c>
      <c r="I144" s="3" t="s">
        <v>925</v>
      </c>
      <c r="J144" s="3">
        <f t="shared" si="16"/>
        <v>38</v>
      </c>
      <c r="K144" s="3">
        <f>IF(ISNUMBER(SEARCH("selesai",Sheet2!D144)-1),1,"")</f>
        <v>1</v>
      </c>
      <c r="L144" s="3" t="str">
        <f t="shared" si="17"/>
        <v>Rp. 12.205.000.000</v>
      </c>
      <c r="M144" s="3" t="str">
        <f t="shared" si="18"/>
        <v>Rp. 12.204.918.852</v>
      </c>
      <c r="N144" s="3" t="str">
        <f t="shared" si="19"/>
        <v> 12.205.000.000</v>
      </c>
      <c r="O144" s="3" t="str">
        <f t="shared" si="20"/>
        <v> 12.204.918.852</v>
      </c>
      <c r="P144" s="3">
        <f t="shared" si="21"/>
        <v>12205000000</v>
      </c>
      <c r="Q144" s="3">
        <f t="shared" si="22"/>
        <v>12204918852</v>
      </c>
      <c r="R144" s="3">
        <f t="shared" si="23"/>
        <v>81148</v>
      </c>
    </row>
    <row r="145" spans="1:18">
      <c r="A145" s="2">
        <v>5405097</v>
      </c>
      <c r="B145" s="3" t="s">
        <v>197</v>
      </c>
      <c r="C145" s="3" t="s">
        <v>1</v>
      </c>
      <c r="D145" s="3" t="s">
        <v>2</v>
      </c>
      <c r="E145" s="3" t="s">
        <v>876</v>
      </c>
      <c r="F145" s="3" t="s">
        <v>875</v>
      </c>
      <c r="G145" s="3" t="s">
        <v>1739</v>
      </c>
      <c r="H145" s="3" t="s">
        <v>3750</v>
      </c>
      <c r="I145" s="3" t="s">
        <v>1151</v>
      </c>
      <c r="J145" s="3">
        <f t="shared" si="16"/>
        <v>21</v>
      </c>
      <c r="K145" s="3">
        <f>IF(ISNUMBER(SEARCH("selesai",Sheet2!D145)-1),1,"")</f>
        <v>1</v>
      </c>
      <c r="L145" s="3" t="str">
        <f t="shared" si="17"/>
        <v>Rp. 358.750.000</v>
      </c>
      <c r="M145" s="3" t="str">
        <f t="shared" si="18"/>
        <v>Rp. 358.626.915</v>
      </c>
      <c r="N145" s="3" t="str">
        <f t="shared" si="19"/>
        <v> 358.750.000</v>
      </c>
      <c r="O145" s="3" t="str">
        <f t="shared" si="20"/>
        <v> 358.626.915</v>
      </c>
      <c r="P145" s="3">
        <f t="shared" si="21"/>
        <v>358750000</v>
      </c>
      <c r="Q145" s="3">
        <f t="shared" si="22"/>
        <v>358626915</v>
      </c>
      <c r="R145" s="3">
        <f t="shared" si="23"/>
        <v>123085</v>
      </c>
    </row>
    <row r="146" spans="1:18">
      <c r="A146" s="2">
        <v>5404097</v>
      </c>
      <c r="B146" s="3" t="s">
        <v>281</v>
      </c>
      <c r="C146" s="3" t="s">
        <v>1</v>
      </c>
      <c r="D146" s="3" t="s">
        <v>2</v>
      </c>
      <c r="E146" s="3" t="s">
        <v>876</v>
      </c>
      <c r="F146" s="3" t="s">
        <v>919</v>
      </c>
      <c r="G146" s="3" t="s">
        <v>1745</v>
      </c>
      <c r="H146" s="3" t="s">
        <v>3751</v>
      </c>
      <c r="I146" s="3" t="s">
        <v>1551</v>
      </c>
      <c r="J146" s="3">
        <f t="shared" si="16"/>
        <v>59</v>
      </c>
      <c r="K146" s="3">
        <f>IF(ISNUMBER(SEARCH("selesai",Sheet2!D146)-1),1,"")</f>
        <v>1</v>
      </c>
      <c r="L146" s="3" t="str">
        <f t="shared" si="17"/>
        <v>Rp. 4.500.000.000</v>
      </c>
      <c r="M146" s="3" t="str">
        <f t="shared" si="18"/>
        <v>Rp. 4.499.956.745</v>
      </c>
      <c r="N146" s="3" t="str">
        <f t="shared" si="19"/>
        <v> 4.500.000.000</v>
      </c>
      <c r="O146" s="3" t="str">
        <f t="shared" si="20"/>
        <v> 4.499.956.745</v>
      </c>
      <c r="P146" s="3">
        <f t="shared" si="21"/>
        <v>4500000000</v>
      </c>
      <c r="Q146" s="3">
        <f t="shared" si="22"/>
        <v>4499956745</v>
      </c>
      <c r="R146" s="3">
        <f t="shared" si="23"/>
        <v>43255</v>
      </c>
    </row>
    <row r="147" spans="1:18">
      <c r="A147" s="2">
        <v>5400097</v>
      </c>
      <c r="B147" s="3" t="s">
        <v>284</v>
      </c>
      <c r="C147" s="3" t="s">
        <v>1</v>
      </c>
      <c r="D147" s="3" t="s">
        <v>2</v>
      </c>
      <c r="E147" s="3" t="s">
        <v>876</v>
      </c>
      <c r="F147" s="3" t="s">
        <v>1026</v>
      </c>
      <c r="G147" s="3" t="s">
        <v>1751</v>
      </c>
      <c r="H147" s="3" t="s">
        <v>3752</v>
      </c>
      <c r="I147" s="3" t="s">
        <v>1672</v>
      </c>
      <c r="J147" s="3">
        <f t="shared" si="16"/>
        <v>16</v>
      </c>
      <c r="K147" s="3">
        <f>IF(ISNUMBER(SEARCH("selesai",Sheet2!D147)-1),1,"")</f>
        <v>1</v>
      </c>
      <c r="L147" s="3" t="str">
        <f t="shared" si="17"/>
        <v>Rp. 670.278.000</v>
      </c>
      <c r="M147" s="3" t="str">
        <f t="shared" si="18"/>
        <v>Rp. 667.086.200</v>
      </c>
      <c r="N147" s="3" t="str">
        <f t="shared" si="19"/>
        <v> 670.278.000</v>
      </c>
      <c r="O147" s="3" t="str">
        <f t="shared" si="20"/>
        <v> 667.086.200</v>
      </c>
      <c r="P147" s="3">
        <f t="shared" si="21"/>
        <v>670278000</v>
      </c>
      <c r="Q147" s="3">
        <f t="shared" si="22"/>
        <v>667086200</v>
      </c>
      <c r="R147" s="3">
        <f t="shared" si="23"/>
        <v>3191800</v>
      </c>
    </row>
    <row r="148" spans="1:18">
      <c r="A148" s="2">
        <v>5399097</v>
      </c>
      <c r="B148" s="3" t="s">
        <v>287</v>
      </c>
      <c r="C148" s="3" t="s">
        <v>1</v>
      </c>
      <c r="D148" s="3" t="s">
        <v>7</v>
      </c>
      <c r="E148" s="3" t="s">
        <v>876</v>
      </c>
      <c r="F148" s="3" t="s">
        <v>875</v>
      </c>
      <c r="G148" s="3" t="s">
        <v>1183</v>
      </c>
      <c r="H148" s="3" t="s">
        <v>3732</v>
      </c>
      <c r="I148" s="3" t="s">
        <v>925</v>
      </c>
      <c r="J148" s="3">
        <f t="shared" si="16"/>
        <v>38</v>
      </c>
      <c r="K148" s="3" t="str">
        <f>IF(ISNUMBER(SEARCH("selesai",Sheet2!D148)-1),1,"")</f>
        <v/>
      </c>
      <c r="L148" s="3" t="str">
        <f t="shared" si="17"/>
        <v>Rp. 2.500.000.000</v>
      </c>
      <c r="M148" s="3" t="str">
        <f t="shared" si="18"/>
        <v>Rp. 2.200.107.580</v>
      </c>
      <c r="N148" s="3" t="str">
        <f t="shared" si="19"/>
        <v> 2.500.000.000</v>
      </c>
      <c r="O148" s="3" t="str">
        <f t="shared" si="20"/>
        <v> 2.200.107.580</v>
      </c>
      <c r="P148" s="3">
        <f t="shared" si="21"/>
        <v>2500000000</v>
      </c>
      <c r="Q148" s="3">
        <f t="shared" si="22"/>
        <v>2200107580</v>
      </c>
      <c r="R148" s="3">
        <f t="shared" si="23"/>
        <v>299892420</v>
      </c>
    </row>
    <row r="149" spans="1:18">
      <c r="A149" s="2">
        <v>5397097</v>
      </c>
      <c r="B149" s="3" t="s">
        <v>288</v>
      </c>
      <c r="C149" s="3" t="s">
        <v>1</v>
      </c>
      <c r="D149" s="3" t="s">
        <v>2</v>
      </c>
      <c r="E149" s="3" t="s">
        <v>876</v>
      </c>
      <c r="F149" s="3" t="s">
        <v>919</v>
      </c>
      <c r="G149" s="3" t="s">
        <v>1762</v>
      </c>
      <c r="H149" s="3" t="s">
        <v>3753</v>
      </c>
      <c r="I149" s="3" t="s">
        <v>1763</v>
      </c>
      <c r="J149" s="3">
        <f t="shared" si="16"/>
        <v>57</v>
      </c>
      <c r="K149" s="3">
        <f>IF(ISNUMBER(SEARCH("selesai",Sheet2!D149)-1),1,"")</f>
        <v>1</v>
      </c>
      <c r="L149" s="3" t="str">
        <f t="shared" si="17"/>
        <v>Rp. 9.397.000.000</v>
      </c>
      <c r="M149" s="3" t="str">
        <f t="shared" si="18"/>
        <v>Rp. 9.396.935.610</v>
      </c>
      <c r="N149" s="3" t="str">
        <f t="shared" si="19"/>
        <v> 9.397.000.000</v>
      </c>
      <c r="O149" s="3" t="str">
        <f t="shared" si="20"/>
        <v> 9.396.935.610</v>
      </c>
      <c r="P149" s="3">
        <f t="shared" si="21"/>
        <v>9397000000</v>
      </c>
      <c r="Q149" s="3">
        <f t="shared" si="22"/>
        <v>9396935610</v>
      </c>
      <c r="R149" s="3">
        <f t="shared" si="23"/>
        <v>64390</v>
      </c>
    </row>
    <row r="150" spans="1:18">
      <c r="A150" s="2">
        <v>5396097</v>
      </c>
      <c r="B150" s="3" t="s">
        <v>291</v>
      </c>
      <c r="C150" s="3" t="s">
        <v>1</v>
      </c>
      <c r="D150" s="3" t="s">
        <v>2</v>
      </c>
      <c r="E150" s="3" t="s">
        <v>876</v>
      </c>
      <c r="F150" s="3" t="s">
        <v>1097</v>
      </c>
      <c r="G150" s="3" t="s">
        <v>1157</v>
      </c>
      <c r="H150" s="3" t="s">
        <v>3754</v>
      </c>
      <c r="I150" s="3" t="s">
        <v>1229</v>
      </c>
      <c r="J150" s="3">
        <f t="shared" si="16"/>
        <v>18</v>
      </c>
      <c r="K150" s="3">
        <f>IF(ISNUMBER(SEARCH("selesai",Sheet2!D150)-1),1,"")</f>
        <v>1</v>
      </c>
      <c r="L150" s="3" t="str">
        <f t="shared" si="17"/>
        <v>Rp. 500.000.000</v>
      </c>
      <c r="M150" s="3" t="str">
        <f t="shared" si="18"/>
        <v>Rp. 498.300.000</v>
      </c>
      <c r="N150" s="3" t="str">
        <f t="shared" si="19"/>
        <v> 500.000.000</v>
      </c>
      <c r="O150" s="3" t="str">
        <f t="shared" si="20"/>
        <v> 498.300.000</v>
      </c>
      <c r="P150" s="3">
        <f t="shared" si="21"/>
        <v>500000000</v>
      </c>
      <c r="Q150" s="3">
        <f t="shared" si="22"/>
        <v>498300000</v>
      </c>
      <c r="R150" s="3">
        <f t="shared" si="23"/>
        <v>1700000</v>
      </c>
    </row>
    <row r="151" spans="1:18">
      <c r="A151" s="2">
        <v>5395097</v>
      </c>
      <c r="B151" s="3" t="s">
        <v>293</v>
      </c>
      <c r="C151" s="3" t="s">
        <v>1</v>
      </c>
      <c r="D151" s="3" t="s">
        <v>2</v>
      </c>
      <c r="E151" s="3" t="s">
        <v>876</v>
      </c>
      <c r="F151" s="3" t="s">
        <v>1097</v>
      </c>
      <c r="G151" s="3" t="s">
        <v>1103</v>
      </c>
      <c r="H151" s="3" t="s">
        <v>3755</v>
      </c>
      <c r="I151" s="3" t="s">
        <v>932</v>
      </c>
      <c r="J151" s="3">
        <f t="shared" si="16"/>
        <v>30</v>
      </c>
      <c r="K151" s="3">
        <f>IF(ISNUMBER(SEARCH("selesai",Sheet2!D151)-1),1,"")</f>
        <v>1</v>
      </c>
      <c r="L151" s="3" t="str">
        <f t="shared" si="17"/>
        <v>Rp. 200.000.000</v>
      </c>
      <c r="M151" s="3" t="str">
        <f t="shared" si="18"/>
        <v>Rp. 199.210.000</v>
      </c>
      <c r="N151" s="3" t="str">
        <f t="shared" si="19"/>
        <v> 200.000.000</v>
      </c>
      <c r="O151" s="3" t="str">
        <f t="shared" si="20"/>
        <v> 199.210.000</v>
      </c>
      <c r="P151" s="3">
        <f t="shared" si="21"/>
        <v>200000000</v>
      </c>
      <c r="Q151" s="3">
        <f t="shared" si="22"/>
        <v>199210000</v>
      </c>
      <c r="R151" s="3">
        <f t="shared" si="23"/>
        <v>790000</v>
      </c>
    </row>
    <row r="152" spans="1:18">
      <c r="A152" s="2">
        <v>5394097</v>
      </c>
      <c r="B152" s="3" t="s">
        <v>295</v>
      </c>
      <c r="C152" s="3" t="s">
        <v>1</v>
      </c>
      <c r="D152" s="3" t="s">
        <v>76</v>
      </c>
      <c r="E152" s="3" t="s">
        <v>876</v>
      </c>
      <c r="F152" s="3" t="s">
        <v>1097</v>
      </c>
      <c r="G152" s="3" t="s">
        <v>1779</v>
      </c>
      <c r="H152" s="3" t="s">
        <v>3756</v>
      </c>
      <c r="I152" s="3" t="s">
        <v>1235</v>
      </c>
      <c r="J152" s="3">
        <f t="shared" si="16"/>
        <v>14</v>
      </c>
      <c r="K152" s="3" t="str">
        <f>IF(ISNUMBER(SEARCH("selesai",Sheet2!D152)-1),1,"")</f>
        <v/>
      </c>
      <c r="L152" s="3" t="str">
        <f t="shared" si="17"/>
        <v>Rp. 135.000.000</v>
      </c>
      <c r="M152" s="3" t="str">
        <f t="shared" si="18"/>
        <v>Rp. 134.986.500</v>
      </c>
      <c r="N152" s="3" t="str">
        <f t="shared" si="19"/>
        <v> 135.000.000</v>
      </c>
      <c r="O152" s="3" t="str">
        <f t="shared" si="20"/>
        <v> 134.986.500</v>
      </c>
      <c r="P152" s="3">
        <f t="shared" si="21"/>
        <v>135000000</v>
      </c>
      <c r="Q152" s="3">
        <f t="shared" si="22"/>
        <v>134986500</v>
      </c>
      <c r="R152" s="3">
        <f t="shared" si="23"/>
        <v>13500</v>
      </c>
    </row>
    <row r="153" spans="1:18">
      <c r="A153" s="2">
        <v>5393097</v>
      </c>
      <c r="B153" s="3" t="s">
        <v>297</v>
      </c>
      <c r="C153" s="3" t="s">
        <v>1</v>
      </c>
      <c r="D153" s="3" t="s">
        <v>2</v>
      </c>
      <c r="E153" s="3" t="s">
        <v>876</v>
      </c>
      <c r="F153" s="3" t="s">
        <v>1097</v>
      </c>
      <c r="G153" s="3" t="s">
        <v>1785</v>
      </c>
      <c r="H153" s="3" t="s">
        <v>3757</v>
      </c>
      <c r="I153" s="3" t="s">
        <v>1305</v>
      </c>
      <c r="J153" s="3">
        <f t="shared" si="16"/>
        <v>15</v>
      </c>
      <c r="K153" s="3">
        <f>IF(ISNUMBER(SEARCH("selesai",Sheet2!D153)-1),1,"")</f>
        <v>1</v>
      </c>
      <c r="L153" s="3" t="str">
        <f t="shared" si="17"/>
        <v>Rp. 170.589.400</v>
      </c>
      <c r="M153" s="3" t="str">
        <f t="shared" si="18"/>
        <v>Rp. 170.538.500</v>
      </c>
      <c r="N153" s="3" t="str">
        <f t="shared" si="19"/>
        <v> 170.589.400</v>
      </c>
      <c r="O153" s="3" t="str">
        <f t="shared" si="20"/>
        <v> 170.538.500</v>
      </c>
      <c r="P153" s="3">
        <f t="shared" si="21"/>
        <v>170589400</v>
      </c>
      <c r="Q153" s="3">
        <f t="shared" si="22"/>
        <v>170538500</v>
      </c>
      <c r="R153" s="3">
        <f t="shared" si="23"/>
        <v>50900</v>
      </c>
    </row>
    <row r="154" spans="1:18">
      <c r="A154" s="2">
        <v>5392097</v>
      </c>
      <c r="B154" s="3" t="s">
        <v>299</v>
      </c>
      <c r="C154" s="3" t="s">
        <v>1</v>
      </c>
      <c r="D154" s="3" t="s">
        <v>2</v>
      </c>
      <c r="E154" s="3" t="s">
        <v>876</v>
      </c>
      <c r="F154" s="3" t="s">
        <v>919</v>
      </c>
      <c r="G154" s="3" t="s">
        <v>1791</v>
      </c>
      <c r="H154" s="3" t="s">
        <v>3758</v>
      </c>
      <c r="I154" s="3" t="s">
        <v>1792</v>
      </c>
      <c r="J154" s="3">
        <f t="shared" si="16"/>
        <v>49</v>
      </c>
      <c r="K154" s="3">
        <f>IF(ISNUMBER(SEARCH("selesai",Sheet2!D154)-1),1,"")</f>
        <v>1</v>
      </c>
      <c r="L154" s="3" t="str">
        <f t="shared" si="17"/>
        <v>Rp. 6.807.000.000</v>
      </c>
      <c r="M154" s="3" t="str">
        <f t="shared" si="18"/>
        <v>Rp. 6.806.926.118</v>
      </c>
      <c r="N154" s="3" t="str">
        <f t="shared" si="19"/>
        <v> 6.807.000.000</v>
      </c>
      <c r="O154" s="3" t="str">
        <f t="shared" si="20"/>
        <v> 6.806.926.118</v>
      </c>
      <c r="P154" s="3">
        <f t="shared" si="21"/>
        <v>6807000000</v>
      </c>
      <c r="Q154" s="3">
        <f t="shared" si="22"/>
        <v>6806926118</v>
      </c>
      <c r="R154" s="3">
        <f t="shared" si="23"/>
        <v>73882</v>
      </c>
    </row>
    <row r="155" spans="1:18">
      <c r="A155" s="2">
        <v>5386097</v>
      </c>
      <c r="B155" s="3" t="s">
        <v>302</v>
      </c>
      <c r="C155" s="3" t="s">
        <v>1</v>
      </c>
      <c r="D155" s="3" t="s">
        <v>2</v>
      </c>
      <c r="E155" s="3" t="s">
        <v>876</v>
      </c>
      <c r="F155" s="3" t="s">
        <v>919</v>
      </c>
      <c r="G155" s="3" t="s">
        <v>1798</v>
      </c>
      <c r="H155" s="3" t="s">
        <v>3759</v>
      </c>
      <c r="I155" s="3" t="s">
        <v>1799</v>
      </c>
      <c r="J155" s="3">
        <f t="shared" si="16"/>
        <v>62</v>
      </c>
      <c r="K155" s="3">
        <f>IF(ISNUMBER(SEARCH("selesai",Sheet2!D155)-1),1,"")</f>
        <v>1</v>
      </c>
      <c r="L155" s="3" t="str">
        <f t="shared" si="17"/>
        <v>Rp. 6.017.000.000</v>
      </c>
      <c r="M155" s="3" t="str">
        <f t="shared" si="18"/>
        <v>Rp. 6.016.900.965</v>
      </c>
      <c r="N155" s="3" t="str">
        <f t="shared" si="19"/>
        <v> 6.017.000.000</v>
      </c>
      <c r="O155" s="3" t="str">
        <f t="shared" si="20"/>
        <v> 6.016.900.965</v>
      </c>
      <c r="P155" s="3">
        <f t="shared" si="21"/>
        <v>6017000000</v>
      </c>
      <c r="Q155" s="3">
        <f t="shared" si="22"/>
        <v>6016900965</v>
      </c>
      <c r="R155" s="3">
        <f t="shared" si="23"/>
        <v>99035</v>
      </c>
    </row>
    <row r="156" spans="1:18">
      <c r="A156" s="2">
        <v>5385097</v>
      </c>
      <c r="B156" s="3" t="s">
        <v>305</v>
      </c>
      <c r="C156" s="3" t="s">
        <v>1</v>
      </c>
      <c r="D156" s="3" t="s">
        <v>2</v>
      </c>
      <c r="E156" s="3" t="s">
        <v>876</v>
      </c>
      <c r="F156" s="3" t="s">
        <v>1097</v>
      </c>
      <c r="G156" s="3" t="s">
        <v>1805</v>
      </c>
      <c r="H156" s="3" t="s">
        <v>3760</v>
      </c>
      <c r="I156" s="3" t="s">
        <v>994</v>
      </c>
      <c r="J156" s="3">
        <f t="shared" si="16"/>
        <v>26</v>
      </c>
      <c r="K156" s="3">
        <f>IF(ISNUMBER(SEARCH("selesai",Sheet2!D156)-1),1,"")</f>
        <v>1</v>
      </c>
      <c r="L156" s="3" t="str">
        <f t="shared" si="17"/>
        <v>Rp. 245.000.000</v>
      </c>
      <c r="M156" s="3" t="str">
        <f t="shared" si="18"/>
        <v>Rp. 244.918.025</v>
      </c>
      <c r="N156" s="3" t="str">
        <f t="shared" si="19"/>
        <v> 245.000.000</v>
      </c>
      <c r="O156" s="3" t="str">
        <f t="shared" si="20"/>
        <v> 244.918.025</v>
      </c>
      <c r="P156" s="3">
        <f t="shared" si="21"/>
        <v>245000000</v>
      </c>
      <c r="Q156" s="3">
        <f t="shared" si="22"/>
        <v>244918025</v>
      </c>
      <c r="R156" s="3">
        <f t="shared" si="23"/>
        <v>81975</v>
      </c>
    </row>
    <row r="157" spans="1:18">
      <c r="A157" s="2">
        <v>5383097</v>
      </c>
      <c r="B157" s="3" t="s">
        <v>307</v>
      </c>
      <c r="C157" s="3" t="s">
        <v>1</v>
      </c>
      <c r="D157" s="3" t="s">
        <v>7</v>
      </c>
      <c r="E157" s="3" t="s">
        <v>876</v>
      </c>
      <c r="F157" s="3" t="s">
        <v>875</v>
      </c>
      <c r="G157" s="3" t="s">
        <v>1418</v>
      </c>
      <c r="H157" s="3" t="s">
        <v>3711</v>
      </c>
      <c r="I157" s="3" t="s">
        <v>1342</v>
      </c>
      <c r="J157" s="3">
        <f t="shared" si="16"/>
        <v>44</v>
      </c>
      <c r="K157" s="3" t="str">
        <f>IF(ISNUMBER(SEARCH("selesai",Sheet2!D157)-1),1,"")</f>
        <v/>
      </c>
      <c r="L157" s="3" t="str">
        <f t="shared" si="17"/>
        <v>Rp. 342.440.000</v>
      </c>
      <c r="M157" s="3" t="str">
        <f t="shared" si="18"/>
        <v>Rp. 342.439.900</v>
      </c>
      <c r="N157" s="3" t="str">
        <f t="shared" si="19"/>
        <v> 342.440.000</v>
      </c>
      <c r="O157" s="3" t="str">
        <f t="shared" si="20"/>
        <v> 342.439.900</v>
      </c>
      <c r="P157" s="3">
        <f t="shared" si="21"/>
        <v>342440000</v>
      </c>
      <c r="Q157" s="3">
        <f t="shared" si="22"/>
        <v>342439900</v>
      </c>
      <c r="R157" s="3">
        <f t="shared" si="23"/>
        <v>100</v>
      </c>
    </row>
    <row r="158" spans="1:18">
      <c r="A158" s="2">
        <v>5378097</v>
      </c>
      <c r="B158" s="3" t="s">
        <v>308</v>
      </c>
      <c r="C158" s="3" t="s">
        <v>1</v>
      </c>
      <c r="D158" s="3" t="s">
        <v>2</v>
      </c>
      <c r="E158" s="3" t="s">
        <v>876</v>
      </c>
      <c r="F158" s="3" t="s">
        <v>919</v>
      </c>
      <c r="G158" s="3" t="s">
        <v>1297</v>
      </c>
      <c r="H158" s="3" t="s">
        <v>3761</v>
      </c>
      <c r="I158" s="3" t="s">
        <v>1063</v>
      </c>
      <c r="J158" s="3">
        <f t="shared" si="16"/>
        <v>36</v>
      </c>
      <c r="K158" s="3">
        <f>IF(ISNUMBER(SEARCH("selesai",Sheet2!D158)-1),1,"")</f>
        <v>1</v>
      </c>
      <c r="L158" s="3" t="str">
        <f t="shared" si="17"/>
        <v>Rp. 2.000.000.000</v>
      </c>
      <c r="M158" s="3" t="str">
        <f t="shared" si="18"/>
        <v>Rp. 1.998.434.414</v>
      </c>
      <c r="N158" s="3" t="str">
        <f t="shared" si="19"/>
        <v> 2.000.000.000</v>
      </c>
      <c r="O158" s="3" t="str">
        <f t="shared" si="20"/>
        <v> 1.998.434.414</v>
      </c>
      <c r="P158" s="3">
        <f t="shared" si="21"/>
        <v>2000000000</v>
      </c>
      <c r="Q158" s="3">
        <f t="shared" si="22"/>
        <v>1998434414</v>
      </c>
      <c r="R158" s="3">
        <f t="shared" si="23"/>
        <v>1565586</v>
      </c>
    </row>
    <row r="159" spans="1:18">
      <c r="A159" s="2">
        <v>5377097</v>
      </c>
      <c r="B159" s="3" t="s">
        <v>307</v>
      </c>
      <c r="C159" s="3" t="s">
        <v>1</v>
      </c>
      <c r="D159" s="3" t="s">
        <v>7</v>
      </c>
      <c r="E159" s="3" t="s">
        <v>876</v>
      </c>
      <c r="F159" s="3" t="s">
        <v>875</v>
      </c>
      <c r="G159" s="3" t="s">
        <v>1569</v>
      </c>
      <c r="H159" s="3" t="s">
        <v>3729</v>
      </c>
      <c r="I159" s="3" t="s">
        <v>1672</v>
      </c>
      <c r="J159" s="3">
        <f t="shared" si="16"/>
        <v>16</v>
      </c>
      <c r="K159" s="3" t="str">
        <f>IF(ISNUMBER(SEARCH("selesai",Sheet2!D159)-1),1,"")</f>
        <v/>
      </c>
      <c r="L159" s="3" t="str">
        <f t="shared" si="17"/>
        <v>Rp. 1.550.000.000</v>
      </c>
      <c r="M159" s="3" t="str">
        <f t="shared" si="18"/>
        <v>Rp. 593.288.770</v>
      </c>
      <c r="N159" s="3" t="str">
        <f t="shared" si="19"/>
        <v> 1.550.000.000</v>
      </c>
      <c r="O159" s="3" t="str">
        <f t="shared" si="20"/>
        <v> 593.288.770</v>
      </c>
      <c r="P159" s="3">
        <f t="shared" si="21"/>
        <v>1550000000</v>
      </c>
      <c r="Q159" s="3">
        <f t="shared" si="22"/>
        <v>593288770</v>
      </c>
      <c r="R159" s="3">
        <f t="shared" si="23"/>
        <v>956711230</v>
      </c>
    </row>
    <row r="160" spans="1:18">
      <c r="A160" s="2">
        <v>5375097</v>
      </c>
      <c r="B160" s="3" t="s">
        <v>309</v>
      </c>
      <c r="C160" s="3" t="s">
        <v>1</v>
      </c>
      <c r="D160" s="3" t="s">
        <v>2</v>
      </c>
      <c r="E160" s="3" t="s">
        <v>876</v>
      </c>
      <c r="F160" s="3" t="s">
        <v>919</v>
      </c>
      <c r="G160" s="3" t="s">
        <v>1826</v>
      </c>
      <c r="H160" s="3" t="s">
        <v>3762</v>
      </c>
      <c r="I160" s="3" t="s">
        <v>1827</v>
      </c>
      <c r="J160" s="3">
        <f t="shared" si="16"/>
        <v>86</v>
      </c>
      <c r="K160" s="3">
        <f>IF(ISNUMBER(SEARCH("selesai",Sheet2!D160)-1),1,"")</f>
        <v>1</v>
      </c>
      <c r="L160" s="3" t="str">
        <f t="shared" si="17"/>
        <v>Rp. 10.074.000.000</v>
      </c>
      <c r="M160" s="3" t="str">
        <f t="shared" si="18"/>
        <v>Rp. 10.073.955.620</v>
      </c>
      <c r="N160" s="3" t="str">
        <f t="shared" si="19"/>
        <v> 10.074.000.000</v>
      </c>
      <c r="O160" s="3" t="str">
        <f t="shared" si="20"/>
        <v> 10.073.955.620</v>
      </c>
      <c r="P160" s="3">
        <f t="shared" si="21"/>
        <v>10074000000</v>
      </c>
      <c r="Q160" s="3">
        <f t="shared" si="22"/>
        <v>10073955620</v>
      </c>
      <c r="R160" s="3">
        <f t="shared" si="23"/>
        <v>44380</v>
      </c>
    </row>
    <row r="161" spans="1:18">
      <c r="A161" s="2">
        <v>5364097</v>
      </c>
      <c r="B161" s="3" t="s">
        <v>312</v>
      </c>
      <c r="C161" s="3" t="s">
        <v>1</v>
      </c>
      <c r="D161" s="3" t="s">
        <v>7</v>
      </c>
      <c r="E161" s="3" t="s">
        <v>876</v>
      </c>
      <c r="F161" s="3" t="s">
        <v>919</v>
      </c>
      <c r="G161" s="3" t="s">
        <v>1521</v>
      </c>
      <c r="H161" s="3" t="s">
        <v>3725</v>
      </c>
      <c r="I161" s="3" t="s">
        <v>1557</v>
      </c>
      <c r="J161" s="3">
        <f t="shared" si="16"/>
        <v>63</v>
      </c>
      <c r="K161" s="3" t="str">
        <f>IF(ISNUMBER(SEARCH("selesai",Sheet2!D161)-1),1,"")</f>
        <v/>
      </c>
      <c r="L161" s="3" t="str">
        <f t="shared" si="17"/>
        <v>Rp. 2.200.000.000</v>
      </c>
      <c r="M161" s="3" t="str">
        <f t="shared" si="18"/>
        <v>Rp. 2.199.774.548</v>
      </c>
      <c r="N161" s="3" t="str">
        <f t="shared" si="19"/>
        <v> 2.200.000.000</v>
      </c>
      <c r="O161" s="3" t="str">
        <f t="shared" si="20"/>
        <v> 2.199.774.548</v>
      </c>
      <c r="P161" s="3">
        <f t="shared" si="21"/>
        <v>2200000000</v>
      </c>
      <c r="Q161" s="3">
        <f t="shared" si="22"/>
        <v>2199774548</v>
      </c>
      <c r="R161" s="3">
        <f t="shared" si="23"/>
        <v>225452</v>
      </c>
    </row>
    <row r="162" spans="1:18">
      <c r="A162" s="2">
        <v>5356097</v>
      </c>
      <c r="B162" s="3" t="s">
        <v>313</v>
      </c>
      <c r="C162" s="3" t="s">
        <v>1</v>
      </c>
      <c r="D162" s="3" t="s">
        <v>7</v>
      </c>
      <c r="E162" s="3" t="s">
        <v>876</v>
      </c>
      <c r="F162" s="3" t="s">
        <v>1026</v>
      </c>
      <c r="G162" s="3" t="s">
        <v>1838</v>
      </c>
      <c r="H162" s="3" t="s">
        <v>3763</v>
      </c>
      <c r="I162" s="3" t="s">
        <v>953</v>
      </c>
      <c r="J162" s="3">
        <f t="shared" si="16"/>
        <v>0</v>
      </c>
      <c r="K162" s="3" t="str">
        <f>IF(ISNUMBER(SEARCH("selesai",Sheet2!D162)-1),1,"")</f>
        <v/>
      </c>
      <c r="L162" s="3" t="str">
        <f t="shared" si="17"/>
        <v>Rp. 1.570.635.000</v>
      </c>
      <c r="M162" s="3" t="str">
        <f t="shared" si="18"/>
        <v>Rp. 1.570.597.242</v>
      </c>
      <c r="N162" s="3" t="str">
        <f t="shared" si="19"/>
        <v> 1.570.635.000</v>
      </c>
      <c r="O162" s="3" t="str">
        <f t="shared" si="20"/>
        <v> 1.570.597.242</v>
      </c>
      <c r="P162" s="3">
        <f t="shared" si="21"/>
        <v>1570635000</v>
      </c>
      <c r="Q162" s="3">
        <f t="shared" si="22"/>
        <v>1570597242</v>
      </c>
      <c r="R162" s="3">
        <f t="shared" si="23"/>
        <v>37758</v>
      </c>
    </row>
    <row r="163" spans="1:18">
      <c r="A163" s="2">
        <v>5353097</v>
      </c>
      <c r="B163" s="3" t="s">
        <v>314</v>
      </c>
      <c r="C163" s="3" t="s">
        <v>1</v>
      </c>
      <c r="D163" s="3" t="s">
        <v>2</v>
      </c>
      <c r="E163" s="3" t="s">
        <v>933</v>
      </c>
      <c r="F163" s="3" t="s">
        <v>1026</v>
      </c>
      <c r="G163" s="3" t="s">
        <v>1844</v>
      </c>
      <c r="H163" s="3" t="s">
        <v>3764</v>
      </c>
      <c r="I163" s="3" t="s">
        <v>1845</v>
      </c>
      <c r="J163" s="3">
        <f t="shared" si="16"/>
        <v>6</v>
      </c>
      <c r="K163" s="3">
        <f>IF(ISNUMBER(SEARCH("selesai",Sheet2!D163)-1),1,"")</f>
        <v>1</v>
      </c>
      <c r="L163" s="3" t="str">
        <f t="shared" si="17"/>
        <v>Rp. 1.792.590.000</v>
      </c>
      <c r="M163" s="3" t="str">
        <f t="shared" si="18"/>
        <v>Rp. 1.789.065.450</v>
      </c>
      <c r="N163" s="3" t="str">
        <f t="shared" si="19"/>
        <v> 1.792.590.000</v>
      </c>
      <c r="O163" s="3" t="str">
        <f t="shared" si="20"/>
        <v> 1.789.065.450</v>
      </c>
      <c r="P163" s="3">
        <f t="shared" si="21"/>
        <v>1792590000</v>
      </c>
      <c r="Q163" s="3">
        <f t="shared" si="22"/>
        <v>1789065450</v>
      </c>
      <c r="R163" s="3">
        <f t="shared" si="23"/>
        <v>3524550</v>
      </c>
    </row>
    <row r="164" spans="1:18">
      <c r="A164" s="2">
        <v>5352097</v>
      </c>
      <c r="B164" s="3" t="s">
        <v>316</v>
      </c>
      <c r="C164" s="3" t="s">
        <v>1</v>
      </c>
      <c r="D164" s="3" t="s">
        <v>7</v>
      </c>
      <c r="E164" s="3" t="s">
        <v>933</v>
      </c>
      <c r="F164" s="3" t="s">
        <v>1026</v>
      </c>
      <c r="G164" s="3" t="s">
        <v>1844</v>
      </c>
      <c r="H164" s="3" t="s">
        <v>3764</v>
      </c>
      <c r="I164" s="3" t="s">
        <v>953</v>
      </c>
      <c r="J164" s="3">
        <f t="shared" si="16"/>
        <v>0</v>
      </c>
      <c r="K164" s="3" t="str">
        <f>IF(ISNUMBER(SEARCH("selesai",Sheet2!D164)-1),1,"")</f>
        <v/>
      </c>
      <c r="L164" s="3" t="str">
        <f t="shared" si="17"/>
        <v>Rp. 1.792.590.000</v>
      </c>
      <c r="M164" s="3" t="str">
        <f t="shared" si="18"/>
        <v>Rp. 1.789.065.450</v>
      </c>
      <c r="N164" s="3" t="str">
        <f t="shared" si="19"/>
        <v> 1.792.590.000</v>
      </c>
      <c r="O164" s="3" t="str">
        <f t="shared" si="20"/>
        <v> 1.789.065.450</v>
      </c>
      <c r="P164" s="3">
        <f t="shared" si="21"/>
        <v>1792590000</v>
      </c>
      <c r="Q164" s="3">
        <f t="shared" si="22"/>
        <v>1789065450</v>
      </c>
      <c r="R164" s="3">
        <f t="shared" si="23"/>
        <v>3524550</v>
      </c>
    </row>
    <row r="165" spans="1:18">
      <c r="A165" s="2">
        <v>5351097</v>
      </c>
      <c r="B165" s="3" t="s">
        <v>317</v>
      </c>
      <c r="C165" s="3" t="s">
        <v>1</v>
      </c>
      <c r="D165" s="3" t="s">
        <v>2</v>
      </c>
      <c r="E165" s="3" t="s">
        <v>876</v>
      </c>
      <c r="F165" s="3" t="s">
        <v>875</v>
      </c>
      <c r="G165" s="3" t="s">
        <v>1856</v>
      </c>
      <c r="H165" s="3" t="s">
        <v>3765</v>
      </c>
      <c r="I165" s="3" t="s">
        <v>972</v>
      </c>
      <c r="J165" s="3">
        <f t="shared" si="16"/>
        <v>9</v>
      </c>
      <c r="K165" s="3">
        <f>IF(ISNUMBER(SEARCH("selesai",Sheet2!D165)-1),1,"")</f>
        <v>1</v>
      </c>
      <c r="L165" s="3" t="str">
        <f t="shared" si="17"/>
        <v>Rp. 261.318.000</v>
      </c>
      <c r="M165" s="3" t="str">
        <f t="shared" si="18"/>
        <v>Rp. 238.911.000</v>
      </c>
      <c r="N165" s="3" t="str">
        <f t="shared" si="19"/>
        <v> 261.318.000</v>
      </c>
      <c r="O165" s="3" t="str">
        <f t="shared" si="20"/>
        <v> 238.911.000</v>
      </c>
      <c r="P165" s="3">
        <f t="shared" si="21"/>
        <v>261318000</v>
      </c>
      <c r="Q165" s="3">
        <f t="shared" si="22"/>
        <v>238911000</v>
      </c>
      <c r="R165" s="3">
        <f t="shared" si="23"/>
        <v>22407000</v>
      </c>
    </row>
    <row r="166" spans="1:18">
      <c r="A166" s="2">
        <v>5347097</v>
      </c>
      <c r="B166" s="3" t="s">
        <v>320</v>
      </c>
      <c r="C166" s="3" t="s">
        <v>149</v>
      </c>
      <c r="D166" s="3" t="s">
        <v>2</v>
      </c>
      <c r="E166" s="3" t="s">
        <v>1033</v>
      </c>
      <c r="F166" s="3" t="s">
        <v>1097</v>
      </c>
      <c r="G166" s="3" t="s">
        <v>1862</v>
      </c>
      <c r="H166" s="3" t="s">
        <v>3766</v>
      </c>
      <c r="I166" s="3" t="s">
        <v>1863</v>
      </c>
      <c r="J166" s="3">
        <f t="shared" si="16"/>
        <v>43</v>
      </c>
      <c r="K166" s="3">
        <f>IF(ISNUMBER(SEARCH("selesai",Sheet2!D166)-1),1,"")</f>
        <v>1</v>
      </c>
      <c r="L166" s="3" t="str">
        <f t="shared" si="17"/>
        <v>Rp. 189.000.000</v>
      </c>
      <c r="M166" s="3" t="str">
        <f t="shared" si="18"/>
        <v>Rp. 188.980.000</v>
      </c>
      <c r="N166" s="3" t="str">
        <f t="shared" si="19"/>
        <v> 189.000.000</v>
      </c>
      <c r="O166" s="3" t="str">
        <f t="shared" si="20"/>
        <v> 188.980.000</v>
      </c>
      <c r="P166" s="3">
        <f t="shared" si="21"/>
        <v>189000000</v>
      </c>
      <c r="Q166" s="3">
        <f t="shared" si="22"/>
        <v>188980000</v>
      </c>
      <c r="R166" s="3">
        <f t="shared" si="23"/>
        <v>20000</v>
      </c>
    </row>
    <row r="167" spans="1:18">
      <c r="A167" s="2">
        <v>5346097</v>
      </c>
      <c r="B167" s="3" t="s">
        <v>323</v>
      </c>
      <c r="C167" s="3" t="s">
        <v>149</v>
      </c>
      <c r="D167" s="3" t="s">
        <v>2</v>
      </c>
      <c r="E167" s="3" t="s">
        <v>1033</v>
      </c>
      <c r="F167" s="3" t="s">
        <v>919</v>
      </c>
      <c r="G167" s="3" t="s">
        <v>1869</v>
      </c>
      <c r="H167" s="3" t="s">
        <v>3767</v>
      </c>
      <c r="I167" s="3" t="s">
        <v>1870</v>
      </c>
      <c r="J167" s="3">
        <f t="shared" si="16"/>
        <v>118</v>
      </c>
      <c r="K167" s="3">
        <f>IF(ISNUMBER(SEARCH("selesai",Sheet2!D167)-1),1,"")</f>
        <v>1</v>
      </c>
      <c r="L167" s="3" t="str">
        <f t="shared" si="17"/>
        <v>Rp. 7.833.060.000</v>
      </c>
      <c r="M167" s="3" t="str">
        <f t="shared" si="18"/>
        <v>Rp. 7.827.388.359</v>
      </c>
      <c r="N167" s="3" t="str">
        <f t="shared" si="19"/>
        <v> 7.833.060.000</v>
      </c>
      <c r="O167" s="3" t="str">
        <f t="shared" si="20"/>
        <v> 7.827.388.359</v>
      </c>
      <c r="P167" s="3">
        <f t="shared" si="21"/>
        <v>7833060000</v>
      </c>
      <c r="Q167" s="3">
        <f t="shared" si="22"/>
        <v>7827388359</v>
      </c>
      <c r="R167" s="3">
        <f t="shared" si="23"/>
        <v>5671641</v>
      </c>
    </row>
    <row r="168" spans="1:18">
      <c r="A168" s="2">
        <v>5343097</v>
      </c>
      <c r="B168" s="3" t="s">
        <v>325</v>
      </c>
      <c r="C168" s="3" t="s">
        <v>1</v>
      </c>
      <c r="D168" s="3" t="s">
        <v>2</v>
      </c>
      <c r="E168" s="3" t="s">
        <v>876</v>
      </c>
      <c r="F168" s="3" t="s">
        <v>919</v>
      </c>
      <c r="G168" s="3" t="s">
        <v>1297</v>
      </c>
      <c r="H168" s="3" t="s">
        <v>3768</v>
      </c>
      <c r="I168" s="3" t="s">
        <v>1876</v>
      </c>
      <c r="J168" s="3">
        <f t="shared" si="16"/>
        <v>83</v>
      </c>
      <c r="K168" s="3">
        <f>IF(ISNUMBER(SEARCH("selesai",Sheet2!D168)-1),1,"")</f>
        <v>1</v>
      </c>
      <c r="L168" s="3" t="str">
        <f t="shared" si="17"/>
        <v>Rp. 2.000.000.000</v>
      </c>
      <c r="M168" s="3" t="str">
        <f t="shared" si="18"/>
        <v>Rp. 1.999.188.760</v>
      </c>
      <c r="N168" s="3" t="str">
        <f t="shared" si="19"/>
        <v> 2.000.000.000</v>
      </c>
      <c r="O168" s="3" t="str">
        <f t="shared" si="20"/>
        <v> 1.999.188.760</v>
      </c>
      <c r="P168" s="3">
        <f t="shared" si="21"/>
        <v>2000000000</v>
      </c>
      <c r="Q168" s="3">
        <f t="shared" si="22"/>
        <v>1999188760</v>
      </c>
      <c r="R168" s="3">
        <f t="shared" si="23"/>
        <v>811240</v>
      </c>
    </row>
    <row r="169" spans="1:18">
      <c r="A169" s="2">
        <v>5341097</v>
      </c>
      <c r="B169" s="3" t="s">
        <v>326</v>
      </c>
      <c r="C169" s="3" t="s">
        <v>1</v>
      </c>
      <c r="D169" s="3" t="s">
        <v>2</v>
      </c>
      <c r="E169" s="3" t="s">
        <v>876</v>
      </c>
      <c r="F169" s="3" t="s">
        <v>875</v>
      </c>
      <c r="G169" s="3" t="s">
        <v>1882</v>
      </c>
      <c r="H169" s="3" t="s">
        <v>3769</v>
      </c>
      <c r="I169" s="3" t="s">
        <v>972</v>
      </c>
      <c r="J169" s="3">
        <f t="shared" si="16"/>
        <v>9</v>
      </c>
      <c r="K169" s="3">
        <f>IF(ISNUMBER(SEARCH("selesai",Sheet2!D169)-1),1,"")</f>
        <v>1</v>
      </c>
      <c r="L169" s="3" t="str">
        <f t="shared" si="17"/>
        <v>Rp. 1.800.000.000</v>
      </c>
      <c r="M169" s="3" t="str">
        <f t="shared" si="18"/>
        <v>Rp. 1.796.690.500</v>
      </c>
      <c r="N169" s="3" t="str">
        <f t="shared" si="19"/>
        <v> 1.800.000.000</v>
      </c>
      <c r="O169" s="3" t="str">
        <f t="shared" si="20"/>
        <v> 1.796.690.500</v>
      </c>
      <c r="P169" s="3">
        <f t="shared" si="21"/>
        <v>1800000000</v>
      </c>
      <c r="Q169" s="3">
        <f t="shared" si="22"/>
        <v>1796690500</v>
      </c>
      <c r="R169" s="3">
        <f t="shared" si="23"/>
        <v>3309500</v>
      </c>
    </row>
    <row r="170" spans="1:18">
      <c r="A170" s="2">
        <v>5339097</v>
      </c>
      <c r="B170" s="3" t="s">
        <v>327</v>
      </c>
      <c r="C170" s="3" t="s">
        <v>1</v>
      </c>
      <c r="D170" s="3" t="s">
        <v>2</v>
      </c>
      <c r="E170" s="3" t="s">
        <v>1033</v>
      </c>
      <c r="F170" s="3" t="s">
        <v>919</v>
      </c>
      <c r="G170" s="3" t="s">
        <v>1888</v>
      </c>
      <c r="H170" s="3" t="s">
        <v>3770</v>
      </c>
      <c r="I170" s="3" t="s">
        <v>932</v>
      </c>
      <c r="J170" s="3">
        <f t="shared" si="16"/>
        <v>30</v>
      </c>
      <c r="K170" s="3">
        <f>IF(ISNUMBER(SEARCH("selesai",Sheet2!D170)-1),1,"")</f>
        <v>1</v>
      </c>
      <c r="L170" s="3" t="str">
        <f t="shared" si="17"/>
        <v>Rp. 428.265.000</v>
      </c>
      <c r="M170" s="3" t="str">
        <f t="shared" si="18"/>
        <v>Rp. 427.387.110</v>
      </c>
      <c r="N170" s="3" t="str">
        <f t="shared" si="19"/>
        <v> 428.265.000</v>
      </c>
      <c r="O170" s="3" t="str">
        <f t="shared" si="20"/>
        <v> 427.387.110</v>
      </c>
      <c r="P170" s="3">
        <f t="shared" si="21"/>
        <v>428265000</v>
      </c>
      <c r="Q170" s="3">
        <f t="shared" si="22"/>
        <v>427387110</v>
      </c>
      <c r="R170" s="3">
        <f t="shared" si="23"/>
        <v>877890</v>
      </c>
    </row>
    <row r="171" spans="1:18">
      <c r="A171" s="2">
        <v>5336097</v>
      </c>
      <c r="B171" s="3" t="s">
        <v>329</v>
      </c>
      <c r="C171" s="3" t="s">
        <v>1</v>
      </c>
      <c r="D171" s="3" t="s">
        <v>2</v>
      </c>
      <c r="E171" s="3" t="s">
        <v>876</v>
      </c>
      <c r="F171" s="3" t="s">
        <v>919</v>
      </c>
      <c r="G171" s="3" t="s">
        <v>1297</v>
      </c>
      <c r="H171" s="3" t="s">
        <v>3771</v>
      </c>
      <c r="I171" s="3" t="s">
        <v>1894</v>
      </c>
      <c r="J171" s="3">
        <f t="shared" si="16"/>
        <v>61</v>
      </c>
      <c r="K171" s="3">
        <f>IF(ISNUMBER(SEARCH("selesai",Sheet2!D171)-1),1,"")</f>
        <v>1</v>
      </c>
      <c r="L171" s="3" t="str">
        <f t="shared" si="17"/>
        <v>Rp. 2.000.000.000</v>
      </c>
      <c r="M171" s="3" t="str">
        <f t="shared" si="18"/>
        <v>Rp. 1.999.619.503</v>
      </c>
      <c r="N171" s="3" t="str">
        <f t="shared" si="19"/>
        <v> 2.000.000.000</v>
      </c>
      <c r="O171" s="3" t="str">
        <f t="shared" si="20"/>
        <v> 1.999.619.503</v>
      </c>
      <c r="P171" s="3">
        <f t="shared" si="21"/>
        <v>2000000000</v>
      </c>
      <c r="Q171" s="3">
        <f t="shared" si="22"/>
        <v>1999619503</v>
      </c>
      <c r="R171" s="3">
        <f t="shared" si="23"/>
        <v>380497</v>
      </c>
    </row>
    <row r="172" spans="1:18">
      <c r="A172" s="2">
        <v>5335097</v>
      </c>
      <c r="B172" s="3" t="s">
        <v>330</v>
      </c>
      <c r="C172" s="3" t="s">
        <v>1</v>
      </c>
      <c r="D172" s="3" t="s">
        <v>2</v>
      </c>
      <c r="E172" s="3" t="s">
        <v>876</v>
      </c>
      <c r="F172" s="3" t="s">
        <v>919</v>
      </c>
      <c r="G172" s="3" t="s">
        <v>1900</v>
      </c>
      <c r="H172" s="3" t="s">
        <v>3772</v>
      </c>
      <c r="I172" s="3" t="s">
        <v>1901</v>
      </c>
      <c r="J172" s="3">
        <f t="shared" si="16"/>
        <v>46</v>
      </c>
      <c r="K172" s="3">
        <f>IF(ISNUMBER(SEARCH("selesai",Sheet2!D172)-1),1,"")</f>
        <v>1</v>
      </c>
      <c r="L172" s="3" t="str">
        <f t="shared" si="17"/>
        <v>Rp. 45.000.000.000</v>
      </c>
      <c r="M172" s="3" t="str">
        <f t="shared" si="18"/>
        <v>Rp. 37.773.717.911</v>
      </c>
      <c r="N172" s="3" t="str">
        <f t="shared" si="19"/>
        <v> 45.000.000.000</v>
      </c>
      <c r="O172" s="3" t="str">
        <f t="shared" si="20"/>
        <v> 37.773.717.911</v>
      </c>
      <c r="P172" s="3">
        <f t="shared" si="21"/>
        <v>45000000000</v>
      </c>
      <c r="Q172" s="3">
        <f t="shared" si="22"/>
        <v>37773717911</v>
      </c>
      <c r="R172" s="3">
        <f t="shared" si="23"/>
        <v>7226282089</v>
      </c>
    </row>
    <row r="173" spans="1:18">
      <c r="A173" s="2">
        <v>5334097</v>
      </c>
      <c r="B173" s="3" t="s">
        <v>332</v>
      </c>
      <c r="C173" s="3" t="s">
        <v>1</v>
      </c>
      <c r="D173" s="3" t="s">
        <v>2</v>
      </c>
      <c r="E173" s="3" t="s">
        <v>876</v>
      </c>
      <c r="F173" s="3" t="s">
        <v>919</v>
      </c>
      <c r="G173" s="3" t="s">
        <v>1907</v>
      </c>
      <c r="H173" s="3" t="s">
        <v>3773</v>
      </c>
      <c r="I173" s="3" t="s">
        <v>1827</v>
      </c>
      <c r="J173" s="3">
        <f t="shared" si="16"/>
        <v>86</v>
      </c>
      <c r="K173" s="3">
        <f>IF(ISNUMBER(SEARCH("selesai",Sheet2!D173)-1),1,"")</f>
        <v>1</v>
      </c>
      <c r="L173" s="3" t="str">
        <f t="shared" si="17"/>
        <v>Rp. 9.950.000.000</v>
      </c>
      <c r="M173" s="3" t="str">
        <f t="shared" si="18"/>
        <v>Rp. 9.748.615.906</v>
      </c>
      <c r="N173" s="3" t="str">
        <f t="shared" si="19"/>
        <v> 9.950.000.000</v>
      </c>
      <c r="O173" s="3" t="str">
        <f t="shared" si="20"/>
        <v> 9.748.615.906</v>
      </c>
      <c r="P173" s="3">
        <f t="shared" si="21"/>
        <v>9950000000</v>
      </c>
      <c r="Q173" s="3">
        <f t="shared" si="22"/>
        <v>9748615906</v>
      </c>
      <c r="R173" s="3">
        <f t="shared" si="23"/>
        <v>201384094</v>
      </c>
    </row>
    <row r="174" spans="1:18">
      <c r="A174" s="2">
        <v>5333097</v>
      </c>
      <c r="B174" s="3" t="s">
        <v>334</v>
      </c>
      <c r="C174" s="3" t="s">
        <v>1</v>
      </c>
      <c r="D174" s="3" t="s">
        <v>2</v>
      </c>
      <c r="E174" s="3" t="s">
        <v>876</v>
      </c>
      <c r="F174" s="3" t="s">
        <v>919</v>
      </c>
      <c r="G174" s="3" t="s">
        <v>1913</v>
      </c>
      <c r="H174" s="3" t="s">
        <v>3774</v>
      </c>
      <c r="I174" s="3" t="s">
        <v>1914</v>
      </c>
      <c r="J174" s="3">
        <f t="shared" si="16"/>
        <v>72</v>
      </c>
      <c r="K174" s="3">
        <f>IF(ISNUMBER(SEARCH("selesai",Sheet2!D174)-1),1,"")</f>
        <v>1</v>
      </c>
      <c r="L174" s="3" t="str">
        <f t="shared" si="17"/>
        <v>Rp. 7.500.000.000</v>
      </c>
      <c r="M174" s="3" t="str">
        <f t="shared" si="18"/>
        <v>Rp. 7.391.389.041</v>
      </c>
      <c r="N174" s="3" t="str">
        <f t="shared" si="19"/>
        <v> 7.500.000.000</v>
      </c>
      <c r="O174" s="3" t="str">
        <f t="shared" si="20"/>
        <v> 7.391.389.041</v>
      </c>
      <c r="P174" s="3">
        <f t="shared" si="21"/>
        <v>7500000000</v>
      </c>
      <c r="Q174" s="3">
        <f t="shared" si="22"/>
        <v>7391389041</v>
      </c>
      <c r="R174" s="3">
        <f t="shared" si="23"/>
        <v>108610959</v>
      </c>
    </row>
    <row r="175" spans="1:18">
      <c r="A175" s="2">
        <v>5332097</v>
      </c>
      <c r="B175" s="3" t="s">
        <v>316</v>
      </c>
      <c r="C175" s="3" t="s">
        <v>1</v>
      </c>
      <c r="D175" s="3" t="s">
        <v>7</v>
      </c>
      <c r="E175" s="3" t="s">
        <v>933</v>
      </c>
      <c r="F175" s="3" t="s">
        <v>1026</v>
      </c>
      <c r="G175" s="3" t="s">
        <v>1844</v>
      </c>
      <c r="H175" s="3" t="s">
        <v>3764</v>
      </c>
      <c r="I175" s="3" t="s">
        <v>1920</v>
      </c>
      <c r="J175" s="3">
        <f t="shared" si="16"/>
        <v>3</v>
      </c>
      <c r="K175" s="3" t="str">
        <f>IF(ISNUMBER(SEARCH("selesai",Sheet2!D175)-1),1,"")</f>
        <v/>
      </c>
      <c r="L175" s="3" t="str">
        <f t="shared" si="17"/>
        <v>Rp. 1.792.590.000</v>
      </c>
      <c r="M175" s="3" t="str">
        <f t="shared" si="18"/>
        <v>Rp. 1.789.065.450</v>
      </c>
      <c r="N175" s="3" t="str">
        <f t="shared" si="19"/>
        <v> 1.792.590.000</v>
      </c>
      <c r="O175" s="3" t="str">
        <f t="shared" si="20"/>
        <v> 1.789.065.450</v>
      </c>
      <c r="P175" s="3">
        <f t="shared" si="21"/>
        <v>1792590000</v>
      </c>
      <c r="Q175" s="3">
        <f t="shared" si="22"/>
        <v>1789065450</v>
      </c>
      <c r="R175" s="3">
        <f t="shared" si="23"/>
        <v>3524550</v>
      </c>
    </row>
    <row r="176" spans="1:18">
      <c r="A176" s="2">
        <v>5331097</v>
      </c>
      <c r="B176" s="3" t="s">
        <v>336</v>
      </c>
      <c r="C176" s="3" t="s">
        <v>1</v>
      </c>
      <c r="D176" s="3" t="s">
        <v>7</v>
      </c>
      <c r="E176" s="3" t="s">
        <v>876</v>
      </c>
      <c r="F176" s="3" t="s">
        <v>919</v>
      </c>
      <c r="G176" s="3" t="s">
        <v>1798</v>
      </c>
      <c r="H176" s="3" t="s">
        <v>3759</v>
      </c>
      <c r="I176" s="3" t="s">
        <v>1926</v>
      </c>
      <c r="J176" s="3">
        <f t="shared" si="16"/>
        <v>66</v>
      </c>
      <c r="K176" s="3" t="str">
        <f>IF(ISNUMBER(SEARCH("selesai",Sheet2!D176)-1),1,"")</f>
        <v/>
      </c>
      <c r="L176" s="3" t="str">
        <f t="shared" si="17"/>
        <v>Rp. 6.017.000.000</v>
      </c>
      <c r="M176" s="3" t="str">
        <f t="shared" si="18"/>
        <v>Rp. 6.016.900.965</v>
      </c>
      <c r="N176" s="3" t="str">
        <f t="shared" si="19"/>
        <v> 6.017.000.000</v>
      </c>
      <c r="O176" s="3" t="str">
        <f t="shared" si="20"/>
        <v> 6.016.900.965</v>
      </c>
      <c r="P176" s="3">
        <f t="shared" si="21"/>
        <v>6017000000</v>
      </c>
      <c r="Q176" s="3">
        <f t="shared" si="22"/>
        <v>6016900965</v>
      </c>
      <c r="R176" s="3">
        <f t="shared" si="23"/>
        <v>99035</v>
      </c>
    </row>
    <row r="177" spans="1:18">
      <c r="A177" s="2">
        <v>5329097</v>
      </c>
      <c r="B177" s="3" t="s">
        <v>337</v>
      </c>
      <c r="C177" s="3" t="s">
        <v>1</v>
      </c>
      <c r="D177" s="3" t="s">
        <v>7</v>
      </c>
      <c r="E177" s="3" t="s">
        <v>876</v>
      </c>
      <c r="F177" s="3" t="s">
        <v>875</v>
      </c>
      <c r="G177" s="3" t="s">
        <v>1882</v>
      </c>
      <c r="H177" s="3" t="s">
        <v>3769</v>
      </c>
      <c r="I177" s="3" t="s">
        <v>1056</v>
      </c>
      <c r="J177" s="3">
        <f t="shared" si="16"/>
        <v>11</v>
      </c>
      <c r="K177" s="3" t="str">
        <f>IF(ISNUMBER(SEARCH("selesai",Sheet2!D177)-1),1,"")</f>
        <v/>
      </c>
      <c r="L177" s="3" t="str">
        <f t="shared" si="17"/>
        <v>Rp. 1.800.000.000</v>
      </c>
      <c r="M177" s="3" t="str">
        <f t="shared" si="18"/>
        <v>Rp. 1.796.690.500</v>
      </c>
      <c r="N177" s="3" t="str">
        <f t="shared" si="19"/>
        <v> 1.800.000.000</v>
      </c>
      <c r="O177" s="3" t="str">
        <f t="shared" si="20"/>
        <v> 1.796.690.500</v>
      </c>
      <c r="P177" s="3">
        <f t="shared" si="21"/>
        <v>1800000000</v>
      </c>
      <c r="Q177" s="3">
        <f t="shared" si="22"/>
        <v>1796690500</v>
      </c>
      <c r="R177" s="3">
        <f t="shared" si="23"/>
        <v>3309500</v>
      </c>
    </row>
    <row r="178" spans="1:18">
      <c r="A178" s="2">
        <v>5327097</v>
      </c>
      <c r="B178" s="3" t="s">
        <v>338</v>
      </c>
      <c r="C178" s="3" t="s">
        <v>1</v>
      </c>
      <c r="D178" s="3" t="s">
        <v>7</v>
      </c>
      <c r="E178" s="3" t="s">
        <v>933</v>
      </c>
      <c r="F178" s="3" t="s">
        <v>1026</v>
      </c>
      <c r="G178" s="3" t="s">
        <v>1844</v>
      </c>
      <c r="H178" s="3" t="s">
        <v>3764</v>
      </c>
      <c r="I178" s="3" t="s">
        <v>1937</v>
      </c>
      <c r="J178" s="3">
        <f t="shared" si="16"/>
        <v>1</v>
      </c>
      <c r="K178" s="3" t="str">
        <f>IF(ISNUMBER(SEARCH("selesai",Sheet2!D178)-1),1,"")</f>
        <v/>
      </c>
      <c r="L178" s="3" t="str">
        <f t="shared" si="17"/>
        <v>Rp. 1.792.590.000</v>
      </c>
      <c r="M178" s="3" t="str">
        <f t="shared" si="18"/>
        <v>Rp. 1.789.065.450</v>
      </c>
      <c r="N178" s="3" t="str">
        <f t="shared" si="19"/>
        <v> 1.792.590.000</v>
      </c>
      <c r="O178" s="3" t="str">
        <f t="shared" si="20"/>
        <v> 1.789.065.450</v>
      </c>
      <c r="P178" s="3">
        <f t="shared" si="21"/>
        <v>1792590000</v>
      </c>
      <c r="Q178" s="3">
        <f t="shared" si="22"/>
        <v>1789065450</v>
      </c>
      <c r="R178" s="3">
        <f t="shared" si="23"/>
        <v>3524550</v>
      </c>
    </row>
    <row r="179" spans="1:18">
      <c r="A179" s="2">
        <v>5326097</v>
      </c>
      <c r="B179" s="3" t="s">
        <v>339</v>
      </c>
      <c r="C179" s="3" t="s">
        <v>1</v>
      </c>
      <c r="D179" s="3" t="s">
        <v>2</v>
      </c>
      <c r="E179" s="3" t="s">
        <v>876</v>
      </c>
      <c r="F179" s="3" t="s">
        <v>875</v>
      </c>
      <c r="G179" s="3" t="s">
        <v>1943</v>
      </c>
      <c r="H179" s="3" t="s">
        <v>1943</v>
      </c>
      <c r="I179" s="3" t="s">
        <v>911</v>
      </c>
      <c r="J179" s="3">
        <f t="shared" si="16"/>
        <v>4</v>
      </c>
      <c r="K179" s="3">
        <f>IF(ISNUMBER(SEARCH("selesai",Sheet2!D179)-1),1,"")</f>
        <v>1</v>
      </c>
      <c r="L179" s="3" t="str">
        <f t="shared" si="17"/>
        <v>Rp. 349.200.000</v>
      </c>
      <c r="M179" s="3" t="str">
        <f t="shared" si="18"/>
        <v>Rp. 349.200.000</v>
      </c>
      <c r="N179" s="3" t="str">
        <f t="shared" si="19"/>
        <v> 349.200.000</v>
      </c>
      <c r="O179" s="3" t="str">
        <f t="shared" si="20"/>
        <v> 349.200.000</v>
      </c>
      <c r="P179" s="3">
        <f t="shared" si="21"/>
        <v>349200000</v>
      </c>
      <c r="Q179" s="3">
        <f t="shared" si="22"/>
        <v>349200000</v>
      </c>
      <c r="R179" s="3">
        <f t="shared" si="23"/>
        <v>0</v>
      </c>
    </row>
    <row r="180" spans="1:18">
      <c r="A180" s="2">
        <v>5325097</v>
      </c>
      <c r="B180" s="3" t="s">
        <v>342</v>
      </c>
      <c r="C180" s="3" t="s">
        <v>1</v>
      </c>
      <c r="D180" s="3" t="s">
        <v>7</v>
      </c>
      <c r="E180" s="3" t="s">
        <v>876</v>
      </c>
      <c r="F180" s="3" t="s">
        <v>1026</v>
      </c>
      <c r="G180" s="3" t="s">
        <v>1838</v>
      </c>
      <c r="H180" s="3" t="s">
        <v>3763</v>
      </c>
      <c r="I180" s="3" t="s">
        <v>953</v>
      </c>
      <c r="J180" s="3">
        <f t="shared" si="16"/>
        <v>0</v>
      </c>
      <c r="K180" s="3" t="str">
        <f>IF(ISNUMBER(SEARCH("selesai",Sheet2!D180)-1),1,"")</f>
        <v/>
      </c>
      <c r="L180" s="3" t="str">
        <f t="shared" si="17"/>
        <v>Rp. 1.570.635.000</v>
      </c>
      <c r="M180" s="3" t="str">
        <f t="shared" si="18"/>
        <v>Rp. 1.570.597.242</v>
      </c>
      <c r="N180" s="3" t="str">
        <f t="shared" si="19"/>
        <v> 1.570.635.000</v>
      </c>
      <c r="O180" s="3" t="str">
        <f t="shared" si="20"/>
        <v> 1.570.597.242</v>
      </c>
      <c r="P180" s="3">
        <f t="shared" si="21"/>
        <v>1570635000</v>
      </c>
      <c r="Q180" s="3">
        <f t="shared" si="22"/>
        <v>1570597242</v>
      </c>
      <c r="R180" s="3">
        <f t="shared" si="23"/>
        <v>37758</v>
      </c>
    </row>
    <row r="181" spans="1:18">
      <c r="A181" s="2">
        <v>5324097</v>
      </c>
      <c r="B181" s="3" t="s">
        <v>343</v>
      </c>
      <c r="C181" s="3" t="s">
        <v>1</v>
      </c>
      <c r="D181" s="3" t="s">
        <v>7</v>
      </c>
      <c r="E181" s="3" t="s">
        <v>876</v>
      </c>
      <c r="F181" s="3" t="s">
        <v>875</v>
      </c>
      <c r="G181" s="3" t="s">
        <v>1856</v>
      </c>
      <c r="H181" s="3" t="s">
        <v>3765</v>
      </c>
      <c r="I181" s="3" t="s">
        <v>884</v>
      </c>
      <c r="J181" s="3">
        <f t="shared" si="16"/>
        <v>7</v>
      </c>
      <c r="K181" s="3" t="str">
        <f>IF(ISNUMBER(SEARCH("selesai",Sheet2!D181)-1),1,"")</f>
        <v/>
      </c>
      <c r="L181" s="3" t="str">
        <f t="shared" si="17"/>
        <v>Rp. 261.318.000</v>
      </c>
      <c r="M181" s="3" t="str">
        <f t="shared" si="18"/>
        <v>Rp. 238.911.000</v>
      </c>
      <c r="N181" s="3" t="str">
        <f t="shared" si="19"/>
        <v> 261.318.000</v>
      </c>
      <c r="O181" s="3" t="str">
        <f t="shared" si="20"/>
        <v> 238.911.000</v>
      </c>
      <c r="P181" s="3">
        <f t="shared" si="21"/>
        <v>261318000</v>
      </c>
      <c r="Q181" s="3">
        <f t="shared" si="22"/>
        <v>238911000</v>
      </c>
      <c r="R181" s="3">
        <f t="shared" si="23"/>
        <v>22407000</v>
      </c>
    </row>
    <row r="182" spans="1:18">
      <c r="A182" s="2">
        <v>5320097</v>
      </c>
      <c r="B182" s="3" t="s">
        <v>344</v>
      </c>
      <c r="C182" s="3" t="s">
        <v>1</v>
      </c>
      <c r="D182" s="3" t="s">
        <v>7</v>
      </c>
      <c r="E182" s="3" t="s">
        <v>876</v>
      </c>
      <c r="F182" s="3" t="s">
        <v>875</v>
      </c>
      <c r="G182" s="3" t="s">
        <v>1882</v>
      </c>
      <c r="H182" s="3" t="s">
        <v>3769</v>
      </c>
      <c r="I182" s="3" t="s">
        <v>1025</v>
      </c>
      <c r="J182" s="3">
        <f t="shared" si="16"/>
        <v>2</v>
      </c>
      <c r="K182" s="3" t="str">
        <f>IF(ISNUMBER(SEARCH("selesai",Sheet2!D182)-1),1,"")</f>
        <v/>
      </c>
      <c r="L182" s="3" t="str">
        <f t="shared" si="17"/>
        <v>Rp. 1.800.000.000</v>
      </c>
      <c r="M182" s="3" t="str">
        <f t="shared" si="18"/>
        <v>Rp. 1.796.690.500</v>
      </c>
      <c r="N182" s="3" t="str">
        <f t="shared" si="19"/>
        <v> 1.800.000.000</v>
      </c>
      <c r="O182" s="3" t="str">
        <f t="shared" si="20"/>
        <v> 1.796.690.500</v>
      </c>
      <c r="P182" s="3">
        <f t="shared" si="21"/>
        <v>1800000000</v>
      </c>
      <c r="Q182" s="3">
        <f t="shared" si="22"/>
        <v>1796690500</v>
      </c>
      <c r="R182" s="3">
        <f t="shared" si="23"/>
        <v>3309500</v>
      </c>
    </row>
    <row r="183" spans="1:18">
      <c r="A183" s="2">
        <v>5319097</v>
      </c>
      <c r="B183" s="3" t="s">
        <v>345</v>
      </c>
      <c r="C183" s="3" t="s">
        <v>1</v>
      </c>
      <c r="D183" s="3" t="s">
        <v>2</v>
      </c>
      <c r="E183" s="3" t="s">
        <v>876</v>
      </c>
      <c r="F183" s="3" t="s">
        <v>875</v>
      </c>
      <c r="G183" s="3" t="s">
        <v>1964</v>
      </c>
      <c r="H183" s="3" t="s">
        <v>3775</v>
      </c>
      <c r="I183" s="3" t="s">
        <v>1082</v>
      </c>
      <c r="J183" s="3">
        <f t="shared" si="16"/>
        <v>10</v>
      </c>
      <c r="K183" s="3">
        <f>IF(ISNUMBER(SEARCH("selesai",Sheet2!D183)-1),1,"")</f>
        <v>1</v>
      </c>
      <c r="L183" s="3" t="str">
        <f t="shared" si="17"/>
        <v>Rp. 1.290.000.000</v>
      </c>
      <c r="M183" s="3" t="str">
        <f t="shared" si="18"/>
        <v>Rp. 1.289.161.500</v>
      </c>
      <c r="N183" s="3" t="str">
        <f t="shared" si="19"/>
        <v> 1.290.000.000</v>
      </c>
      <c r="O183" s="3" t="str">
        <f t="shared" si="20"/>
        <v> 1.289.161.500</v>
      </c>
      <c r="P183" s="3">
        <f t="shared" si="21"/>
        <v>1290000000</v>
      </c>
      <c r="Q183" s="3">
        <f t="shared" si="22"/>
        <v>1289161500</v>
      </c>
      <c r="R183" s="3">
        <f t="shared" si="23"/>
        <v>838500</v>
      </c>
    </row>
    <row r="184" spans="1:18">
      <c r="A184" s="2">
        <v>5318097</v>
      </c>
      <c r="B184" s="3" t="s">
        <v>346</v>
      </c>
      <c r="C184" s="3" t="s">
        <v>1</v>
      </c>
      <c r="D184" s="3" t="s">
        <v>2</v>
      </c>
      <c r="E184" s="3" t="s">
        <v>876</v>
      </c>
      <c r="F184" s="3" t="s">
        <v>875</v>
      </c>
      <c r="G184" s="3" t="s">
        <v>1970</v>
      </c>
      <c r="H184" s="3" t="s">
        <v>3776</v>
      </c>
      <c r="I184" s="3" t="s">
        <v>1056</v>
      </c>
      <c r="J184" s="3">
        <f t="shared" si="16"/>
        <v>11</v>
      </c>
      <c r="K184" s="3">
        <f>IF(ISNUMBER(SEARCH("selesai",Sheet2!D184)-1),1,"")</f>
        <v>1</v>
      </c>
      <c r="L184" s="3" t="str">
        <f t="shared" si="17"/>
        <v>Rp. 840.000.000</v>
      </c>
      <c r="M184" s="3" t="str">
        <f t="shared" si="18"/>
        <v>Rp. 839.685.000</v>
      </c>
      <c r="N184" s="3" t="str">
        <f t="shared" si="19"/>
        <v> 840.000.000</v>
      </c>
      <c r="O184" s="3" t="str">
        <f t="shared" si="20"/>
        <v> 839.685.000</v>
      </c>
      <c r="P184" s="3">
        <f t="shared" si="21"/>
        <v>840000000</v>
      </c>
      <c r="Q184" s="3">
        <f t="shared" si="22"/>
        <v>839685000</v>
      </c>
      <c r="R184" s="3">
        <f t="shared" si="23"/>
        <v>315000</v>
      </c>
    </row>
    <row r="185" spans="1:18">
      <c r="A185" s="2">
        <v>5316097</v>
      </c>
      <c r="B185" s="3" t="s">
        <v>348</v>
      </c>
      <c r="C185" s="3" t="s">
        <v>1</v>
      </c>
      <c r="D185" s="3" t="s">
        <v>2</v>
      </c>
      <c r="E185" s="3" t="s">
        <v>876</v>
      </c>
      <c r="F185" s="3" t="s">
        <v>875</v>
      </c>
      <c r="G185" s="3" t="s">
        <v>1976</v>
      </c>
      <c r="H185" s="3" t="s">
        <v>1976</v>
      </c>
      <c r="I185" s="3" t="s">
        <v>1443</v>
      </c>
      <c r="J185" s="3">
        <f t="shared" si="16"/>
        <v>12</v>
      </c>
      <c r="K185" s="3">
        <f>IF(ISNUMBER(SEARCH("selesai",Sheet2!D185)-1),1,"")</f>
        <v>1</v>
      </c>
      <c r="L185" s="3" t="str">
        <f t="shared" si="17"/>
        <v>Rp. 546.700.000</v>
      </c>
      <c r="M185" s="3" t="str">
        <f t="shared" si="18"/>
        <v>Rp. 546.700.000</v>
      </c>
      <c r="N185" s="3" t="str">
        <f t="shared" si="19"/>
        <v> 546.700.000</v>
      </c>
      <c r="O185" s="3" t="str">
        <f t="shared" si="20"/>
        <v> 546.700.000</v>
      </c>
      <c r="P185" s="3">
        <f t="shared" si="21"/>
        <v>546700000</v>
      </c>
      <c r="Q185" s="3">
        <f t="shared" si="22"/>
        <v>546700000</v>
      </c>
      <c r="R185" s="3">
        <f t="shared" si="23"/>
        <v>0</v>
      </c>
    </row>
    <row r="186" spans="1:18">
      <c r="A186" s="2">
        <v>5314097</v>
      </c>
      <c r="B186" s="3" t="s">
        <v>350</v>
      </c>
      <c r="C186" s="3" t="s">
        <v>1</v>
      </c>
      <c r="D186" s="3" t="s">
        <v>2</v>
      </c>
      <c r="E186" s="3" t="s">
        <v>876</v>
      </c>
      <c r="F186" s="3" t="s">
        <v>875</v>
      </c>
      <c r="G186" s="3" t="s">
        <v>1982</v>
      </c>
      <c r="H186" s="3" t="s">
        <v>3777</v>
      </c>
      <c r="I186" s="3" t="s">
        <v>1845</v>
      </c>
      <c r="J186" s="3">
        <f t="shared" si="16"/>
        <v>6</v>
      </c>
      <c r="K186" s="3">
        <f>IF(ISNUMBER(SEARCH("selesai",Sheet2!D186)-1),1,"")</f>
        <v>1</v>
      </c>
      <c r="L186" s="3" t="str">
        <f t="shared" si="17"/>
        <v>Rp. 933.300.000</v>
      </c>
      <c r="M186" s="3" t="str">
        <f t="shared" si="18"/>
        <v>Rp. 912.000.000</v>
      </c>
      <c r="N186" s="3" t="str">
        <f t="shared" si="19"/>
        <v> 933.300.000</v>
      </c>
      <c r="O186" s="3" t="str">
        <f t="shared" si="20"/>
        <v> 912.000.000</v>
      </c>
      <c r="P186" s="3">
        <f t="shared" si="21"/>
        <v>933300000</v>
      </c>
      <c r="Q186" s="3">
        <f t="shared" si="22"/>
        <v>912000000</v>
      </c>
      <c r="R186" s="3">
        <f t="shared" si="23"/>
        <v>21300000</v>
      </c>
    </row>
    <row r="187" spans="1:18">
      <c r="A187" s="2">
        <v>5292097</v>
      </c>
      <c r="B187" s="3" t="s">
        <v>353</v>
      </c>
      <c r="C187" s="3" t="s">
        <v>1</v>
      </c>
      <c r="D187" s="3" t="s">
        <v>2</v>
      </c>
      <c r="E187" s="3" t="s">
        <v>876</v>
      </c>
      <c r="F187" s="3" t="s">
        <v>875</v>
      </c>
      <c r="G187" s="3" t="s">
        <v>1988</v>
      </c>
      <c r="H187" s="3" t="s">
        <v>3778</v>
      </c>
      <c r="I187" s="3" t="s">
        <v>1235</v>
      </c>
      <c r="J187" s="3">
        <f t="shared" si="16"/>
        <v>14</v>
      </c>
      <c r="K187" s="3">
        <f>IF(ISNUMBER(SEARCH("selesai",Sheet2!D187)-1),1,"")</f>
        <v>1</v>
      </c>
      <c r="L187" s="3" t="str">
        <f t="shared" si="17"/>
        <v>Rp. 425.000.000</v>
      </c>
      <c r="M187" s="3" t="str">
        <f t="shared" si="18"/>
        <v>Rp. 424.320.190</v>
      </c>
      <c r="N187" s="3" t="str">
        <f t="shared" si="19"/>
        <v> 425.000.000</v>
      </c>
      <c r="O187" s="3" t="str">
        <f t="shared" si="20"/>
        <v> 424.320.190</v>
      </c>
      <c r="P187" s="3">
        <f t="shared" si="21"/>
        <v>425000000</v>
      </c>
      <c r="Q187" s="3">
        <f t="shared" si="22"/>
        <v>424320190</v>
      </c>
      <c r="R187" s="3">
        <f t="shared" si="23"/>
        <v>679810</v>
      </c>
    </row>
    <row r="188" spans="1:18">
      <c r="A188" s="2">
        <v>5291097</v>
      </c>
      <c r="B188" s="3" t="s">
        <v>355</v>
      </c>
      <c r="C188" s="3" t="s">
        <v>149</v>
      </c>
      <c r="D188" s="3" t="s">
        <v>76</v>
      </c>
      <c r="E188" s="3" t="s">
        <v>1033</v>
      </c>
      <c r="F188" s="3" t="s">
        <v>1097</v>
      </c>
      <c r="G188" s="3" t="s">
        <v>1862</v>
      </c>
      <c r="H188" s="3" t="s">
        <v>3766</v>
      </c>
      <c r="I188" s="3" t="s">
        <v>932</v>
      </c>
      <c r="J188" s="3">
        <f t="shared" si="16"/>
        <v>30</v>
      </c>
      <c r="K188" s="3" t="str">
        <f>IF(ISNUMBER(SEARCH("selesai",Sheet2!D188)-1),1,"")</f>
        <v/>
      </c>
      <c r="L188" s="3" t="str">
        <f t="shared" si="17"/>
        <v>Rp. 189.000.000</v>
      </c>
      <c r="M188" s="3" t="str">
        <f t="shared" si="18"/>
        <v>Rp. 188.980.000</v>
      </c>
      <c r="N188" s="3" t="str">
        <f t="shared" si="19"/>
        <v> 189.000.000</v>
      </c>
      <c r="O188" s="3" t="str">
        <f t="shared" si="20"/>
        <v> 188.980.000</v>
      </c>
      <c r="P188" s="3">
        <f t="shared" si="21"/>
        <v>189000000</v>
      </c>
      <c r="Q188" s="3">
        <f t="shared" si="22"/>
        <v>188980000</v>
      </c>
      <c r="R188" s="3">
        <f t="shared" si="23"/>
        <v>20000</v>
      </c>
    </row>
    <row r="189" spans="1:18">
      <c r="A189" s="2">
        <v>5289097</v>
      </c>
      <c r="B189" s="3" t="s">
        <v>356</v>
      </c>
      <c r="C189" s="3" t="s">
        <v>149</v>
      </c>
      <c r="D189" s="3" t="s">
        <v>76</v>
      </c>
      <c r="E189" s="3" t="s">
        <v>1033</v>
      </c>
      <c r="F189" s="3" t="s">
        <v>1097</v>
      </c>
      <c r="G189" s="3" t="s">
        <v>1862</v>
      </c>
      <c r="H189" s="3" t="s">
        <v>3766</v>
      </c>
      <c r="I189" s="3" t="s">
        <v>911</v>
      </c>
      <c r="J189" s="3">
        <f t="shared" si="16"/>
        <v>4</v>
      </c>
      <c r="K189" s="3" t="str">
        <f>IF(ISNUMBER(SEARCH("selesai",Sheet2!D189)-1),1,"")</f>
        <v/>
      </c>
      <c r="L189" s="3" t="str">
        <f t="shared" si="17"/>
        <v>Rp. 189.000.000</v>
      </c>
      <c r="M189" s="3" t="str">
        <f t="shared" si="18"/>
        <v>Rp. 188.980.000</v>
      </c>
      <c r="N189" s="3" t="str">
        <f t="shared" si="19"/>
        <v> 189.000.000</v>
      </c>
      <c r="O189" s="3" t="str">
        <f t="shared" si="20"/>
        <v> 188.980.000</v>
      </c>
      <c r="P189" s="3">
        <f t="shared" si="21"/>
        <v>189000000</v>
      </c>
      <c r="Q189" s="3">
        <f t="shared" si="22"/>
        <v>188980000</v>
      </c>
      <c r="R189" s="3">
        <f t="shared" si="23"/>
        <v>20000</v>
      </c>
    </row>
    <row r="190" spans="1:18">
      <c r="A190" s="2">
        <v>5288097</v>
      </c>
      <c r="B190" s="3" t="s">
        <v>357</v>
      </c>
      <c r="C190" s="3" t="s">
        <v>1</v>
      </c>
      <c r="D190" s="3" t="s">
        <v>2</v>
      </c>
      <c r="E190" s="3" t="s">
        <v>876</v>
      </c>
      <c r="F190" s="3" t="s">
        <v>919</v>
      </c>
      <c r="G190" s="3" t="s">
        <v>1114</v>
      </c>
      <c r="H190" s="3" t="s">
        <v>3779</v>
      </c>
      <c r="I190" s="3" t="s">
        <v>932</v>
      </c>
      <c r="J190" s="3">
        <f t="shared" si="16"/>
        <v>30</v>
      </c>
      <c r="K190" s="3">
        <f>IF(ISNUMBER(SEARCH("selesai",Sheet2!D190)-1),1,"")</f>
        <v>1</v>
      </c>
      <c r="L190" s="3" t="str">
        <f t="shared" si="17"/>
        <v>Rp. 250.000.000</v>
      </c>
      <c r="M190" s="3" t="str">
        <f t="shared" si="18"/>
        <v>Rp. 249.981.806</v>
      </c>
      <c r="N190" s="3" t="str">
        <f t="shared" si="19"/>
        <v> 250.000.000</v>
      </c>
      <c r="O190" s="3" t="str">
        <f t="shared" si="20"/>
        <v> 249.981.806</v>
      </c>
      <c r="P190" s="3">
        <f t="shared" si="21"/>
        <v>250000000</v>
      </c>
      <c r="Q190" s="3">
        <f t="shared" si="22"/>
        <v>249981806</v>
      </c>
      <c r="R190" s="3">
        <f t="shared" si="23"/>
        <v>18194</v>
      </c>
    </row>
    <row r="191" spans="1:18">
      <c r="A191" s="2">
        <v>5285097</v>
      </c>
      <c r="B191" s="3" t="s">
        <v>360</v>
      </c>
      <c r="C191" s="3" t="s">
        <v>361</v>
      </c>
      <c r="D191" s="3" t="s">
        <v>2</v>
      </c>
      <c r="E191" s="3" t="s">
        <v>1033</v>
      </c>
      <c r="F191" s="3" t="s">
        <v>875</v>
      </c>
      <c r="G191" s="3" t="s">
        <v>2009</v>
      </c>
      <c r="H191" s="3" t="s">
        <v>3780</v>
      </c>
      <c r="I191" s="3" t="s">
        <v>1235</v>
      </c>
      <c r="J191" s="3">
        <f t="shared" si="16"/>
        <v>14</v>
      </c>
      <c r="K191" s="3">
        <f>IF(ISNUMBER(SEARCH("selesai",Sheet2!D191)-1),1,"")</f>
        <v>1</v>
      </c>
      <c r="L191" s="3" t="str">
        <f t="shared" si="17"/>
        <v>Rp. 397.512.000</v>
      </c>
      <c r="M191" s="3" t="str">
        <f t="shared" si="18"/>
        <v>Rp. 365.354.000</v>
      </c>
      <c r="N191" s="3" t="str">
        <f t="shared" si="19"/>
        <v> 397.512.000</v>
      </c>
      <c r="O191" s="3" t="str">
        <f t="shared" si="20"/>
        <v> 365.354.000</v>
      </c>
      <c r="P191" s="3">
        <f t="shared" si="21"/>
        <v>397512000</v>
      </c>
      <c r="Q191" s="3">
        <f t="shared" si="22"/>
        <v>365354000</v>
      </c>
      <c r="R191" s="3">
        <f t="shared" si="23"/>
        <v>32158000</v>
      </c>
    </row>
    <row r="192" spans="1:18">
      <c r="A192" s="2">
        <v>5281097</v>
      </c>
      <c r="B192" s="3" t="s">
        <v>363</v>
      </c>
      <c r="C192" s="3" t="s">
        <v>1</v>
      </c>
      <c r="D192" s="3" t="s">
        <v>7</v>
      </c>
      <c r="E192" s="3" t="s">
        <v>876</v>
      </c>
      <c r="F192" s="3" t="s">
        <v>1026</v>
      </c>
      <c r="G192" s="3" t="s">
        <v>1563</v>
      </c>
      <c r="H192" s="3" t="s">
        <v>3728</v>
      </c>
      <c r="I192" s="3" t="s">
        <v>1672</v>
      </c>
      <c r="J192" s="3">
        <f t="shared" si="16"/>
        <v>16</v>
      </c>
      <c r="K192" s="3" t="str">
        <f>IF(ISNUMBER(SEARCH("selesai",Sheet2!D192)-1),1,"")</f>
        <v/>
      </c>
      <c r="L192" s="3" t="str">
        <f t="shared" si="17"/>
        <v>Rp. 661.250.000</v>
      </c>
      <c r="M192" s="3" t="str">
        <f t="shared" si="18"/>
        <v>Rp. 661.155.000</v>
      </c>
      <c r="N192" s="3" t="str">
        <f t="shared" si="19"/>
        <v> 661.250.000</v>
      </c>
      <c r="O192" s="3" t="str">
        <f t="shared" si="20"/>
        <v> 661.155.000</v>
      </c>
      <c r="P192" s="3">
        <f t="shared" si="21"/>
        <v>661250000</v>
      </c>
      <c r="Q192" s="3">
        <f t="shared" si="22"/>
        <v>661155000</v>
      </c>
      <c r="R192" s="3">
        <f t="shared" si="23"/>
        <v>95000</v>
      </c>
    </row>
    <row r="193" spans="1:18">
      <c r="A193" s="2">
        <v>5279097</v>
      </c>
      <c r="B193" s="3" t="s">
        <v>184</v>
      </c>
      <c r="C193" s="3" t="s">
        <v>1</v>
      </c>
      <c r="D193" s="3" t="s">
        <v>2</v>
      </c>
      <c r="E193" s="3" t="s">
        <v>876</v>
      </c>
      <c r="F193" s="3" t="s">
        <v>1097</v>
      </c>
      <c r="G193" s="3" t="s">
        <v>2020</v>
      </c>
      <c r="H193" s="3" t="s">
        <v>3781</v>
      </c>
      <c r="I193" s="3" t="s">
        <v>1138</v>
      </c>
      <c r="J193" s="3">
        <f t="shared" si="16"/>
        <v>22</v>
      </c>
      <c r="K193" s="3">
        <f>IF(ISNUMBER(SEARCH("selesai",Sheet2!D193)-1),1,"")</f>
        <v>1</v>
      </c>
      <c r="L193" s="3" t="str">
        <f t="shared" si="17"/>
        <v>Rp. 260.570.500</v>
      </c>
      <c r="M193" s="3" t="str">
        <f t="shared" si="18"/>
        <v>Rp. 260.568.000</v>
      </c>
      <c r="N193" s="3" t="str">
        <f t="shared" si="19"/>
        <v> 260.570.500</v>
      </c>
      <c r="O193" s="3" t="str">
        <f t="shared" si="20"/>
        <v> 260.568.000</v>
      </c>
      <c r="P193" s="3">
        <f t="shared" si="21"/>
        <v>260570500</v>
      </c>
      <c r="Q193" s="3">
        <f t="shared" si="22"/>
        <v>260568000</v>
      </c>
      <c r="R193" s="3">
        <f t="shared" si="23"/>
        <v>2500</v>
      </c>
    </row>
    <row r="194" spans="1:18">
      <c r="A194" s="2">
        <v>5275097</v>
      </c>
      <c r="B194" s="3" t="s">
        <v>365</v>
      </c>
      <c r="C194" s="3" t="s">
        <v>1</v>
      </c>
      <c r="D194" s="3" t="s">
        <v>2</v>
      </c>
      <c r="E194" s="3" t="s">
        <v>1033</v>
      </c>
      <c r="F194" s="3" t="s">
        <v>919</v>
      </c>
      <c r="G194" s="3" t="s">
        <v>2026</v>
      </c>
      <c r="H194" s="3" t="s">
        <v>2026</v>
      </c>
      <c r="I194" s="3" t="s">
        <v>2027</v>
      </c>
      <c r="J194" s="3">
        <f t="shared" si="16"/>
        <v>51</v>
      </c>
      <c r="K194" s="3">
        <f>IF(ISNUMBER(SEARCH("selesai",Sheet2!D194)-1),1,"")</f>
        <v>1</v>
      </c>
      <c r="L194" s="3" t="str">
        <f t="shared" si="17"/>
        <v>Rp. 2.279.000.000</v>
      </c>
      <c r="M194" s="3" t="str">
        <f t="shared" si="18"/>
        <v>Rp. 2.279.000.000</v>
      </c>
      <c r="N194" s="3" t="str">
        <f t="shared" si="19"/>
        <v> 2.279.000.000</v>
      </c>
      <c r="O194" s="3" t="str">
        <f t="shared" si="20"/>
        <v> 2.279.000.000</v>
      </c>
      <c r="P194" s="3">
        <f t="shared" si="21"/>
        <v>2279000000</v>
      </c>
      <c r="Q194" s="3">
        <f t="shared" si="22"/>
        <v>2279000000</v>
      </c>
      <c r="R194" s="3">
        <f t="shared" si="23"/>
        <v>0</v>
      </c>
    </row>
    <row r="195" spans="1:18">
      <c r="A195" s="2">
        <v>5269097</v>
      </c>
      <c r="B195" s="3" t="s">
        <v>367</v>
      </c>
      <c r="C195" s="3" t="s">
        <v>1</v>
      </c>
      <c r="D195" s="3" t="s">
        <v>2</v>
      </c>
      <c r="E195" s="3" t="s">
        <v>1033</v>
      </c>
      <c r="F195" s="3" t="s">
        <v>875</v>
      </c>
      <c r="G195" s="3" t="s">
        <v>1157</v>
      </c>
      <c r="H195" s="3" t="s">
        <v>1007</v>
      </c>
      <c r="I195" s="3" t="s">
        <v>1056</v>
      </c>
      <c r="J195" s="3">
        <f t="shared" ref="J195:J258" si="24">VALUE(SUBSTITUTE(I195,"peserta",""))</f>
        <v>11</v>
      </c>
      <c r="K195" s="3">
        <f>IF(ISNUMBER(SEARCH("selesai",Sheet2!D195)-1),1,"")</f>
        <v>1</v>
      </c>
      <c r="L195" s="3" t="str">
        <f t="shared" ref="L195:L258" si="25">LEFT(G195,SEARCH(",",G195)-1)</f>
        <v>Rp. 500.000.000</v>
      </c>
      <c r="M195" s="3" t="str">
        <f t="shared" ref="M195:M258" si="26">LEFT(H195,SEARCH(",",H195)-1)</f>
        <v>Rp. 495.000.000</v>
      </c>
      <c r="N195" s="3" t="str">
        <f t="shared" ref="N195:N258" si="27">SUBSTITUTE(L195,"Rp.","")</f>
        <v> 500.000.000</v>
      </c>
      <c r="O195" s="3" t="str">
        <f t="shared" ref="O195:O258" si="28">SUBSTITUTE(M195,"Rp.","")</f>
        <v> 495.000.000</v>
      </c>
      <c r="P195" s="3">
        <f t="shared" ref="P195:P258" si="29">VALUE(SUBSTITUTE(N195,".",""))</f>
        <v>500000000</v>
      </c>
      <c r="Q195" s="3">
        <f t="shared" ref="Q195:Q258" si="30">VALUE(SUBSTITUTE(O195,".",""))</f>
        <v>495000000</v>
      </c>
      <c r="R195" s="3">
        <f t="shared" ref="R195:R258" si="31">ABS(P195-Q195)</f>
        <v>5000000</v>
      </c>
    </row>
    <row r="196" spans="1:18">
      <c r="A196" s="2">
        <v>5268097</v>
      </c>
      <c r="B196" s="3" t="s">
        <v>369</v>
      </c>
      <c r="C196" s="3" t="s">
        <v>1</v>
      </c>
      <c r="D196" s="3" t="s">
        <v>2</v>
      </c>
      <c r="E196" s="3" t="s">
        <v>876</v>
      </c>
      <c r="F196" s="3" t="s">
        <v>919</v>
      </c>
      <c r="G196" s="3" t="s">
        <v>2038</v>
      </c>
      <c r="H196" s="3" t="s">
        <v>3782</v>
      </c>
      <c r="I196" s="3" t="s">
        <v>1268</v>
      </c>
      <c r="J196" s="3">
        <f t="shared" si="24"/>
        <v>17</v>
      </c>
      <c r="K196" s="3">
        <f>IF(ISNUMBER(SEARCH("selesai",Sheet2!D196)-1),1,"")</f>
        <v>1</v>
      </c>
      <c r="L196" s="3" t="str">
        <f t="shared" si="25"/>
        <v>Rp. 475.000.000</v>
      </c>
      <c r="M196" s="3" t="str">
        <f t="shared" si="26"/>
        <v>Rp. 474.957.757</v>
      </c>
      <c r="N196" s="3" t="str">
        <f t="shared" si="27"/>
        <v> 475.000.000</v>
      </c>
      <c r="O196" s="3" t="str">
        <f t="shared" si="28"/>
        <v> 474.957.757</v>
      </c>
      <c r="P196" s="3">
        <f t="shared" si="29"/>
        <v>475000000</v>
      </c>
      <c r="Q196" s="3">
        <f t="shared" si="30"/>
        <v>474957757</v>
      </c>
      <c r="R196" s="3">
        <f t="shared" si="31"/>
        <v>42243</v>
      </c>
    </row>
    <row r="197" spans="1:18">
      <c r="A197" s="2">
        <v>5267097</v>
      </c>
      <c r="B197" s="3" t="s">
        <v>371</v>
      </c>
      <c r="C197" s="3" t="s">
        <v>1</v>
      </c>
      <c r="D197" s="3" t="s">
        <v>2</v>
      </c>
      <c r="E197" s="3" t="s">
        <v>876</v>
      </c>
      <c r="F197" s="3" t="s">
        <v>919</v>
      </c>
      <c r="G197" s="3" t="s">
        <v>2044</v>
      </c>
      <c r="H197" s="3" t="s">
        <v>2044</v>
      </c>
      <c r="I197" s="3" t="s">
        <v>1894</v>
      </c>
      <c r="J197" s="3">
        <f t="shared" si="24"/>
        <v>61</v>
      </c>
      <c r="K197" s="3">
        <f>IF(ISNUMBER(SEARCH("selesai",Sheet2!D197)-1),1,"")</f>
        <v>1</v>
      </c>
      <c r="L197" s="3" t="str">
        <f t="shared" si="25"/>
        <v>Rp. 483.558.000</v>
      </c>
      <c r="M197" s="3" t="str">
        <f t="shared" si="26"/>
        <v>Rp. 483.558.000</v>
      </c>
      <c r="N197" s="3" t="str">
        <f t="shared" si="27"/>
        <v> 483.558.000</v>
      </c>
      <c r="O197" s="3" t="str">
        <f t="shared" si="28"/>
        <v> 483.558.000</v>
      </c>
      <c r="P197" s="3">
        <f t="shared" si="29"/>
        <v>483558000</v>
      </c>
      <c r="Q197" s="3">
        <f t="shared" si="30"/>
        <v>483558000</v>
      </c>
      <c r="R197" s="3">
        <f t="shared" si="31"/>
        <v>0</v>
      </c>
    </row>
    <row r="198" spans="1:18">
      <c r="A198" s="2">
        <v>5263097</v>
      </c>
      <c r="B198" s="3" t="s">
        <v>373</v>
      </c>
      <c r="C198" s="3" t="s">
        <v>1</v>
      </c>
      <c r="D198" s="3" t="s">
        <v>2</v>
      </c>
      <c r="E198" s="3" t="s">
        <v>876</v>
      </c>
      <c r="F198" s="3" t="s">
        <v>919</v>
      </c>
      <c r="G198" s="3" t="s">
        <v>2038</v>
      </c>
      <c r="H198" s="3" t="s">
        <v>3783</v>
      </c>
      <c r="I198" s="3" t="s">
        <v>1229</v>
      </c>
      <c r="J198" s="3">
        <f t="shared" si="24"/>
        <v>18</v>
      </c>
      <c r="K198" s="3">
        <f>IF(ISNUMBER(SEARCH("selesai",Sheet2!D198)-1),1,"")</f>
        <v>1</v>
      </c>
      <c r="L198" s="3" t="str">
        <f t="shared" si="25"/>
        <v>Rp. 475.000.000</v>
      </c>
      <c r="M198" s="3" t="str">
        <f t="shared" si="26"/>
        <v>Rp. 474.930.247</v>
      </c>
      <c r="N198" s="3" t="str">
        <f t="shared" si="27"/>
        <v> 475.000.000</v>
      </c>
      <c r="O198" s="3" t="str">
        <f t="shared" si="28"/>
        <v> 474.930.247</v>
      </c>
      <c r="P198" s="3">
        <f t="shared" si="29"/>
        <v>475000000</v>
      </c>
      <c r="Q198" s="3">
        <f t="shared" si="30"/>
        <v>474930247</v>
      </c>
      <c r="R198" s="3">
        <f t="shared" si="31"/>
        <v>69753</v>
      </c>
    </row>
    <row r="199" spans="1:18">
      <c r="A199" s="2">
        <v>5259097</v>
      </c>
      <c r="B199" s="3" t="s">
        <v>375</v>
      </c>
      <c r="C199" s="3" t="s">
        <v>1</v>
      </c>
      <c r="D199" s="3" t="s">
        <v>7</v>
      </c>
      <c r="E199" s="3" t="s">
        <v>876</v>
      </c>
      <c r="F199" s="3" t="s">
        <v>919</v>
      </c>
      <c r="G199" s="3" t="s">
        <v>2038</v>
      </c>
      <c r="H199" s="3" t="s">
        <v>3783</v>
      </c>
      <c r="I199" s="3" t="s">
        <v>925</v>
      </c>
      <c r="J199" s="3">
        <f t="shared" si="24"/>
        <v>38</v>
      </c>
      <c r="K199" s="3" t="str">
        <f>IF(ISNUMBER(SEARCH("selesai",Sheet2!D199)-1),1,"")</f>
        <v/>
      </c>
      <c r="L199" s="3" t="str">
        <f t="shared" si="25"/>
        <v>Rp. 475.000.000</v>
      </c>
      <c r="M199" s="3" t="str">
        <f t="shared" si="26"/>
        <v>Rp. 474.930.247</v>
      </c>
      <c r="N199" s="3" t="str">
        <f t="shared" si="27"/>
        <v> 475.000.000</v>
      </c>
      <c r="O199" s="3" t="str">
        <f t="shared" si="28"/>
        <v> 474.930.247</v>
      </c>
      <c r="P199" s="3">
        <f t="shared" si="29"/>
        <v>475000000</v>
      </c>
      <c r="Q199" s="3">
        <f t="shared" si="30"/>
        <v>474930247</v>
      </c>
      <c r="R199" s="3">
        <f t="shared" si="31"/>
        <v>69753</v>
      </c>
    </row>
    <row r="200" spans="1:18">
      <c r="A200" s="2">
        <v>5257097</v>
      </c>
      <c r="B200" s="3" t="s">
        <v>376</v>
      </c>
      <c r="C200" s="3" t="s">
        <v>1</v>
      </c>
      <c r="D200" s="3" t="s">
        <v>7</v>
      </c>
      <c r="E200" s="3" t="s">
        <v>876</v>
      </c>
      <c r="F200" s="3" t="s">
        <v>919</v>
      </c>
      <c r="G200" s="3" t="s">
        <v>2038</v>
      </c>
      <c r="H200" s="3" t="s">
        <v>3784</v>
      </c>
      <c r="I200" s="3" t="s">
        <v>1132</v>
      </c>
      <c r="J200" s="3">
        <f t="shared" si="24"/>
        <v>29</v>
      </c>
      <c r="K200" s="3" t="str">
        <f>IF(ISNUMBER(SEARCH("selesai",Sheet2!D200)-1),1,"")</f>
        <v/>
      </c>
      <c r="L200" s="3" t="str">
        <f t="shared" si="25"/>
        <v>Rp. 475.000.000</v>
      </c>
      <c r="M200" s="3" t="str">
        <f t="shared" si="26"/>
        <v>Rp. 474.940.832</v>
      </c>
      <c r="N200" s="3" t="str">
        <f t="shared" si="27"/>
        <v> 475.000.000</v>
      </c>
      <c r="O200" s="3" t="str">
        <f t="shared" si="28"/>
        <v> 474.940.832</v>
      </c>
      <c r="P200" s="3">
        <f t="shared" si="29"/>
        <v>475000000</v>
      </c>
      <c r="Q200" s="3">
        <f t="shared" si="30"/>
        <v>474940832</v>
      </c>
      <c r="R200" s="3">
        <f t="shared" si="31"/>
        <v>59168</v>
      </c>
    </row>
    <row r="201" spans="1:18">
      <c r="A201" s="2">
        <v>5254097</v>
      </c>
      <c r="B201" s="3" t="s">
        <v>377</v>
      </c>
      <c r="C201" s="3" t="s">
        <v>1</v>
      </c>
      <c r="D201" s="3" t="s">
        <v>2</v>
      </c>
      <c r="E201" s="3" t="s">
        <v>876</v>
      </c>
      <c r="F201" s="3" t="s">
        <v>919</v>
      </c>
      <c r="G201" s="3" t="s">
        <v>2038</v>
      </c>
      <c r="H201" s="3" t="s">
        <v>3783</v>
      </c>
      <c r="I201" s="3" t="s">
        <v>1158</v>
      </c>
      <c r="J201" s="3">
        <f t="shared" si="24"/>
        <v>20</v>
      </c>
      <c r="K201" s="3">
        <f>IF(ISNUMBER(SEARCH("selesai",Sheet2!D201)-1),1,"")</f>
        <v>1</v>
      </c>
      <c r="L201" s="3" t="str">
        <f t="shared" si="25"/>
        <v>Rp. 475.000.000</v>
      </c>
      <c r="M201" s="3" t="str">
        <f t="shared" si="26"/>
        <v>Rp. 474.930.247</v>
      </c>
      <c r="N201" s="3" t="str">
        <f t="shared" si="27"/>
        <v> 475.000.000</v>
      </c>
      <c r="O201" s="3" t="str">
        <f t="shared" si="28"/>
        <v> 474.930.247</v>
      </c>
      <c r="P201" s="3">
        <f t="shared" si="29"/>
        <v>475000000</v>
      </c>
      <c r="Q201" s="3">
        <f t="shared" si="30"/>
        <v>474930247</v>
      </c>
      <c r="R201" s="3">
        <f t="shared" si="31"/>
        <v>69753</v>
      </c>
    </row>
    <row r="202" spans="1:18">
      <c r="A202" s="2">
        <v>5253097</v>
      </c>
      <c r="B202" s="3" t="s">
        <v>378</v>
      </c>
      <c r="C202" s="3" t="s">
        <v>1</v>
      </c>
      <c r="D202" s="3" t="s">
        <v>2</v>
      </c>
      <c r="E202" s="3" t="s">
        <v>876</v>
      </c>
      <c r="F202" s="3" t="s">
        <v>919</v>
      </c>
      <c r="G202" s="3" t="s">
        <v>2070</v>
      </c>
      <c r="H202" s="3" t="s">
        <v>3785</v>
      </c>
      <c r="I202" s="3" t="s">
        <v>2071</v>
      </c>
      <c r="J202" s="3">
        <f t="shared" si="24"/>
        <v>74</v>
      </c>
      <c r="K202" s="3">
        <f>IF(ISNUMBER(SEARCH("selesai",Sheet2!D202)-1),1,"")</f>
        <v>1</v>
      </c>
      <c r="L202" s="3" t="str">
        <f t="shared" si="25"/>
        <v>Rp. 9.411.000.000</v>
      </c>
      <c r="M202" s="3" t="str">
        <f t="shared" si="26"/>
        <v>Rp. 9.410.946.143</v>
      </c>
      <c r="N202" s="3" t="str">
        <f t="shared" si="27"/>
        <v> 9.411.000.000</v>
      </c>
      <c r="O202" s="3" t="str">
        <f t="shared" si="28"/>
        <v> 9.410.946.143</v>
      </c>
      <c r="P202" s="3">
        <f t="shared" si="29"/>
        <v>9411000000</v>
      </c>
      <c r="Q202" s="3">
        <f t="shared" si="30"/>
        <v>9410946143</v>
      </c>
      <c r="R202" s="3">
        <f t="shared" si="31"/>
        <v>53857</v>
      </c>
    </row>
    <row r="203" spans="1:18">
      <c r="A203" s="2">
        <v>5251097</v>
      </c>
      <c r="B203" s="3" t="s">
        <v>380</v>
      </c>
      <c r="C203" s="3" t="s">
        <v>1</v>
      </c>
      <c r="D203" s="3" t="s">
        <v>2</v>
      </c>
      <c r="E203" s="3" t="s">
        <v>876</v>
      </c>
      <c r="F203" s="3" t="s">
        <v>919</v>
      </c>
      <c r="G203" s="3" t="s">
        <v>2038</v>
      </c>
      <c r="H203" s="3" t="s">
        <v>3786</v>
      </c>
      <c r="I203" s="3" t="s">
        <v>994</v>
      </c>
      <c r="J203" s="3">
        <f t="shared" si="24"/>
        <v>26</v>
      </c>
      <c r="K203" s="3">
        <f>IF(ISNUMBER(SEARCH("selesai",Sheet2!D203)-1),1,"")</f>
        <v>1</v>
      </c>
      <c r="L203" s="3" t="str">
        <f t="shared" si="25"/>
        <v>Rp. 475.000.000</v>
      </c>
      <c r="M203" s="3" t="str">
        <f t="shared" si="26"/>
        <v>Rp. 474.904.585</v>
      </c>
      <c r="N203" s="3" t="str">
        <f t="shared" si="27"/>
        <v> 475.000.000</v>
      </c>
      <c r="O203" s="3" t="str">
        <f t="shared" si="28"/>
        <v> 474.904.585</v>
      </c>
      <c r="P203" s="3">
        <f t="shared" si="29"/>
        <v>475000000</v>
      </c>
      <c r="Q203" s="3">
        <f t="shared" si="30"/>
        <v>474904585</v>
      </c>
      <c r="R203" s="3">
        <f t="shared" si="31"/>
        <v>95415</v>
      </c>
    </row>
    <row r="204" spans="1:18">
      <c r="A204" s="2">
        <v>5250097</v>
      </c>
      <c r="B204" s="3" t="s">
        <v>382</v>
      </c>
      <c r="C204" s="3" t="s">
        <v>1</v>
      </c>
      <c r="D204" s="3" t="s">
        <v>2</v>
      </c>
      <c r="E204" s="3" t="s">
        <v>876</v>
      </c>
      <c r="F204" s="3" t="s">
        <v>875</v>
      </c>
      <c r="G204" s="3" t="s">
        <v>2082</v>
      </c>
      <c r="H204" s="3" t="s">
        <v>3787</v>
      </c>
      <c r="I204" s="3" t="s">
        <v>905</v>
      </c>
      <c r="J204" s="3">
        <f t="shared" si="24"/>
        <v>31</v>
      </c>
      <c r="K204" s="3">
        <f>IF(ISNUMBER(SEARCH("selesai",Sheet2!D204)-1),1,"")</f>
        <v>1</v>
      </c>
      <c r="L204" s="3" t="str">
        <f t="shared" si="25"/>
        <v>Rp. 2.296.600.000</v>
      </c>
      <c r="M204" s="3" t="str">
        <f t="shared" si="26"/>
        <v>Rp. 2.194.594.600</v>
      </c>
      <c r="N204" s="3" t="str">
        <f t="shared" si="27"/>
        <v> 2.296.600.000</v>
      </c>
      <c r="O204" s="3" t="str">
        <f t="shared" si="28"/>
        <v> 2.194.594.600</v>
      </c>
      <c r="P204" s="3">
        <f t="shared" si="29"/>
        <v>2296600000</v>
      </c>
      <c r="Q204" s="3">
        <f t="shared" si="30"/>
        <v>2194594600</v>
      </c>
      <c r="R204" s="3">
        <f t="shared" si="31"/>
        <v>102005400</v>
      </c>
    </row>
    <row r="205" spans="1:18">
      <c r="A205" s="2">
        <v>5249097</v>
      </c>
      <c r="B205" s="3" t="s">
        <v>383</v>
      </c>
      <c r="C205" s="3" t="s">
        <v>1</v>
      </c>
      <c r="D205" s="3" t="s">
        <v>2</v>
      </c>
      <c r="E205" s="3" t="s">
        <v>876</v>
      </c>
      <c r="F205" s="3" t="s">
        <v>919</v>
      </c>
      <c r="G205" s="3" t="s">
        <v>2088</v>
      </c>
      <c r="H205" s="3" t="s">
        <v>3788</v>
      </c>
      <c r="I205" s="3" t="s">
        <v>918</v>
      </c>
      <c r="J205" s="3">
        <f t="shared" si="24"/>
        <v>19</v>
      </c>
      <c r="K205" s="3">
        <f>IF(ISNUMBER(SEARCH("selesai",Sheet2!D205)-1),1,"")</f>
        <v>1</v>
      </c>
      <c r="L205" s="3" t="str">
        <f t="shared" si="25"/>
        <v>Rp. 367.566.040</v>
      </c>
      <c r="M205" s="3" t="str">
        <f t="shared" si="26"/>
        <v>Rp. 367.454.170</v>
      </c>
      <c r="N205" s="3" t="str">
        <f t="shared" si="27"/>
        <v> 367.566.040</v>
      </c>
      <c r="O205" s="3" t="str">
        <f t="shared" si="28"/>
        <v> 367.454.170</v>
      </c>
      <c r="P205" s="3">
        <f t="shared" si="29"/>
        <v>367566040</v>
      </c>
      <c r="Q205" s="3">
        <f t="shared" si="30"/>
        <v>367454170</v>
      </c>
      <c r="R205" s="3">
        <f t="shared" si="31"/>
        <v>111870</v>
      </c>
    </row>
    <row r="206" spans="1:18">
      <c r="A206" s="2">
        <v>5244097</v>
      </c>
      <c r="B206" s="3" t="s">
        <v>386</v>
      </c>
      <c r="C206" s="3" t="s">
        <v>1</v>
      </c>
      <c r="D206" s="3" t="s">
        <v>76</v>
      </c>
      <c r="E206" s="3" t="s">
        <v>876</v>
      </c>
      <c r="F206" s="3" t="s">
        <v>1097</v>
      </c>
      <c r="G206" s="3" t="s">
        <v>1805</v>
      </c>
      <c r="H206" s="3" t="s">
        <v>3760</v>
      </c>
      <c r="I206" s="3" t="s">
        <v>1177</v>
      </c>
      <c r="J206" s="3">
        <f t="shared" si="24"/>
        <v>24</v>
      </c>
      <c r="K206" s="3" t="str">
        <f>IF(ISNUMBER(SEARCH("selesai",Sheet2!D206)-1),1,"")</f>
        <v/>
      </c>
      <c r="L206" s="3" t="str">
        <f t="shared" si="25"/>
        <v>Rp. 245.000.000</v>
      </c>
      <c r="M206" s="3" t="str">
        <f t="shared" si="26"/>
        <v>Rp. 244.918.025</v>
      </c>
      <c r="N206" s="3" t="str">
        <f t="shared" si="27"/>
        <v> 245.000.000</v>
      </c>
      <c r="O206" s="3" t="str">
        <f t="shared" si="28"/>
        <v> 244.918.025</v>
      </c>
      <c r="P206" s="3">
        <f t="shared" si="29"/>
        <v>245000000</v>
      </c>
      <c r="Q206" s="3">
        <f t="shared" si="30"/>
        <v>244918025</v>
      </c>
      <c r="R206" s="3">
        <f t="shared" si="31"/>
        <v>81975</v>
      </c>
    </row>
    <row r="207" spans="1:18">
      <c r="A207" s="2">
        <v>5241097</v>
      </c>
      <c r="B207" s="3" t="s">
        <v>387</v>
      </c>
      <c r="C207" s="3" t="s">
        <v>1</v>
      </c>
      <c r="D207" s="3" t="s">
        <v>2</v>
      </c>
      <c r="E207" s="3" t="s">
        <v>876</v>
      </c>
      <c r="F207" s="3" t="s">
        <v>1097</v>
      </c>
      <c r="G207" s="3" t="s">
        <v>2099</v>
      </c>
      <c r="H207" s="3" t="s">
        <v>3789</v>
      </c>
      <c r="I207" s="3" t="s">
        <v>1672</v>
      </c>
      <c r="J207" s="3">
        <f t="shared" si="24"/>
        <v>16</v>
      </c>
      <c r="K207" s="3">
        <f>IF(ISNUMBER(SEARCH("selesai",Sheet2!D207)-1),1,"")</f>
        <v>1</v>
      </c>
      <c r="L207" s="3" t="str">
        <f t="shared" si="25"/>
        <v>Rp. 833.005.000</v>
      </c>
      <c r="M207" s="3" t="str">
        <f t="shared" si="26"/>
        <v>Rp. 833.004.700</v>
      </c>
      <c r="N207" s="3" t="str">
        <f t="shared" si="27"/>
        <v> 833.005.000</v>
      </c>
      <c r="O207" s="3" t="str">
        <f t="shared" si="28"/>
        <v> 833.004.700</v>
      </c>
      <c r="P207" s="3">
        <f t="shared" si="29"/>
        <v>833005000</v>
      </c>
      <c r="Q207" s="3">
        <f t="shared" si="30"/>
        <v>833004700</v>
      </c>
      <c r="R207" s="3">
        <f t="shared" si="31"/>
        <v>300</v>
      </c>
    </row>
    <row r="208" spans="1:18">
      <c r="A208" s="2">
        <v>5238097</v>
      </c>
      <c r="B208" s="3" t="s">
        <v>389</v>
      </c>
      <c r="C208" s="3" t="s">
        <v>1</v>
      </c>
      <c r="D208" s="3" t="s">
        <v>7</v>
      </c>
      <c r="E208" s="3" t="s">
        <v>876</v>
      </c>
      <c r="F208" s="3" t="s">
        <v>919</v>
      </c>
      <c r="G208" s="3" t="s">
        <v>2038</v>
      </c>
      <c r="H208" s="3" t="s">
        <v>3790</v>
      </c>
      <c r="I208" s="3" t="s">
        <v>1205</v>
      </c>
      <c r="J208" s="3">
        <f t="shared" si="24"/>
        <v>34</v>
      </c>
      <c r="K208" s="3" t="str">
        <f>IF(ISNUMBER(SEARCH("selesai",Sheet2!D208)-1),1,"")</f>
        <v/>
      </c>
      <c r="L208" s="3" t="str">
        <f t="shared" si="25"/>
        <v>Rp. 475.000.000</v>
      </c>
      <c r="M208" s="3" t="str">
        <f t="shared" si="26"/>
        <v>Rp. 474.999.998</v>
      </c>
      <c r="N208" s="3" t="str">
        <f t="shared" si="27"/>
        <v> 475.000.000</v>
      </c>
      <c r="O208" s="3" t="str">
        <f t="shared" si="28"/>
        <v> 474.999.998</v>
      </c>
      <c r="P208" s="3">
        <f t="shared" si="29"/>
        <v>475000000</v>
      </c>
      <c r="Q208" s="3">
        <f t="shared" si="30"/>
        <v>474999998</v>
      </c>
      <c r="R208" s="3">
        <f t="shared" si="31"/>
        <v>2</v>
      </c>
    </row>
    <row r="209" spans="1:18">
      <c r="A209" s="2">
        <v>5236097</v>
      </c>
      <c r="B209" s="3" t="s">
        <v>390</v>
      </c>
      <c r="C209" s="3" t="s">
        <v>1</v>
      </c>
      <c r="D209" s="3" t="s">
        <v>2</v>
      </c>
      <c r="E209" s="3" t="s">
        <v>876</v>
      </c>
      <c r="F209" s="3" t="s">
        <v>919</v>
      </c>
      <c r="G209" s="3" t="s">
        <v>2110</v>
      </c>
      <c r="H209" s="3" t="s">
        <v>3791</v>
      </c>
      <c r="I209" s="3" t="s">
        <v>2111</v>
      </c>
      <c r="J209" s="3">
        <f t="shared" si="24"/>
        <v>47</v>
      </c>
      <c r="K209" s="3">
        <f>IF(ISNUMBER(SEARCH("selesai",Sheet2!D209)-1),1,"")</f>
        <v>1</v>
      </c>
      <c r="L209" s="3" t="str">
        <f t="shared" si="25"/>
        <v>Rp. 4.750.000.000</v>
      </c>
      <c r="M209" s="3" t="str">
        <f t="shared" si="26"/>
        <v>Rp. 4.748.966.605</v>
      </c>
      <c r="N209" s="3" t="str">
        <f t="shared" si="27"/>
        <v> 4.750.000.000</v>
      </c>
      <c r="O209" s="3" t="str">
        <f t="shared" si="28"/>
        <v> 4.748.966.605</v>
      </c>
      <c r="P209" s="3">
        <f t="shared" si="29"/>
        <v>4750000000</v>
      </c>
      <c r="Q209" s="3">
        <f t="shared" si="30"/>
        <v>4748966605</v>
      </c>
      <c r="R209" s="3">
        <f t="shared" si="31"/>
        <v>1033395</v>
      </c>
    </row>
    <row r="210" spans="1:18">
      <c r="A210" s="2">
        <v>5235097</v>
      </c>
      <c r="B210" s="3" t="s">
        <v>393</v>
      </c>
      <c r="C210" s="3" t="s">
        <v>1</v>
      </c>
      <c r="D210" s="3" t="s">
        <v>2</v>
      </c>
      <c r="E210" s="3" t="s">
        <v>876</v>
      </c>
      <c r="F210" s="3" t="s">
        <v>919</v>
      </c>
      <c r="G210" s="3" t="s">
        <v>2117</v>
      </c>
      <c r="H210" s="3" t="s">
        <v>3792</v>
      </c>
      <c r="I210" s="3" t="s">
        <v>1863</v>
      </c>
      <c r="J210" s="3">
        <f t="shared" si="24"/>
        <v>43</v>
      </c>
      <c r="K210" s="3">
        <f>IF(ISNUMBER(SEARCH("selesai",Sheet2!D210)-1),1,"")</f>
        <v>1</v>
      </c>
      <c r="L210" s="3" t="str">
        <f t="shared" si="25"/>
        <v>Rp. 712.500.000</v>
      </c>
      <c r="M210" s="3" t="str">
        <f t="shared" si="26"/>
        <v>Rp. 711.470.236</v>
      </c>
      <c r="N210" s="3" t="str">
        <f t="shared" si="27"/>
        <v> 712.500.000</v>
      </c>
      <c r="O210" s="3" t="str">
        <f t="shared" si="28"/>
        <v> 711.470.236</v>
      </c>
      <c r="P210" s="3">
        <f t="shared" si="29"/>
        <v>712500000</v>
      </c>
      <c r="Q210" s="3">
        <f t="shared" si="30"/>
        <v>711470236</v>
      </c>
      <c r="R210" s="3">
        <f t="shared" si="31"/>
        <v>1029764</v>
      </c>
    </row>
    <row r="211" spans="1:18">
      <c r="A211" s="2">
        <v>5234097</v>
      </c>
      <c r="B211" s="3" t="s">
        <v>395</v>
      </c>
      <c r="C211" s="3" t="s">
        <v>1</v>
      </c>
      <c r="D211" s="3" t="s">
        <v>2</v>
      </c>
      <c r="E211" s="3" t="s">
        <v>876</v>
      </c>
      <c r="F211" s="3" t="s">
        <v>919</v>
      </c>
      <c r="G211" s="3" t="s">
        <v>2123</v>
      </c>
      <c r="H211" s="3" t="s">
        <v>3793</v>
      </c>
      <c r="I211" s="3" t="s">
        <v>925</v>
      </c>
      <c r="J211" s="3">
        <f t="shared" si="24"/>
        <v>38</v>
      </c>
      <c r="K211" s="3">
        <f>IF(ISNUMBER(SEARCH("selesai",Sheet2!D211)-1),1,"")</f>
        <v>1</v>
      </c>
      <c r="L211" s="3" t="str">
        <f t="shared" si="25"/>
        <v>Rp. 1.425.000.000</v>
      </c>
      <c r="M211" s="3" t="str">
        <f t="shared" si="26"/>
        <v>Rp. 1.424.957.198</v>
      </c>
      <c r="N211" s="3" t="str">
        <f t="shared" si="27"/>
        <v> 1.425.000.000</v>
      </c>
      <c r="O211" s="3" t="str">
        <f t="shared" si="28"/>
        <v> 1.424.957.198</v>
      </c>
      <c r="P211" s="3">
        <f t="shared" si="29"/>
        <v>1425000000</v>
      </c>
      <c r="Q211" s="3">
        <f t="shared" si="30"/>
        <v>1424957198</v>
      </c>
      <c r="R211" s="3">
        <f t="shared" si="31"/>
        <v>42802</v>
      </c>
    </row>
    <row r="212" spans="1:18">
      <c r="A212" s="2">
        <v>5233097</v>
      </c>
      <c r="B212" s="3" t="s">
        <v>397</v>
      </c>
      <c r="C212" s="3" t="s">
        <v>1</v>
      </c>
      <c r="D212" s="3" t="s">
        <v>2</v>
      </c>
      <c r="E212" s="3" t="s">
        <v>876</v>
      </c>
      <c r="F212" s="3" t="s">
        <v>919</v>
      </c>
      <c r="G212" s="3" t="s">
        <v>2123</v>
      </c>
      <c r="H212" s="3" t="s">
        <v>3794</v>
      </c>
      <c r="I212" s="3" t="s">
        <v>1342</v>
      </c>
      <c r="J212" s="3">
        <f t="shared" si="24"/>
        <v>44</v>
      </c>
      <c r="K212" s="3">
        <f>IF(ISNUMBER(SEARCH("selesai",Sheet2!D212)-1),1,"")</f>
        <v>1</v>
      </c>
      <c r="L212" s="3" t="str">
        <f t="shared" si="25"/>
        <v>Rp. 1.425.000.000</v>
      </c>
      <c r="M212" s="3" t="str">
        <f t="shared" si="26"/>
        <v>Rp. 1.417.306.592</v>
      </c>
      <c r="N212" s="3" t="str">
        <f t="shared" si="27"/>
        <v> 1.425.000.000</v>
      </c>
      <c r="O212" s="3" t="str">
        <f t="shared" si="28"/>
        <v> 1.417.306.592</v>
      </c>
      <c r="P212" s="3">
        <f t="shared" si="29"/>
        <v>1425000000</v>
      </c>
      <c r="Q212" s="3">
        <f t="shared" si="30"/>
        <v>1417306592</v>
      </c>
      <c r="R212" s="3">
        <f t="shared" si="31"/>
        <v>7693408</v>
      </c>
    </row>
    <row r="213" spans="1:18">
      <c r="A213" s="2">
        <v>5232097</v>
      </c>
      <c r="B213" s="3" t="s">
        <v>398</v>
      </c>
      <c r="C213" s="3" t="s">
        <v>1</v>
      </c>
      <c r="D213" s="3" t="s">
        <v>2</v>
      </c>
      <c r="E213" s="3" t="s">
        <v>876</v>
      </c>
      <c r="F213" s="3" t="s">
        <v>919</v>
      </c>
      <c r="G213" s="3" t="s">
        <v>2134</v>
      </c>
      <c r="H213" s="3" t="s">
        <v>3795</v>
      </c>
      <c r="I213" s="3" t="s">
        <v>905</v>
      </c>
      <c r="J213" s="3">
        <f t="shared" si="24"/>
        <v>31</v>
      </c>
      <c r="K213" s="3">
        <f>IF(ISNUMBER(SEARCH("selesai",Sheet2!D213)-1),1,"")</f>
        <v>1</v>
      </c>
      <c r="L213" s="3" t="str">
        <f t="shared" si="25"/>
        <v>Rp. 2.260.000.000</v>
      </c>
      <c r="M213" s="3" t="str">
        <f t="shared" si="26"/>
        <v>Rp. 2.259.748.351</v>
      </c>
      <c r="N213" s="3" t="str">
        <f t="shared" si="27"/>
        <v> 2.260.000.000</v>
      </c>
      <c r="O213" s="3" t="str">
        <f t="shared" si="28"/>
        <v> 2.259.748.351</v>
      </c>
      <c r="P213" s="3">
        <f t="shared" si="29"/>
        <v>2260000000</v>
      </c>
      <c r="Q213" s="3">
        <f t="shared" si="30"/>
        <v>2259748351</v>
      </c>
      <c r="R213" s="3">
        <f t="shared" si="31"/>
        <v>251649</v>
      </c>
    </row>
    <row r="214" spans="1:18">
      <c r="A214" s="2">
        <v>5226097</v>
      </c>
      <c r="B214" s="3" t="s">
        <v>399</v>
      </c>
      <c r="C214" s="3" t="s">
        <v>1</v>
      </c>
      <c r="D214" s="3" t="s">
        <v>2</v>
      </c>
      <c r="E214" s="3" t="s">
        <v>876</v>
      </c>
      <c r="F214" s="3" t="s">
        <v>919</v>
      </c>
      <c r="G214" s="3" t="s">
        <v>2140</v>
      </c>
      <c r="H214" s="3" t="s">
        <v>3796</v>
      </c>
      <c r="I214" s="3" t="s">
        <v>1089</v>
      </c>
      <c r="J214" s="3">
        <f t="shared" si="24"/>
        <v>32</v>
      </c>
      <c r="K214" s="3">
        <f>IF(ISNUMBER(SEARCH("selesai",Sheet2!D214)-1),1,"")</f>
        <v>1</v>
      </c>
      <c r="L214" s="3" t="str">
        <f t="shared" si="25"/>
        <v>Rp. 3.111.300.000</v>
      </c>
      <c r="M214" s="3" t="str">
        <f t="shared" si="26"/>
        <v>Rp. 3.110.631.210</v>
      </c>
      <c r="N214" s="3" t="str">
        <f t="shared" si="27"/>
        <v> 3.111.300.000</v>
      </c>
      <c r="O214" s="3" t="str">
        <f t="shared" si="28"/>
        <v> 3.110.631.210</v>
      </c>
      <c r="P214" s="3">
        <f t="shared" si="29"/>
        <v>3111300000</v>
      </c>
      <c r="Q214" s="3">
        <f t="shared" si="30"/>
        <v>3110631210</v>
      </c>
      <c r="R214" s="3">
        <f t="shared" si="31"/>
        <v>668790</v>
      </c>
    </row>
    <row r="215" spans="1:18">
      <c r="A215" s="2">
        <v>5223097</v>
      </c>
      <c r="B215" s="3" t="s">
        <v>401</v>
      </c>
      <c r="C215" s="3" t="s">
        <v>1</v>
      </c>
      <c r="D215" s="3" t="s">
        <v>2</v>
      </c>
      <c r="E215" s="3" t="s">
        <v>876</v>
      </c>
      <c r="F215" s="3" t="s">
        <v>919</v>
      </c>
      <c r="G215" s="3" t="s">
        <v>2038</v>
      </c>
      <c r="H215" s="3" t="s">
        <v>3797</v>
      </c>
      <c r="I215" s="3" t="s">
        <v>1268</v>
      </c>
      <c r="J215" s="3">
        <f t="shared" si="24"/>
        <v>17</v>
      </c>
      <c r="K215" s="3">
        <f>IF(ISNUMBER(SEARCH("selesai",Sheet2!D215)-1),1,"")</f>
        <v>1</v>
      </c>
      <c r="L215" s="3" t="str">
        <f t="shared" si="25"/>
        <v>Rp. 475.000.000</v>
      </c>
      <c r="M215" s="3" t="str">
        <f t="shared" si="26"/>
        <v>Rp. 474.963.962</v>
      </c>
      <c r="N215" s="3" t="str">
        <f t="shared" si="27"/>
        <v> 475.000.000</v>
      </c>
      <c r="O215" s="3" t="str">
        <f t="shared" si="28"/>
        <v> 474.963.962</v>
      </c>
      <c r="P215" s="3">
        <f t="shared" si="29"/>
        <v>475000000</v>
      </c>
      <c r="Q215" s="3">
        <f t="shared" si="30"/>
        <v>474963962</v>
      </c>
      <c r="R215" s="3">
        <f t="shared" si="31"/>
        <v>36038</v>
      </c>
    </row>
    <row r="216" spans="1:18">
      <c r="A216" s="2">
        <v>5221097</v>
      </c>
      <c r="B216" s="3" t="s">
        <v>402</v>
      </c>
      <c r="C216" s="3" t="s">
        <v>1</v>
      </c>
      <c r="D216" s="3" t="s">
        <v>2</v>
      </c>
      <c r="E216" s="3" t="s">
        <v>876</v>
      </c>
      <c r="F216" s="3" t="s">
        <v>875</v>
      </c>
      <c r="G216" s="3" t="s">
        <v>2151</v>
      </c>
      <c r="H216" s="3" t="s">
        <v>3798</v>
      </c>
      <c r="I216" s="3" t="s">
        <v>1268</v>
      </c>
      <c r="J216" s="3">
        <f t="shared" si="24"/>
        <v>17</v>
      </c>
      <c r="K216" s="3">
        <f>IF(ISNUMBER(SEARCH("selesai",Sheet2!D216)-1),1,"")</f>
        <v>1</v>
      </c>
      <c r="L216" s="3" t="str">
        <f t="shared" si="25"/>
        <v>Rp. 223.000.000</v>
      </c>
      <c r="M216" s="3" t="str">
        <f t="shared" si="26"/>
        <v>Rp. 222.697.435</v>
      </c>
      <c r="N216" s="3" t="str">
        <f t="shared" si="27"/>
        <v> 223.000.000</v>
      </c>
      <c r="O216" s="3" t="str">
        <f t="shared" si="28"/>
        <v> 222.697.435</v>
      </c>
      <c r="P216" s="3">
        <f t="shared" si="29"/>
        <v>223000000</v>
      </c>
      <c r="Q216" s="3">
        <f t="shared" si="30"/>
        <v>222697435</v>
      </c>
      <c r="R216" s="3">
        <f t="shared" si="31"/>
        <v>302565</v>
      </c>
    </row>
    <row r="217" spans="1:18">
      <c r="A217" s="2">
        <v>5218097</v>
      </c>
      <c r="B217" s="3" t="s">
        <v>404</v>
      </c>
      <c r="C217" s="3" t="s">
        <v>1</v>
      </c>
      <c r="D217" s="3" t="s">
        <v>2</v>
      </c>
      <c r="E217" s="3" t="s">
        <v>876</v>
      </c>
      <c r="F217" s="3" t="s">
        <v>1097</v>
      </c>
      <c r="G217" s="3" t="s">
        <v>2157</v>
      </c>
      <c r="H217" s="3" t="s">
        <v>2157</v>
      </c>
      <c r="I217" s="3" t="s">
        <v>1235</v>
      </c>
      <c r="J217" s="3">
        <f t="shared" si="24"/>
        <v>14</v>
      </c>
      <c r="K217" s="3">
        <f>IF(ISNUMBER(SEARCH("selesai",Sheet2!D217)-1),1,"")</f>
        <v>1</v>
      </c>
      <c r="L217" s="3" t="str">
        <f t="shared" si="25"/>
        <v>Rp. 322.928.000</v>
      </c>
      <c r="M217" s="3" t="str">
        <f t="shared" si="26"/>
        <v>Rp. 322.928.000</v>
      </c>
      <c r="N217" s="3" t="str">
        <f t="shared" si="27"/>
        <v> 322.928.000</v>
      </c>
      <c r="O217" s="3" t="str">
        <f t="shared" si="28"/>
        <v> 322.928.000</v>
      </c>
      <c r="P217" s="3">
        <f t="shared" si="29"/>
        <v>322928000</v>
      </c>
      <c r="Q217" s="3">
        <f t="shared" si="30"/>
        <v>322928000</v>
      </c>
      <c r="R217" s="3">
        <f t="shared" si="31"/>
        <v>0</v>
      </c>
    </row>
    <row r="218" spans="1:18">
      <c r="A218" s="2">
        <v>5217097</v>
      </c>
      <c r="B218" s="3" t="s">
        <v>406</v>
      </c>
      <c r="C218" s="3" t="s">
        <v>1</v>
      </c>
      <c r="D218" s="3" t="s">
        <v>2</v>
      </c>
      <c r="E218" s="3" t="s">
        <v>876</v>
      </c>
      <c r="F218" s="3" t="s">
        <v>1097</v>
      </c>
      <c r="G218" s="3" t="s">
        <v>2157</v>
      </c>
      <c r="H218" s="3" t="s">
        <v>2157</v>
      </c>
      <c r="I218" s="3" t="s">
        <v>1443</v>
      </c>
      <c r="J218" s="3">
        <f t="shared" si="24"/>
        <v>12</v>
      </c>
      <c r="K218" s="3">
        <f>IF(ISNUMBER(SEARCH("selesai",Sheet2!D218)-1),1,"")</f>
        <v>1</v>
      </c>
      <c r="L218" s="3" t="str">
        <f t="shared" si="25"/>
        <v>Rp. 322.928.000</v>
      </c>
      <c r="M218" s="3" t="str">
        <f t="shared" si="26"/>
        <v>Rp. 322.928.000</v>
      </c>
      <c r="N218" s="3" t="str">
        <f t="shared" si="27"/>
        <v> 322.928.000</v>
      </c>
      <c r="O218" s="3" t="str">
        <f t="shared" si="28"/>
        <v> 322.928.000</v>
      </c>
      <c r="P218" s="3">
        <f t="shared" si="29"/>
        <v>322928000</v>
      </c>
      <c r="Q218" s="3">
        <f t="shared" si="30"/>
        <v>322928000</v>
      </c>
      <c r="R218" s="3">
        <f t="shared" si="31"/>
        <v>0</v>
      </c>
    </row>
    <row r="219" spans="1:18">
      <c r="A219" s="2">
        <v>5216097</v>
      </c>
      <c r="B219" s="3" t="s">
        <v>407</v>
      </c>
      <c r="C219" s="3" t="s">
        <v>1</v>
      </c>
      <c r="D219" s="3" t="s">
        <v>2</v>
      </c>
      <c r="E219" s="3" t="s">
        <v>876</v>
      </c>
      <c r="F219" s="3" t="s">
        <v>919</v>
      </c>
      <c r="G219" s="3" t="s">
        <v>2168</v>
      </c>
      <c r="H219" s="3" t="s">
        <v>3799</v>
      </c>
      <c r="I219" s="3" t="s">
        <v>1138</v>
      </c>
      <c r="J219" s="3">
        <f t="shared" si="24"/>
        <v>22</v>
      </c>
      <c r="K219" s="3">
        <f>IF(ISNUMBER(SEARCH("selesai",Sheet2!D219)-1),1,"")</f>
        <v>1</v>
      </c>
      <c r="L219" s="3" t="str">
        <f t="shared" si="25"/>
        <v>Rp. 600.000.000</v>
      </c>
      <c r="M219" s="3" t="str">
        <f t="shared" si="26"/>
        <v>Rp. 599.999.977</v>
      </c>
      <c r="N219" s="3" t="str">
        <f t="shared" si="27"/>
        <v> 600.000.000</v>
      </c>
      <c r="O219" s="3" t="str">
        <f t="shared" si="28"/>
        <v> 599.999.977</v>
      </c>
      <c r="P219" s="3">
        <f t="shared" si="29"/>
        <v>600000000</v>
      </c>
      <c r="Q219" s="3">
        <f t="shared" si="30"/>
        <v>599999977</v>
      </c>
      <c r="R219" s="3">
        <f t="shared" si="31"/>
        <v>23</v>
      </c>
    </row>
    <row r="220" spans="1:18">
      <c r="A220" s="2">
        <v>5215097</v>
      </c>
      <c r="B220" s="3" t="s">
        <v>411</v>
      </c>
      <c r="C220" s="3" t="s">
        <v>1</v>
      </c>
      <c r="D220" s="3" t="s">
        <v>2</v>
      </c>
      <c r="E220" s="3" t="s">
        <v>876</v>
      </c>
      <c r="F220" s="3" t="s">
        <v>919</v>
      </c>
      <c r="G220" s="3" t="s">
        <v>2174</v>
      </c>
      <c r="H220" s="3" t="s">
        <v>3800</v>
      </c>
      <c r="I220" s="3" t="s">
        <v>1151</v>
      </c>
      <c r="J220" s="3">
        <f t="shared" si="24"/>
        <v>21</v>
      </c>
      <c r="K220" s="3">
        <f>IF(ISNUMBER(SEARCH("selesai",Sheet2!D220)-1),1,"")</f>
        <v>1</v>
      </c>
      <c r="L220" s="3" t="str">
        <f t="shared" si="25"/>
        <v>Rp. 860.000.000</v>
      </c>
      <c r="M220" s="3" t="str">
        <f t="shared" si="26"/>
        <v>Rp. 853.801.119</v>
      </c>
      <c r="N220" s="3" t="str">
        <f t="shared" si="27"/>
        <v> 860.000.000</v>
      </c>
      <c r="O220" s="3" t="str">
        <f t="shared" si="28"/>
        <v> 853.801.119</v>
      </c>
      <c r="P220" s="3">
        <f t="shared" si="29"/>
        <v>860000000</v>
      </c>
      <c r="Q220" s="3">
        <f t="shared" si="30"/>
        <v>853801119</v>
      </c>
      <c r="R220" s="3">
        <f t="shared" si="31"/>
        <v>6198881</v>
      </c>
    </row>
    <row r="221" spans="1:18">
      <c r="A221" s="2">
        <v>5214097</v>
      </c>
      <c r="B221" s="3" t="s">
        <v>414</v>
      </c>
      <c r="C221" s="3" t="s">
        <v>1</v>
      </c>
      <c r="D221" s="3" t="s">
        <v>2</v>
      </c>
      <c r="E221" s="3" t="s">
        <v>876</v>
      </c>
      <c r="F221" s="3" t="s">
        <v>1097</v>
      </c>
      <c r="G221" s="3" t="s">
        <v>2180</v>
      </c>
      <c r="H221" s="3" t="s">
        <v>2180</v>
      </c>
      <c r="I221" s="3" t="s">
        <v>1672</v>
      </c>
      <c r="J221" s="3">
        <f t="shared" si="24"/>
        <v>16</v>
      </c>
      <c r="K221" s="3">
        <f>IF(ISNUMBER(SEARCH("selesai",Sheet2!D221)-1),1,"")</f>
        <v>1</v>
      </c>
      <c r="L221" s="3" t="str">
        <f t="shared" si="25"/>
        <v>Rp. 223.928.000</v>
      </c>
      <c r="M221" s="3" t="str">
        <f t="shared" si="26"/>
        <v>Rp. 223.928.000</v>
      </c>
      <c r="N221" s="3" t="str">
        <f t="shared" si="27"/>
        <v> 223.928.000</v>
      </c>
      <c r="O221" s="3" t="str">
        <f t="shared" si="28"/>
        <v> 223.928.000</v>
      </c>
      <c r="P221" s="3">
        <f t="shared" si="29"/>
        <v>223928000</v>
      </c>
      <c r="Q221" s="3">
        <f t="shared" si="30"/>
        <v>223928000</v>
      </c>
      <c r="R221" s="3">
        <f t="shared" si="31"/>
        <v>0</v>
      </c>
    </row>
    <row r="222" spans="1:18">
      <c r="A222" s="2">
        <v>5213097</v>
      </c>
      <c r="B222" s="3" t="s">
        <v>416</v>
      </c>
      <c r="C222" s="3" t="s">
        <v>1</v>
      </c>
      <c r="D222" s="3" t="s">
        <v>2</v>
      </c>
      <c r="E222" s="3" t="s">
        <v>876</v>
      </c>
      <c r="F222" s="3" t="s">
        <v>1097</v>
      </c>
      <c r="G222" s="3" t="s">
        <v>2180</v>
      </c>
      <c r="H222" s="3" t="s">
        <v>2180</v>
      </c>
      <c r="I222" s="3" t="s">
        <v>1305</v>
      </c>
      <c r="J222" s="3">
        <f t="shared" si="24"/>
        <v>15</v>
      </c>
      <c r="K222" s="3">
        <f>IF(ISNUMBER(SEARCH("selesai",Sheet2!D222)-1),1,"")</f>
        <v>1</v>
      </c>
      <c r="L222" s="3" t="str">
        <f t="shared" si="25"/>
        <v>Rp. 223.928.000</v>
      </c>
      <c r="M222" s="3" t="str">
        <f t="shared" si="26"/>
        <v>Rp. 223.928.000</v>
      </c>
      <c r="N222" s="3" t="str">
        <f t="shared" si="27"/>
        <v> 223.928.000</v>
      </c>
      <c r="O222" s="3" t="str">
        <f t="shared" si="28"/>
        <v> 223.928.000</v>
      </c>
      <c r="P222" s="3">
        <f t="shared" si="29"/>
        <v>223928000</v>
      </c>
      <c r="Q222" s="3">
        <f t="shared" si="30"/>
        <v>223928000</v>
      </c>
      <c r="R222" s="3">
        <f t="shared" si="31"/>
        <v>0</v>
      </c>
    </row>
    <row r="223" spans="1:18">
      <c r="A223" s="2">
        <v>5212097</v>
      </c>
      <c r="B223" s="3" t="s">
        <v>417</v>
      </c>
      <c r="C223" s="3" t="s">
        <v>1</v>
      </c>
      <c r="D223" s="3" t="s">
        <v>2</v>
      </c>
      <c r="E223" s="3" t="s">
        <v>876</v>
      </c>
      <c r="F223" s="3" t="s">
        <v>1097</v>
      </c>
      <c r="G223" s="3" t="s">
        <v>2191</v>
      </c>
      <c r="H223" s="3" t="s">
        <v>2191</v>
      </c>
      <c r="I223" s="3" t="s">
        <v>1268</v>
      </c>
      <c r="J223" s="3">
        <f t="shared" si="24"/>
        <v>17</v>
      </c>
      <c r="K223" s="3">
        <f>IF(ISNUMBER(SEARCH("selesai",Sheet2!D223)-1),1,"")</f>
        <v>1</v>
      </c>
      <c r="L223" s="3" t="str">
        <f t="shared" si="25"/>
        <v>Rp. 223.528.000</v>
      </c>
      <c r="M223" s="3" t="str">
        <f t="shared" si="26"/>
        <v>Rp. 223.528.000</v>
      </c>
      <c r="N223" s="3" t="str">
        <f t="shared" si="27"/>
        <v> 223.528.000</v>
      </c>
      <c r="O223" s="3" t="str">
        <f t="shared" si="28"/>
        <v> 223.528.000</v>
      </c>
      <c r="P223" s="3">
        <f t="shared" si="29"/>
        <v>223528000</v>
      </c>
      <c r="Q223" s="3">
        <f t="shared" si="30"/>
        <v>223528000</v>
      </c>
      <c r="R223" s="3">
        <f t="shared" si="31"/>
        <v>0</v>
      </c>
    </row>
    <row r="224" spans="1:18">
      <c r="A224" s="2">
        <v>5211097</v>
      </c>
      <c r="B224" s="3" t="s">
        <v>419</v>
      </c>
      <c r="C224" s="3" t="s">
        <v>1</v>
      </c>
      <c r="D224" s="3" t="s">
        <v>2</v>
      </c>
      <c r="E224" s="3" t="s">
        <v>876</v>
      </c>
      <c r="F224" s="3" t="s">
        <v>1097</v>
      </c>
      <c r="G224" s="3" t="s">
        <v>2197</v>
      </c>
      <c r="H224" s="3" t="s">
        <v>2197</v>
      </c>
      <c r="I224" s="3" t="s">
        <v>1443</v>
      </c>
      <c r="J224" s="3">
        <f t="shared" si="24"/>
        <v>12</v>
      </c>
      <c r="K224" s="3">
        <f>IF(ISNUMBER(SEARCH("selesai",Sheet2!D224)-1),1,"")</f>
        <v>1</v>
      </c>
      <c r="L224" s="3" t="str">
        <f t="shared" si="25"/>
        <v>Rp. 224.128.000</v>
      </c>
      <c r="M224" s="3" t="str">
        <f t="shared" si="26"/>
        <v>Rp. 224.128.000</v>
      </c>
      <c r="N224" s="3" t="str">
        <f t="shared" si="27"/>
        <v> 224.128.000</v>
      </c>
      <c r="O224" s="3" t="str">
        <f t="shared" si="28"/>
        <v> 224.128.000</v>
      </c>
      <c r="P224" s="3">
        <f t="shared" si="29"/>
        <v>224128000</v>
      </c>
      <c r="Q224" s="3">
        <f t="shared" si="30"/>
        <v>224128000</v>
      </c>
      <c r="R224" s="3">
        <f t="shared" si="31"/>
        <v>0</v>
      </c>
    </row>
    <row r="225" spans="1:18">
      <c r="A225" s="2">
        <v>5210097</v>
      </c>
      <c r="B225" s="3" t="s">
        <v>421</v>
      </c>
      <c r="C225" s="3" t="s">
        <v>1</v>
      </c>
      <c r="D225" s="3" t="s">
        <v>2</v>
      </c>
      <c r="E225" s="3" t="s">
        <v>876</v>
      </c>
      <c r="F225" s="3" t="s">
        <v>1097</v>
      </c>
      <c r="G225" s="3" t="s">
        <v>2203</v>
      </c>
      <c r="H225" s="3" t="s">
        <v>2203</v>
      </c>
      <c r="I225" s="3" t="s">
        <v>1235</v>
      </c>
      <c r="J225" s="3">
        <f t="shared" si="24"/>
        <v>14</v>
      </c>
      <c r="K225" s="3">
        <f>IF(ISNUMBER(SEARCH("selesai",Sheet2!D225)-1),1,"")</f>
        <v>1</v>
      </c>
      <c r="L225" s="3" t="str">
        <f t="shared" si="25"/>
        <v>Rp. 224.328.000</v>
      </c>
      <c r="M225" s="3" t="str">
        <f t="shared" si="26"/>
        <v>Rp. 224.328.000</v>
      </c>
      <c r="N225" s="3" t="str">
        <f t="shared" si="27"/>
        <v> 224.328.000</v>
      </c>
      <c r="O225" s="3" t="str">
        <f t="shared" si="28"/>
        <v> 224.328.000</v>
      </c>
      <c r="P225" s="3">
        <f t="shared" si="29"/>
        <v>224328000</v>
      </c>
      <c r="Q225" s="3">
        <f t="shared" si="30"/>
        <v>224328000</v>
      </c>
      <c r="R225" s="3">
        <f t="shared" si="31"/>
        <v>0</v>
      </c>
    </row>
    <row r="226" spans="1:18">
      <c r="A226" s="2">
        <v>5209097</v>
      </c>
      <c r="B226" s="3" t="s">
        <v>423</v>
      </c>
      <c r="C226" s="3" t="s">
        <v>1</v>
      </c>
      <c r="D226" s="3" t="s">
        <v>2</v>
      </c>
      <c r="E226" s="3" t="s">
        <v>876</v>
      </c>
      <c r="F226" s="3" t="s">
        <v>919</v>
      </c>
      <c r="G226" s="3" t="s">
        <v>2209</v>
      </c>
      <c r="H226" s="3" t="s">
        <v>3801</v>
      </c>
      <c r="I226" s="3" t="s">
        <v>2210</v>
      </c>
      <c r="J226" s="3">
        <f t="shared" si="24"/>
        <v>67</v>
      </c>
      <c r="K226" s="3">
        <f>IF(ISNUMBER(SEARCH("selesai",Sheet2!D226)-1),1,"")</f>
        <v>1</v>
      </c>
      <c r="L226" s="3" t="str">
        <f t="shared" si="25"/>
        <v>Rp. 1.067.678.000</v>
      </c>
      <c r="M226" s="3" t="str">
        <f t="shared" si="26"/>
        <v>Rp. 1.064.634.904</v>
      </c>
      <c r="N226" s="3" t="str">
        <f t="shared" si="27"/>
        <v> 1.067.678.000</v>
      </c>
      <c r="O226" s="3" t="str">
        <f t="shared" si="28"/>
        <v> 1.064.634.904</v>
      </c>
      <c r="P226" s="3">
        <f t="shared" si="29"/>
        <v>1067678000</v>
      </c>
      <c r="Q226" s="3">
        <f t="shared" si="30"/>
        <v>1064634904</v>
      </c>
      <c r="R226" s="3">
        <f t="shared" si="31"/>
        <v>3043096</v>
      </c>
    </row>
    <row r="227" spans="1:18">
      <c r="A227" s="2">
        <v>5208097</v>
      </c>
      <c r="B227" s="3" t="s">
        <v>424</v>
      </c>
      <c r="C227" s="3" t="s">
        <v>1</v>
      </c>
      <c r="D227" s="3" t="s">
        <v>2</v>
      </c>
      <c r="E227" s="3" t="s">
        <v>876</v>
      </c>
      <c r="F227" s="3" t="s">
        <v>919</v>
      </c>
      <c r="G227" s="3" t="s">
        <v>2038</v>
      </c>
      <c r="H227" s="3" t="s">
        <v>3802</v>
      </c>
      <c r="I227" s="3" t="s">
        <v>1672</v>
      </c>
      <c r="J227" s="3">
        <f t="shared" si="24"/>
        <v>16</v>
      </c>
      <c r="K227" s="3">
        <f>IF(ISNUMBER(SEARCH("selesai",Sheet2!D227)-1),1,"")</f>
        <v>1</v>
      </c>
      <c r="L227" s="3" t="str">
        <f t="shared" si="25"/>
        <v>Rp. 475.000.000</v>
      </c>
      <c r="M227" s="3" t="str">
        <f t="shared" si="26"/>
        <v>Rp. 474.857.170</v>
      </c>
      <c r="N227" s="3" t="str">
        <f t="shared" si="27"/>
        <v> 475.000.000</v>
      </c>
      <c r="O227" s="3" t="str">
        <f t="shared" si="28"/>
        <v> 474.857.170</v>
      </c>
      <c r="P227" s="3">
        <f t="shared" si="29"/>
        <v>475000000</v>
      </c>
      <c r="Q227" s="3">
        <f t="shared" si="30"/>
        <v>474857170</v>
      </c>
      <c r="R227" s="3">
        <f t="shared" si="31"/>
        <v>142830</v>
      </c>
    </row>
    <row r="228" spans="1:18">
      <c r="A228" s="2">
        <v>5206097</v>
      </c>
      <c r="B228" s="3" t="s">
        <v>426</v>
      </c>
      <c r="C228" s="3" t="s">
        <v>1</v>
      </c>
      <c r="D228" s="3" t="s">
        <v>2</v>
      </c>
      <c r="E228" s="3" t="s">
        <v>876</v>
      </c>
      <c r="F228" s="3" t="s">
        <v>919</v>
      </c>
      <c r="G228" s="3" t="s">
        <v>2221</v>
      </c>
      <c r="H228" s="3" t="s">
        <v>3803</v>
      </c>
      <c r="I228" s="3" t="s">
        <v>905</v>
      </c>
      <c r="J228" s="3">
        <f t="shared" si="24"/>
        <v>31</v>
      </c>
      <c r="K228" s="3">
        <f>IF(ISNUMBER(SEARCH("selesai",Sheet2!D228)-1),1,"")</f>
        <v>1</v>
      </c>
      <c r="L228" s="3" t="str">
        <f t="shared" si="25"/>
        <v>Rp. 7.288.950.000</v>
      </c>
      <c r="M228" s="3" t="str">
        <f t="shared" si="26"/>
        <v>Rp. 7.200.062.485</v>
      </c>
      <c r="N228" s="3" t="str">
        <f t="shared" si="27"/>
        <v> 7.288.950.000</v>
      </c>
      <c r="O228" s="3" t="str">
        <f t="shared" si="28"/>
        <v> 7.200.062.485</v>
      </c>
      <c r="P228" s="3">
        <f t="shared" si="29"/>
        <v>7288950000</v>
      </c>
      <c r="Q228" s="3">
        <f t="shared" si="30"/>
        <v>7200062485</v>
      </c>
      <c r="R228" s="3">
        <f t="shared" si="31"/>
        <v>88887515</v>
      </c>
    </row>
    <row r="229" spans="1:18">
      <c r="A229" s="2">
        <v>5200097</v>
      </c>
      <c r="B229" s="3" t="s">
        <v>428</v>
      </c>
      <c r="C229" s="3" t="s">
        <v>1</v>
      </c>
      <c r="D229" s="3" t="s">
        <v>2</v>
      </c>
      <c r="E229" s="3" t="s">
        <v>876</v>
      </c>
      <c r="F229" s="3" t="s">
        <v>919</v>
      </c>
      <c r="G229" s="3" t="s">
        <v>2227</v>
      </c>
      <c r="H229" s="3" t="s">
        <v>3804</v>
      </c>
      <c r="I229" s="3" t="s">
        <v>1138</v>
      </c>
      <c r="J229" s="3">
        <f t="shared" si="24"/>
        <v>22</v>
      </c>
      <c r="K229" s="3">
        <f>IF(ISNUMBER(SEARCH("selesai",Sheet2!D229)-1),1,"")</f>
        <v>1</v>
      </c>
      <c r="L229" s="3" t="str">
        <f t="shared" si="25"/>
        <v>Rp. 364.921.400</v>
      </c>
      <c r="M229" s="3" t="str">
        <f t="shared" si="26"/>
        <v>Rp. 364.589.185</v>
      </c>
      <c r="N229" s="3" t="str">
        <f t="shared" si="27"/>
        <v> 364.921.400</v>
      </c>
      <c r="O229" s="3" t="str">
        <f t="shared" si="28"/>
        <v> 364.589.185</v>
      </c>
      <c r="P229" s="3">
        <f t="shared" si="29"/>
        <v>364921400</v>
      </c>
      <c r="Q229" s="3">
        <f t="shared" si="30"/>
        <v>364589185</v>
      </c>
      <c r="R229" s="3">
        <f t="shared" si="31"/>
        <v>332215</v>
      </c>
    </row>
    <row r="230" spans="1:18">
      <c r="A230" s="2">
        <v>5199097</v>
      </c>
      <c r="B230" s="3" t="s">
        <v>431</v>
      </c>
      <c r="C230" s="3" t="s">
        <v>1</v>
      </c>
      <c r="D230" s="3" t="s">
        <v>2</v>
      </c>
      <c r="E230" s="3" t="s">
        <v>876</v>
      </c>
      <c r="F230" s="3" t="s">
        <v>919</v>
      </c>
      <c r="G230" s="3" t="s">
        <v>2233</v>
      </c>
      <c r="H230" s="3" t="s">
        <v>3805</v>
      </c>
      <c r="I230" s="3" t="s">
        <v>994</v>
      </c>
      <c r="J230" s="3">
        <f t="shared" si="24"/>
        <v>26</v>
      </c>
      <c r="K230" s="3">
        <f>IF(ISNUMBER(SEARCH("selesai",Sheet2!D230)-1),1,"")</f>
        <v>1</v>
      </c>
      <c r="L230" s="3" t="str">
        <f t="shared" si="25"/>
        <v>Rp. 9.185.300.000</v>
      </c>
      <c r="M230" s="3" t="str">
        <f t="shared" si="26"/>
        <v>Rp. 9.173.592.853</v>
      </c>
      <c r="N230" s="3" t="str">
        <f t="shared" si="27"/>
        <v> 9.185.300.000</v>
      </c>
      <c r="O230" s="3" t="str">
        <f t="shared" si="28"/>
        <v> 9.173.592.853</v>
      </c>
      <c r="P230" s="3">
        <f t="shared" si="29"/>
        <v>9185300000</v>
      </c>
      <c r="Q230" s="3">
        <f t="shared" si="30"/>
        <v>9173592853</v>
      </c>
      <c r="R230" s="3">
        <f t="shared" si="31"/>
        <v>11707147</v>
      </c>
    </row>
    <row r="231" spans="1:18">
      <c r="A231" s="2">
        <v>5198097</v>
      </c>
      <c r="B231" s="3" t="s">
        <v>433</v>
      </c>
      <c r="C231" s="3" t="s">
        <v>1</v>
      </c>
      <c r="D231" s="3" t="s">
        <v>76</v>
      </c>
      <c r="E231" s="3" t="s">
        <v>876</v>
      </c>
      <c r="F231" s="3" t="s">
        <v>1097</v>
      </c>
      <c r="G231" s="3" t="s">
        <v>1274</v>
      </c>
      <c r="H231" s="3" t="s">
        <v>3744</v>
      </c>
      <c r="I231" s="3" t="s">
        <v>1305</v>
      </c>
      <c r="J231" s="3">
        <f t="shared" si="24"/>
        <v>15</v>
      </c>
      <c r="K231" s="3" t="str">
        <f>IF(ISNUMBER(SEARCH("selesai",Sheet2!D231)-1),1,"")</f>
        <v/>
      </c>
      <c r="L231" s="3" t="str">
        <f t="shared" si="25"/>
        <v>Rp. 750.000.000</v>
      </c>
      <c r="M231" s="3" t="str">
        <f t="shared" si="26"/>
        <v>Rp. 458.150.000</v>
      </c>
      <c r="N231" s="3" t="str">
        <f t="shared" si="27"/>
        <v> 750.000.000</v>
      </c>
      <c r="O231" s="3" t="str">
        <f t="shared" si="28"/>
        <v> 458.150.000</v>
      </c>
      <c r="P231" s="3">
        <f t="shared" si="29"/>
        <v>750000000</v>
      </c>
      <c r="Q231" s="3">
        <f t="shared" si="30"/>
        <v>458150000</v>
      </c>
      <c r="R231" s="3">
        <f t="shared" si="31"/>
        <v>291850000</v>
      </c>
    </row>
    <row r="232" spans="1:18">
      <c r="A232" s="2">
        <v>5194097</v>
      </c>
      <c r="B232" s="3" t="s">
        <v>434</v>
      </c>
      <c r="C232" s="3" t="s">
        <v>1</v>
      </c>
      <c r="D232" s="3" t="s">
        <v>2</v>
      </c>
      <c r="E232" s="3" t="s">
        <v>876</v>
      </c>
      <c r="F232" s="3" t="s">
        <v>919</v>
      </c>
      <c r="G232" s="3" t="s">
        <v>2244</v>
      </c>
      <c r="H232" s="3" t="s">
        <v>3806</v>
      </c>
      <c r="I232" s="3" t="s">
        <v>1177</v>
      </c>
      <c r="J232" s="3">
        <f t="shared" si="24"/>
        <v>24</v>
      </c>
      <c r="K232" s="3">
        <f>IF(ISNUMBER(SEARCH("selesai",Sheet2!D232)-1),1,"")</f>
        <v>1</v>
      </c>
      <c r="L232" s="3" t="str">
        <f t="shared" si="25"/>
        <v>Rp. 728.710.000</v>
      </c>
      <c r="M232" s="3" t="str">
        <f t="shared" si="26"/>
        <v>Rp. 728.709.833</v>
      </c>
      <c r="N232" s="3" t="str">
        <f t="shared" si="27"/>
        <v> 728.710.000</v>
      </c>
      <c r="O232" s="3" t="str">
        <f t="shared" si="28"/>
        <v> 728.709.833</v>
      </c>
      <c r="P232" s="3">
        <f t="shared" si="29"/>
        <v>728710000</v>
      </c>
      <c r="Q232" s="3">
        <f t="shared" si="30"/>
        <v>728709833</v>
      </c>
      <c r="R232" s="3">
        <f t="shared" si="31"/>
        <v>167</v>
      </c>
    </row>
    <row r="233" spans="1:18">
      <c r="A233" s="2">
        <v>5193097</v>
      </c>
      <c r="B233" s="3" t="s">
        <v>436</v>
      </c>
      <c r="C233" s="3" t="s">
        <v>1</v>
      </c>
      <c r="D233" s="3" t="s">
        <v>2</v>
      </c>
      <c r="E233" s="3" t="s">
        <v>876</v>
      </c>
      <c r="F233" s="3" t="s">
        <v>919</v>
      </c>
      <c r="G233" s="3" t="s">
        <v>2250</v>
      </c>
      <c r="H233" s="3" t="s">
        <v>3807</v>
      </c>
      <c r="I233" s="3" t="s">
        <v>966</v>
      </c>
      <c r="J233" s="3">
        <f t="shared" si="24"/>
        <v>25</v>
      </c>
      <c r="K233" s="3">
        <f>IF(ISNUMBER(SEARCH("selesai",Sheet2!D233)-1),1,"")</f>
        <v>1</v>
      </c>
      <c r="L233" s="3" t="str">
        <f t="shared" si="25"/>
        <v>Rp. 2.150.000.000</v>
      </c>
      <c r="M233" s="3" t="str">
        <f t="shared" si="26"/>
        <v>Rp. 2.050.000.125</v>
      </c>
      <c r="N233" s="3" t="str">
        <f t="shared" si="27"/>
        <v> 2.150.000.000</v>
      </c>
      <c r="O233" s="3" t="str">
        <f t="shared" si="28"/>
        <v> 2.050.000.125</v>
      </c>
      <c r="P233" s="3">
        <f t="shared" si="29"/>
        <v>2150000000</v>
      </c>
      <c r="Q233" s="3">
        <f t="shared" si="30"/>
        <v>2050000125</v>
      </c>
      <c r="R233" s="3">
        <f t="shared" si="31"/>
        <v>99999875</v>
      </c>
    </row>
    <row r="234" spans="1:18">
      <c r="A234" s="2">
        <v>5192097</v>
      </c>
      <c r="B234" s="3" t="s">
        <v>438</v>
      </c>
      <c r="C234" s="3" t="s">
        <v>1</v>
      </c>
      <c r="D234" s="3" t="s">
        <v>2</v>
      </c>
      <c r="E234" s="3" t="s">
        <v>876</v>
      </c>
      <c r="F234" s="3" t="s">
        <v>919</v>
      </c>
      <c r="G234" s="3" t="s">
        <v>2256</v>
      </c>
      <c r="H234" s="3" t="s">
        <v>3808</v>
      </c>
      <c r="I234" s="3" t="s">
        <v>898</v>
      </c>
      <c r="J234" s="3">
        <f t="shared" si="24"/>
        <v>35</v>
      </c>
      <c r="K234" s="3">
        <f>IF(ISNUMBER(SEARCH("selesai",Sheet2!D234)-1),1,"")</f>
        <v>1</v>
      </c>
      <c r="L234" s="3" t="str">
        <f t="shared" si="25"/>
        <v>Rp. 2.742.422.350</v>
      </c>
      <c r="M234" s="3" t="str">
        <f t="shared" si="26"/>
        <v>Rp. 2.742.312.548</v>
      </c>
      <c r="N234" s="3" t="str">
        <f t="shared" si="27"/>
        <v> 2.742.422.350</v>
      </c>
      <c r="O234" s="3" t="str">
        <f t="shared" si="28"/>
        <v> 2.742.312.548</v>
      </c>
      <c r="P234" s="3">
        <f t="shared" si="29"/>
        <v>2742422350</v>
      </c>
      <c r="Q234" s="3">
        <f t="shared" si="30"/>
        <v>2742312548</v>
      </c>
      <c r="R234" s="3">
        <f t="shared" si="31"/>
        <v>109802</v>
      </c>
    </row>
    <row r="235" spans="1:18">
      <c r="A235" s="2">
        <v>5191097</v>
      </c>
      <c r="B235" s="3" t="s">
        <v>439</v>
      </c>
      <c r="C235" s="3" t="s">
        <v>1</v>
      </c>
      <c r="D235" s="3" t="s">
        <v>2</v>
      </c>
      <c r="E235" s="3" t="s">
        <v>876</v>
      </c>
      <c r="F235" s="3" t="s">
        <v>919</v>
      </c>
      <c r="G235" s="3" t="s">
        <v>2262</v>
      </c>
      <c r="H235" s="3" t="s">
        <v>3809</v>
      </c>
      <c r="I235" s="3" t="s">
        <v>1235</v>
      </c>
      <c r="J235" s="3">
        <f t="shared" si="24"/>
        <v>14</v>
      </c>
      <c r="K235" s="3">
        <f>IF(ISNUMBER(SEARCH("selesai",Sheet2!D235)-1),1,"")</f>
        <v>1</v>
      </c>
      <c r="L235" s="3" t="str">
        <f t="shared" si="25"/>
        <v>Rp. 563.975.000</v>
      </c>
      <c r="M235" s="3" t="str">
        <f t="shared" si="26"/>
        <v>Rp. 563.913.672</v>
      </c>
      <c r="N235" s="3" t="str">
        <f t="shared" si="27"/>
        <v> 563.975.000</v>
      </c>
      <c r="O235" s="3" t="str">
        <f t="shared" si="28"/>
        <v> 563.913.672</v>
      </c>
      <c r="P235" s="3">
        <f t="shared" si="29"/>
        <v>563975000</v>
      </c>
      <c r="Q235" s="3">
        <f t="shared" si="30"/>
        <v>563913672</v>
      </c>
      <c r="R235" s="3">
        <f t="shared" si="31"/>
        <v>61328</v>
      </c>
    </row>
    <row r="236" spans="1:18">
      <c r="A236" s="2">
        <v>5181097</v>
      </c>
      <c r="B236" s="3" t="s">
        <v>441</v>
      </c>
      <c r="C236" s="3" t="s">
        <v>1</v>
      </c>
      <c r="D236" s="3" t="s">
        <v>7</v>
      </c>
      <c r="E236" s="3" t="s">
        <v>876</v>
      </c>
      <c r="F236" s="3" t="s">
        <v>919</v>
      </c>
      <c r="G236" s="3" t="s">
        <v>2140</v>
      </c>
      <c r="H236" s="3" t="s">
        <v>3796</v>
      </c>
      <c r="I236" s="3" t="s">
        <v>1096</v>
      </c>
      <c r="J236" s="3">
        <f t="shared" si="24"/>
        <v>28</v>
      </c>
      <c r="K236" s="3" t="str">
        <f>IF(ISNUMBER(SEARCH("selesai",Sheet2!D236)-1),1,"")</f>
        <v/>
      </c>
      <c r="L236" s="3" t="str">
        <f t="shared" si="25"/>
        <v>Rp. 3.111.300.000</v>
      </c>
      <c r="M236" s="3" t="str">
        <f t="shared" si="26"/>
        <v>Rp. 3.110.631.210</v>
      </c>
      <c r="N236" s="3" t="str">
        <f t="shared" si="27"/>
        <v> 3.111.300.000</v>
      </c>
      <c r="O236" s="3" t="str">
        <f t="shared" si="28"/>
        <v> 3.110.631.210</v>
      </c>
      <c r="P236" s="3">
        <f t="shared" si="29"/>
        <v>3111300000</v>
      </c>
      <c r="Q236" s="3">
        <f t="shared" si="30"/>
        <v>3110631210</v>
      </c>
      <c r="R236" s="3">
        <f t="shared" si="31"/>
        <v>668790</v>
      </c>
    </row>
    <row r="237" spans="1:18">
      <c r="A237" s="2">
        <v>5176097</v>
      </c>
      <c r="B237" s="3" t="s">
        <v>442</v>
      </c>
      <c r="C237" s="3" t="s">
        <v>1</v>
      </c>
      <c r="D237" s="3" t="s">
        <v>2</v>
      </c>
      <c r="E237" s="3" t="s">
        <v>2274</v>
      </c>
      <c r="F237" s="3" t="s">
        <v>875</v>
      </c>
      <c r="G237" s="3" t="s">
        <v>2273</v>
      </c>
      <c r="H237" s="3" t="s">
        <v>3810</v>
      </c>
      <c r="I237" s="3" t="s">
        <v>1268</v>
      </c>
      <c r="J237" s="3">
        <f t="shared" si="24"/>
        <v>17</v>
      </c>
      <c r="K237" s="3">
        <f>IF(ISNUMBER(SEARCH("selesai",Sheet2!D237)-1),1,"")</f>
        <v>1</v>
      </c>
      <c r="L237" s="3" t="str">
        <f t="shared" si="25"/>
        <v>Rp. 640.000.000</v>
      </c>
      <c r="M237" s="3" t="str">
        <f t="shared" si="26"/>
        <v>Rp. 638.880.000</v>
      </c>
      <c r="N237" s="3" t="str">
        <f t="shared" si="27"/>
        <v> 640.000.000</v>
      </c>
      <c r="O237" s="3" t="str">
        <f t="shared" si="28"/>
        <v> 638.880.000</v>
      </c>
      <c r="P237" s="3">
        <f t="shared" si="29"/>
        <v>640000000</v>
      </c>
      <c r="Q237" s="3">
        <f t="shared" si="30"/>
        <v>638880000</v>
      </c>
      <c r="R237" s="3">
        <f t="shared" si="31"/>
        <v>1120000</v>
      </c>
    </row>
    <row r="238" spans="1:18">
      <c r="A238" s="2">
        <v>5175097</v>
      </c>
      <c r="B238" s="3" t="s">
        <v>445</v>
      </c>
      <c r="C238" s="3" t="s">
        <v>1</v>
      </c>
      <c r="D238" s="3" t="s">
        <v>2</v>
      </c>
      <c r="E238" s="3" t="s">
        <v>2281</v>
      </c>
      <c r="F238" s="3" t="s">
        <v>875</v>
      </c>
      <c r="G238" s="3" t="s">
        <v>2280</v>
      </c>
      <c r="H238" s="3" t="s">
        <v>3811</v>
      </c>
      <c r="I238" s="3" t="s">
        <v>1138</v>
      </c>
      <c r="J238" s="3">
        <f t="shared" si="24"/>
        <v>22</v>
      </c>
      <c r="K238" s="3">
        <f>IF(ISNUMBER(SEARCH("selesai",Sheet2!D238)-1),1,"")</f>
        <v>1</v>
      </c>
      <c r="L238" s="3" t="str">
        <f t="shared" si="25"/>
        <v>Rp. 664.400.000</v>
      </c>
      <c r="M238" s="3" t="str">
        <f t="shared" si="26"/>
        <v>Rp. 663.927.000</v>
      </c>
      <c r="N238" s="3" t="str">
        <f t="shared" si="27"/>
        <v> 664.400.000</v>
      </c>
      <c r="O238" s="3" t="str">
        <f t="shared" si="28"/>
        <v> 663.927.000</v>
      </c>
      <c r="P238" s="3">
        <f t="shared" si="29"/>
        <v>664400000</v>
      </c>
      <c r="Q238" s="3">
        <f t="shared" si="30"/>
        <v>663927000</v>
      </c>
      <c r="R238" s="3">
        <f t="shared" si="31"/>
        <v>473000</v>
      </c>
    </row>
    <row r="239" spans="1:18">
      <c r="A239" s="2">
        <v>5172097</v>
      </c>
      <c r="B239" s="3" t="s">
        <v>448</v>
      </c>
      <c r="C239" s="3" t="s">
        <v>1</v>
      </c>
      <c r="D239" s="3" t="s">
        <v>7</v>
      </c>
      <c r="E239" s="3" t="s">
        <v>876</v>
      </c>
      <c r="F239" s="3" t="s">
        <v>1026</v>
      </c>
      <c r="G239" s="3" t="s">
        <v>1751</v>
      </c>
      <c r="H239" s="3" t="s">
        <v>3752</v>
      </c>
      <c r="I239" s="3" t="s">
        <v>1229</v>
      </c>
      <c r="J239" s="3">
        <f t="shared" si="24"/>
        <v>18</v>
      </c>
      <c r="K239" s="3" t="str">
        <f>IF(ISNUMBER(SEARCH("selesai",Sheet2!D239)-1),1,"")</f>
        <v/>
      </c>
      <c r="L239" s="3" t="str">
        <f t="shared" si="25"/>
        <v>Rp. 670.278.000</v>
      </c>
      <c r="M239" s="3" t="str">
        <f t="shared" si="26"/>
        <v>Rp. 667.086.200</v>
      </c>
      <c r="N239" s="3" t="str">
        <f t="shared" si="27"/>
        <v> 670.278.000</v>
      </c>
      <c r="O239" s="3" t="str">
        <f t="shared" si="28"/>
        <v> 667.086.200</v>
      </c>
      <c r="P239" s="3">
        <f t="shared" si="29"/>
        <v>670278000</v>
      </c>
      <c r="Q239" s="3">
        <f t="shared" si="30"/>
        <v>667086200</v>
      </c>
      <c r="R239" s="3">
        <f t="shared" si="31"/>
        <v>3191800</v>
      </c>
    </row>
    <row r="240" spans="1:18">
      <c r="A240" s="2">
        <v>5170097</v>
      </c>
      <c r="B240" s="3" t="s">
        <v>449</v>
      </c>
      <c r="C240" s="3" t="s">
        <v>1</v>
      </c>
      <c r="D240" s="3" t="s">
        <v>2</v>
      </c>
      <c r="E240" s="3" t="s">
        <v>876</v>
      </c>
      <c r="F240" s="3" t="s">
        <v>919</v>
      </c>
      <c r="G240" s="3" t="s">
        <v>2038</v>
      </c>
      <c r="H240" s="3" t="s">
        <v>3812</v>
      </c>
      <c r="I240" s="3" t="s">
        <v>1126</v>
      </c>
      <c r="J240" s="3">
        <f t="shared" si="24"/>
        <v>23</v>
      </c>
      <c r="K240" s="3">
        <f>IF(ISNUMBER(SEARCH("selesai",Sheet2!D240)-1),1,"")</f>
        <v>1</v>
      </c>
      <c r="L240" s="3" t="str">
        <f t="shared" si="25"/>
        <v>Rp. 475.000.000</v>
      </c>
      <c r="M240" s="3" t="str">
        <f t="shared" si="26"/>
        <v>Rp. 474.994.990</v>
      </c>
      <c r="N240" s="3" t="str">
        <f t="shared" si="27"/>
        <v> 475.000.000</v>
      </c>
      <c r="O240" s="3" t="str">
        <f t="shared" si="28"/>
        <v> 474.994.990</v>
      </c>
      <c r="P240" s="3">
        <f t="shared" si="29"/>
        <v>475000000</v>
      </c>
      <c r="Q240" s="3">
        <f t="shared" si="30"/>
        <v>474994990</v>
      </c>
      <c r="R240" s="3">
        <f t="shared" si="31"/>
        <v>5010</v>
      </c>
    </row>
    <row r="241" spans="1:18">
      <c r="A241" s="2">
        <v>5169097</v>
      </c>
      <c r="B241" s="3" t="s">
        <v>450</v>
      </c>
      <c r="C241" s="3" t="s">
        <v>1</v>
      </c>
      <c r="D241" s="3" t="s">
        <v>2</v>
      </c>
      <c r="E241" s="3" t="s">
        <v>876</v>
      </c>
      <c r="F241" s="3" t="s">
        <v>919</v>
      </c>
      <c r="G241" s="3" t="s">
        <v>2038</v>
      </c>
      <c r="H241" s="3" t="s">
        <v>3813</v>
      </c>
      <c r="I241" s="3" t="s">
        <v>1672</v>
      </c>
      <c r="J241" s="3">
        <f t="shared" si="24"/>
        <v>16</v>
      </c>
      <c r="K241" s="3">
        <f>IF(ISNUMBER(SEARCH("selesai",Sheet2!D241)-1),1,"")</f>
        <v>1</v>
      </c>
      <c r="L241" s="3" t="str">
        <f t="shared" si="25"/>
        <v>Rp. 475.000.000</v>
      </c>
      <c r="M241" s="3" t="str">
        <f t="shared" si="26"/>
        <v>Rp. 474.999.907</v>
      </c>
      <c r="N241" s="3" t="str">
        <f t="shared" si="27"/>
        <v> 475.000.000</v>
      </c>
      <c r="O241" s="3" t="str">
        <f t="shared" si="28"/>
        <v> 474.999.907</v>
      </c>
      <c r="P241" s="3">
        <f t="shared" si="29"/>
        <v>475000000</v>
      </c>
      <c r="Q241" s="3">
        <f t="shared" si="30"/>
        <v>474999907</v>
      </c>
      <c r="R241" s="3">
        <f t="shared" si="31"/>
        <v>93</v>
      </c>
    </row>
    <row r="242" spans="1:18">
      <c r="A242" s="2">
        <v>5162097</v>
      </c>
      <c r="B242" s="3" t="s">
        <v>451</v>
      </c>
      <c r="C242" s="3" t="s">
        <v>1</v>
      </c>
      <c r="D242" s="3" t="s">
        <v>2</v>
      </c>
      <c r="E242" s="3" t="s">
        <v>876</v>
      </c>
      <c r="F242" s="3" t="s">
        <v>875</v>
      </c>
      <c r="G242" s="3" t="s">
        <v>2302</v>
      </c>
      <c r="H242" s="3" t="s">
        <v>1509</v>
      </c>
      <c r="I242" s="3" t="s">
        <v>1672</v>
      </c>
      <c r="J242" s="3">
        <f t="shared" si="24"/>
        <v>16</v>
      </c>
      <c r="K242" s="3">
        <f>IF(ISNUMBER(SEARCH("selesai",Sheet2!D242)-1),1,"")</f>
        <v>1</v>
      </c>
      <c r="L242" s="3" t="str">
        <f t="shared" si="25"/>
        <v>Rp. 400.000.000</v>
      </c>
      <c r="M242" s="3" t="str">
        <f t="shared" si="26"/>
        <v>Rp. 396.000.000</v>
      </c>
      <c r="N242" s="3" t="str">
        <f t="shared" si="27"/>
        <v> 400.000.000</v>
      </c>
      <c r="O242" s="3" t="str">
        <f t="shared" si="28"/>
        <v> 396.000.000</v>
      </c>
      <c r="P242" s="3">
        <f t="shared" si="29"/>
        <v>400000000</v>
      </c>
      <c r="Q242" s="3">
        <f t="shared" si="30"/>
        <v>396000000</v>
      </c>
      <c r="R242" s="3">
        <f t="shared" si="31"/>
        <v>4000000</v>
      </c>
    </row>
    <row r="243" spans="1:18">
      <c r="A243" s="2">
        <v>5160097</v>
      </c>
      <c r="B243" s="3" t="s">
        <v>453</v>
      </c>
      <c r="C243" s="3" t="s">
        <v>1</v>
      </c>
      <c r="D243" s="3" t="s">
        <v>2</v>
      </c>
      <c r="E243" s="3" t="s">
        <v>876</v>
      </c>
      <c r="F243" s="3" t="s">
        <v>919</v>
      </c>
      <c r="G243" s="3" t="s">
        <v>2308</v>
      </c>
      <c r="H243" s="3" t="s">
        <v>3814</v>
      </c>
      <c r="I243" s="3" t="s">
        <v>1151</v>
      </c>
      <c r="J243" s="3">
        <f t="shared" si="24"/>
        <v>21</v>
      </c>
      <c r="K243" s="3">
        <f>IF(ISNUMBER(SEARCH("selesai",Sheet2!D243)-1),1,"")</f>
        <v>1</v>
      </c>
      <c r="L243" s="3" t="str">
        <f t="shared" si="25"/>
        <v>Rp. 473.600.000</v>
      </c>
      <c r="M243" s="3" t="str">
        <f t="shared" si="26"/>
        <v>Rp. 473.595.324</v>
      </c>
      <c r="N243" s="3" t="str">
        <f t="shared" si="27"/>
        <v> 473.600.000</v>
      </c>
      <c r="O243" s="3" t="str">
        <f t="shared" si="28"/>
        <v> 473.595.324</v>
      </c>
      <c r="P243" s="3">
        <f t="shared" si="29"/>
        <v>473600000</v>
      </c>
      <c r="Q243" s="3">
        <f t="shared" si="30"/>
        <v>473595324</v>
      </c>
      <c r="R243" s="3">
        <f t="shared" si="31"/>
        <v>4676</v>
      </c>
    </row>
    <row r="244" spans="1:18">
      <c r="A244" s="2">
        <v>5159097</v>
      </c>
      <c r="B244" s="3" t="s">
        <v>455</v>
      </c>
      <c r="C244" s="3" t="s">
        <v>1</v>
      </c>
      <c r="D244" s="3" t="s">
        <v>2</v>
      </c>
      <c r="E244" s="3" t="s">
        <v>876</v>
      </c>
      <c r="F244" s="3" t="s">
        <v>875</v>
      </c>
      <c r="G244" s="3" t="s">
        <v>2302</v>
      </c>
      <c r="H244" s="3" t="s">
        <v>3815</v>
      </c>
      <c r="I244" s="3" t="s">
        <v>911</v>
      </c>
      <c r="J244" s="3">
        <f t="shared" si="24"/>
        <v>4</v>
      </c>
      <c r="K244" s="3">
        <f>IF(ISNUMBER(SEARCH("selesai",Sheet2!D244)-1),1,"")</f>
        <v>1</v>
      </c>
      <c r="L244" s="3" t="str">
        <f t="shared" si="25"/>
        <v>Rp. 400.000.000</v>
      </c>
      <c r="M244" s="3" t="str">
        <f t="shared" si="26"/>
        <v>Rp. 399.521.025</v>
      </c>
      <c r="N244" s="3" t="str">
        <f t="shared" si="27"/>
        <v> 400.000.000</v>
      </c>
      <c r="O244" s="3" t="str">
        <f t="shared" si="28"/>
        <v> 399.521.025</v>
      </c>
      <c r="P244" s="3">
        <f t="shared" si="29"/>
        <v>400000000</v>
      </c>
      <c r="Q244" s="3">
        <f t="shared" si="30"/>
        <v>399521025</v>
      </c>
      <c r="R244" s="3">
        <f t="shared" si="31"/>
        <v>478975</v>
      </c>
    </row>
    <row r="245" spans="1:18">
      <c r="A245" s="2">
        <v>5158097</v>
      </c>
      <c r="B245" s="3" t="s">
        <v>457</v>
      </c>
      <c r="C245" s="3" t="s">
        <v>1</v>
      </c>
      <c r="D245" s="3" t="s">
        <v>7</v>
      </c>
      <c r="E245" s="3" t="s">
        <v>876</v>
      </c>
      <c r="F245" s="3" t="s">
        <v>1026</v>
      </c>
      <c r="G245" s="3" t="s">
        <v>2319</v>
      </c>
      <c r="H245" s="3" t="s">
        <v>3816</v>
      </c>
      <c r="I245" s="3" t="s">
        <v>2320</v>
      </c>
      <c r="J245" s="3">
        <f t="shared" si="24"/>
        <v>5</v>
      </c>
      <c r="K245" s="3" t="str">
        <f>IF(ISNUMBER(SEARCH("selesai",Sheet2!D245)-1),1,"")</f>
        <v/>
      </c>
      <c r="L245" s="3" t="str">
        <f t="shared" si="25"/>
        <v>Rp. 897.450.000</v>
      </c>
      <c r="M245" s="3" t="str">
        <f t="shared" si="26"/>
        <v>Rp. 590.225.000</v>
      </c>
      <c r="N245" s="3" t="str">
        <f t="shared" si="27"/>
        <v> 897.450.000</v>
      </c>
      <c r="O245" s="3" t="str">
        <f t="shared" si="28"/>
        <v> 590.225.000</v>
      </c>
      <c r="P245" s="3">
        <f t="shared" si="29"/>
        <v>897450000</v>
      </c>
      <c r="Q245" s="3">
        <f t="shared" si="30"/>
        <v>590225000</v>
      </c>
      <c r="R245" s="3">
        <f t="shared" si="31"/>
        <v>307225000</v>
      </c>
    </row>
    <row r="246" spans="1:18">
      <c r="A246" s="2">
        <v>5152097</v>
      </c>
      <c r="B246" s="3" t="s">
        <v>459</v>
      </c>
      <c r="C246" s="3" t="s">
        <v>1</v>
      </c>
      <c r="D246" s="3" t="s">
        <v>2</v>
      </c>
      <c r="E246" s="3" t="s">
        <v>876</v>
      </c>
      <c r="F246" s="3" t="s">
        <v>919</v>
      </c>
      <c r="G246" s="3" t="s">
        <v>897</v>
      </c>
      <c r="H246" s="3" t="s">
        <v>3817</v>
      </c>
      <c r="I246" s="3" t="s">
        <v>1672</v>
      </c>
      <c r="J246" s="3">
        <f t="shared" si="24"/>
        <v>16</v>
      </c>
      <c r="K246" s="3">
        <f>IF(ISNUMBER(SEARCH("selesai",Sheet2!D246)-1),1,"")</f>
        <v>1</v>
      </c>
      <c r="L246" s="3" t="str">
        <f t="shared" si="25"/>
        <v>Rp. 350.000.000</v>
      </c>
      <c r="M246" s="3" t="str">
        <f t="shared" si="26"/>
        <v>Rp. 349.999.998</v>
      </c>
      <c r="N246" s="3" t="str">
        <f t="shared" si="27"/>
        <v> 350.000.000</v>
      </c>
      <c r="O246" s="3" t="str">
        <f t="shared" si="28"/>
        <v> 349.999.998</v>
      </c>
      <c r="P246" s="3">
        <f t="shared" si="29"/>
        <v>350000000</v>
      </c>
      <c r="Q246" s="3">
        <f t="shared" si="30"/>
        <v>349999998</v>
      </c>
      <c r="R246" s="3">
        <f t="shared" si="31"/>
        <v>2</v>
      </c>
    </row>
    <row r="247" spans="1:18">
      <c r="A247" s="2">
        <v>5151097</v>
      </c>
      <c r="B247" s="3" t="s">
        <v>461</v>
      </c>
      <c r="C247" s="3" t="s">
        <v>1</v>
      </c>
      <c r="D247" s="3" t="s">
        <v>2</v>
      </c>
      <c r="E247" s="3" t="s">
        <v>876</v>
      </c>
      <c r="F247" s="3" t="s">
        <v>919</v>
      </c>
      <c r="G247" s="3" t="s">
        <v>2331</v>
      </c>
      <c r="H247" s="3" t="s">
        <v>3818</v>
      </c>
      <c r="I247" s="3" t="s">
        <v>1229</v>
      </c>
      <c r="J247" s="3">
        <f t="shared" si="24"/>
        <v>18</v>
      </c>
      <c r="K247" s="3">
        <f>IF(ISNUMBER(SEARCH("selesai",Sheet2!D247)-1),1,"")</f>
        <v>1</v>
      </c>
      <c r="L247" s="3" t="str">
        <f t="shared" si="25"/>
        <v>Rp. 1.063.700.000</v>
      </c>
      <c r="M247" s="3" t="str">
        <f t="shared" si="26"/>
        <v>Rp. 1.060.968.773</v>
      </c>
      <c r="N247" s="3" t="str">
        <f t="shared" si="27"/>
        <v> 1.063.700.000</v>
      </c>
      <c r="O247" s="3" t="str">
        <f t="shared" si="28"/>
        <v> 1.060.968.773</v>
      </c>
      <c r="P247" s="3">
        <f t="shared" si="29"/>
        <v>1063700000</v>
      </c>
      <c r="Q247" s="3">
        <f t="shared" si="30"/>
        <v>1060968773</v>
      </c>
      <c r="R247" s="3">
        <f t="shared" si="31"/>
        <v>2731227</v>
      </c>
    </row>
    <row r="248" spans="1:18">
      <c r="A248" s="2">
        <v>5150097</v>
      </c>
      <c r="B248" s="3" t="s">
        <v>463</v>
      </c>
      <c r="C248" s="3" t="s">
        <v>1</v>
      </c>
      <c r="D248" s="3" t="s">
        <v>2</v>
      </c>
      <c r="E248" s="3" t="s">
        <v>876</v>
      </c>
      <c r="F248" s="3" t="s">
        <v>1026</v>
      </c>
      <c r="G248" s="3" t="s">
        <v>2337</v>
      </c>
      <c r="H248" s="3" t="s">
        <v>3819</v>
      </c>
      <c r="I248" s="3" t="s">
        <v>918</v>
      </c>
      <c r="J248" s="3">
        <f t="shared" si="24"/>
        <v>19</v>
      </c>
      <c r="K248" s="3">
        <f>IF(ISNUMBER(SEARCH("selesai",Sheet2!D248)-1),1,"")</f>
        <v>1</v>
      </c>
      <c r="L248" s="3" t="str">
        <f t="shared" si="25"/>
        <v>Rp. 1.980.000.000</v>
      </c>
      <c r="M248" s="3" t="str">
        <f t="shared" si="26"/>
        <v>Rp. 1.874.592.500</v>
      </c>
      <c r="N248" s="3" t="str">
        <f t="shared" si="27"/>
        <v> 1.980.000.000</v>
      </c>
      <c r="O248" s="3" t="str">
        <f t="shared" si="28"/>
        <v> 1.874.592.500</v>
      </c>
      <c r="P248" s="3">
        <f t="shared" si="29"/>
        <v>1980000000</v>
      </c>
      <c r="Q248" s="3">
        <f t="shared" si="30"/>
        <v>1874592500</v>
      </c>
      <c r="R248" s="3">
        <f t="shared" si="31"/>
        <v>105407500</v>
      </c>
    </row>
    <row r="249" spans="1:18">
      <c r="A249" s="2">
        <v>5146097</v>
      </c>
      <c r="B249" s="3" t="s">
        <v>465</v>
      </c>
      <c r="C249" s="3" t="s">
        <v>1</v>
      </c>
      <c r="D249" s="3" t="s">
        <v>2</v>
      </c>
      <c r="E249" s="3" t="s">
        <v>876</v>
      </c>
      <c r="F249" s="3" t="s">
        <v>919</v>
      </c>
      <c r="G249" s="3" t="s">
        <v>2038</v>
      </c>
      <c r="H249" s="3" t="s">
        <v>2038</v>
      </c>
      <c r="I249" s="3" t="s">
        <v>1305</v>
      </c>
      <c r="J249" s="3">
        <f t="shared" si="24"/>
        <v>15</v>
      </c>
      <c r="K249" s="3">
        <f>IF(ISNUMBER(SEARCH("selesai",Sheet2!D249)-1),1,"")</f>
        <v>1</v>
      </c>
      <c r="L249" s="3" t="str">
        <f t="shared" si="25"/>
        <v>Rp. 475.000.000</v>
      </c>
      <c r="M249" s="3" t="str">
        <f t="shared" si="26"/>
        <v>Rp. 475.000.000</v>
      </c>
      <c r="N249" s="3" t="str">
        <f t="shared" si="27"/>
        <v> 475.000.000</v>
      </c>
      <c r="O249" s="3" t="str">
        <f t="shared" si="28"/>
        <v> 475.000.000</v>
      </c>
      <c r="P249" s="3">
        <f t="shared" si="29"/>
        <v>475000000</v>
      </c>
      <c r="Q249" s="3">
        <f t="shared" si="30"/>
        <v>475000000</v>
      </c>
      <c r="R249" s="3">
        <f t="shared" si="31"/>
        <v>0</v>
      </c>
    </row>
    <row r="250" spans="1:18">
      <c r="A250" s="2">
        <v>5141097</v>
      </c>
      <c r="B250" s="3" t="s">
        <v>466</v>
      </c>
      <c r="C250" s="3" t="s">
        <v>1</v>
      </c>
      <c r="D250" s="3" t="s">
        <v>2</v>
      </c>
      <c r="E250" s="3" t="s">
        <v>876</v>
      </c>
      <c r="F250" s="3" t="s">
        <v>919</v>
      </c>
      <c r="G250" s="3" t="s">
        <v>2348</v>
      </c>
      <c r="H250" s="3" t="s">
        <v>3820</v>
      </c>
      <c r="I250" s="3" t="s">
        <v>1268</v>
      </c>
      <c r="J250" s="3">
        <f t="shared" si="24"/>
        <v>17</v>
      </c>
      <c r="K250" s="3">
        <f>IF(ISNUMBER(SEARCH("selesai",Sheet2!D250)-1),1,"")</f>
        <v>1</v>
      </c>
      <c r="L250" s="3" t="str">
        <f t="shared" si="25"/>
        <v>Rp. 505.675.000</v>
      </c>
      <c r="M250" s="3" t="str">
        <f t="shared" si="26"/>
        <v>Rp. 505.287.949</v>
      </c>
      <c r="N250" s="3" t="str">
        <f t="shared" si="27"/>
        <v> 505.675.000</v>
      </c>
      <c r="O250" s="3" t="str">
        <f t="shared" si="28"/>
        <v> 505.287.949</v>
      </c>
      <c r="P250" s="3">
        <f t="shared" si="29"/>
        <v>505675000</v>
      </c>
      <c r="Q250" s="3">
        <f t="shared" si="30"/>
        <v>505287949</v>
      </c>
      <c r="R250" s="3">
        <f t="shared" si="31"/>
        <v>387051</v>
      </c>
    </row>
    <row r="251" spans="1:18">
      <c r="A251" s="2">
        <v>5140097</v>
      </c>
      <c r="B251" s="3" t="s">
        <v>428</v>
      </c>
      <c r="C251" s="3" t="s">
        <v>1</v>
      </c>
      <c r="D251" s="3" t="s">
        <v>2</v>
      </c>
      <c r="E251" s="3" t="s">
        <v>876</v>
      </c>
      <c r="F251" s="3" t="s">
        <v>919</v>
      </c>
      <c r="G251" s="3" t="s">
        <v>2227</v>
      </c>
      <c r="H251" s="3" t="s">
        <v>3804</v>
      </c>
      <c r="I251" s="3" t="s">
        <v>1177</v>
      </c>
      <c r="J251" s="3">
        <f t="shared" si="24"/>
        <v>24</v>
      </c>
      <c r="K251" s="3">
        <f>IF(ISNUMBER(SEARCH("selesai",Sheet2!D251)-1),1,"")</f>
        <v>1</v>
      </c>
      <c r="L251" s="3" t="str">
        <f t="shared" si="25"/>
        <v>Rp. 364.921.400</v>
      </c>
      <c r="M251" s="3" t="str">
        <f t="shared" si="26"/>
        <v>Rp. 364.589.185</v>
      </c>
      <c r="N251" s="3" t="str">
        <f t="shared" si="27"/>
        <v> 364.921.400</v>
      </c>
      <c r="O251" s="3" t="str">
        <f t="shared" si="28"/>
        <v> 364.589.185</v>
      </c>
      <c r="P251" s="3">
        <f t="shared" si="29"/>
        <v>364921400</v>
      </c>
      <c r="Q251" s="3">
        <f t="shared" si="30"/>
        <v>364589185</v>
      </c>
      <c r="R251" s="3">
        <f t="shared" si="31"/>
        <v>332215</v>
      </c>
    </row>
    <row r="252" spans="1:18">
      <c r="A252" s="2">
        <v>5139097</v>
      </c>
      <c r="B252" s="3" t="s">
        <v>469</v>
      </c>
      <c r="C252" s="3" t="s">
        <v>1</v>
      </c>
      <c r="D252" s="3" t="s">
        <v>2</v>
      </c>
      <c r="E252" s="3" t="s">
        <v>876</v>
      </c>
      <c r="F252" s="3" t="s">
        <v>1097</v>
      </c>
      <c r="G252" s="3" t="s">
        <v>1103</v>
      </c>
      <c r="H252" s="3" t="s">
        <v>3821</v>
      </c>
      <c r="I252" s="3" t="s">
        <v>1082</v>
      </c>
      <c r="J252" s="3">
        <f t="shared" si="24"/>
        <v>10</v>
      </c>
      <c r="K252" s="3">
        <f>IF(ISNUMBER(SEARCH("selesai",Sheet2!D252)-1),1,"")</f>
        <v>1</v>
      </c>
      <c r="L252" s="3" t="str">
        <f t="shared" si="25"/>
        <v>Rp. 200.000.000</v>
      </c>
      <c r="M252" s="3" t="str">
        <f t="shared" si="26"/>
        <v>Rp. 199.265.000</v>
      </c>
      <c r="N252" s="3" t="str">
        <f t="shared" si="27"/>
        <v> 200.000.000</v>
      </c>
      <c r="O252" s="3" t="str">
        <f t="shared" si="28"/>
        <v> 199.265.000</v>
      </c>
      <c r="P252" s="3">
        <f t="shared" si="29"/>
        <v>200000000</v>
      </c>
      <c r="Q252" s="3">
        <f t="shared" si="30"/>
        <v>199265000</v>
      </c>
      <c r="R252" s="3">
        <f t="shared" si="31"/>
        <v>735000</v>
      </c>
    </row>
    <row r="253" spans="1:18">
      <c r="A253" s="2">
        <v>5138097</v>
      </c>
      <c r="B253" s="3" t="s">
        <v>471</v>
      </c>
      <c r="C253" s="3" t="s">
        <v>1</v>
      </c>
      <c r="D253" s="3" t="s">
        <v>7</v>
      </c>
      <c r="E253" s="3" t="s">
        <v>876</v>
      </c>
      <c r="F253" s="3" t="s">
        <v>919</v>
      </c>
      <c r="G253" s="3" t="s">
        <v>2038</v>
      </c>
      <c r="H253" s="3" t="s">
        <v>3812</v>
      </c>
      <c r="I253" s="3" t="s">
        <v>1089</v>
      </c>
      <c r="J253" s="3">
        <f t="shared" si="24"/>
        <v>32</v>
      </c>
      <c r="K253" s="3" t="str">
        <f>IF(ISNUMBER(SEARCH("selesai",Sheet2!D253)-1),1,"")</f>
        <v/>
      </c>
      <c r="L253" s="3" t="str">
        <f t="shared" si="25"/>
        <v>Rp. 475.000.000</v>
      </c>
      <c r="M253" s="3" t="str">
        <f t="shared" si="26"/>
        <v>Rp. 474.994.990</v>
      </c>
      <c r="N253" s="3" t="str">
        <f t="shared" si="27"/>
        <v> 475.000.000</v>
      </c>
      <c r="O253" s="3" t="str">
        <f t="shared" si="28"/>
        <v> 474.994.990</v>
      </c>
      <c r="P253" s="3">
        <f t="shared" si="29"/>
        <v>475000000</v>
      </c>
      <c r="Q253" s="3">
        <f t="shared" si="30"/>
        <v>474994990</v>
      </c>
      <c r="R253" s="3">
        <f t="shared" si="31"/>
        <v>5010</v>
      </c>
    </row>
    <row r="254" spans="1:18">
      <c r="A254" s="2">
        <v>5137097</v>
      </c>
      <c r="B254" s="3" t="s">
        <v>472</v>
      </c>
      <c r="C254" s="3" t="s">
        <v>1</v>
      </c>
      <c r="D254" s="3" t="s">
        <v>2</v>
      </c>
      <c r="E254" s="3" t="s">
        <v>876</v>
      </c>
      <c r="F254" s="3" t="s">
        <v>919</v>
      </c>
      <c r="G254" s="3" t="s">
        <v>2369</v>
      </c>
      <c r="H254" s="3" t="s">
        <v>3822</v>
      </c>
      <c r="I254" s="3" t="s">
        <v>918</v>
      </c>
      <c r="J254" s="3">
        <f t="shared" si="24"/>
        <v>19</v>
      </c>
      <c r="K254" s="3">
        <f>IF(ISNUMBER(SEARCH("selesai",Sheet2!D254)-1),1,"")</f>
        <v>1</v>
      </c>
      <c r="L254" s="3" t="str">
        <f t="shared" si="25"/>
        <v>Rp. 505.090.000</v>
      </c>
      <c r="M254" s="3" t="str">
        <f t="shared" si="26"/>
        <v>Rp. 504.545.121</v>
      </c>
      <c r="N254" s="3" t="str">
        <f t="shared" si="27"/>
        <v> 505.090.000</v>
      </c>
      <c r="O254" s="3" t="str">
        <f t="shared" si="28"/>
        <v> 504.545.121</v>
      </c>
      <c r="P254" s="3">
        <f t="shared" si="29"/>
        <v>505090000</v>
      </c>
      <c r="Q254" s="3">
        <f t="shared" si="30"/>
        <v>504545121</v>
      </c>
      <c r="R254" s="3">
        <f t="shared" si="31"/>
        <v>544879</v>
      </c>
    </row>
    <row r="255" spans="1:18">
      <c r="A255" s="2">
        <v>5135097</v>
      </c>
      <c r="B255" s="3" t="s">
        <v>475</v>
      </c>
      <c r="C255" s="3" t="s">
        <v>1</v>
      </c>
      <c r="D255" s="3" t="s">
        <v>7</v>
      </c>
      <c r="E255" s="3" t="s">
        <v>876</v>
      </c>
      <c r="F255" s="3" t="s">
        <v>875</v>
      </c>
      <c r="G255" s="3" t="s">
        <v>2302</v>
      </c>
      <c r="H255" s="3" t="s">
        <v>3815</v>
      </c>
      <c r="I255" s="3" t="s">
        <v>1025</v>
      </c>
      <c r="J255" s="3">
        <f t="shared" si="24"/>
        <v>2</v>
      </c>
      <c r="K255" s="3" t="str">
        <f>IF(ISNUMBER(SEARCH("selesai",Sheet2!D255)-1),1,"")</f>
        <v/>
      </c>
      <c r="L255" s="3" t="str">
        <f t="shared" si="25"/>
        <v>Rp. 400.000.000</v>
      </c>
      <c r="M255" s="3" t="str">
        <f t="shared" si="26"/>
        <v>Rp. 399.521.025</v>
      </c>
      <c r="N255" s="3" t="str">
        <f t="shared" si="27"/>
        <v> 400.000.000</v>
      </c>
      <c r="O255" s="3" t="str">
        <f t="shared" si="28"/>
        <v> 399.521.025</v>
      </c>
      <c r="P255" s="3">
        <f t="shared" si="29"/>
        <v>400000000</v>
      </c>
      <c r="Q255" s="3">
        <f t="shared" si="30"/>
        <v>399521025</v>
      </c>
      <c r="R255" s="3">
        <f t="shared" si="31"/>
        <v>478975</v>
      </c>
    </row>
    <row r="256" spans="1:18">
      <c r="A256" s="2">
        <v>5134097</v>
      </c>
      <c r="B256" s="3" t="s">
        <v>476</v>
      </c>
      <c r="C256" s="3" t="s">
        <v>1</v>
      </c>
      <c r="D256" s="3" t="s">
        <v>2</v>
      </c>
      <c r="E256" s="3" t="s">
        <v>876</v>
      </c>
      <c r="F256" s="3" t="s">
        <v>919</v>
      </c>
      <c r="G256" s="3" t="s">
        <v>2380</v>
      </c>
      <c r="H256" s="3" t="s">
        <v>3823</v>
      </c>
      <c r="I256" s="3" t="s">
        <v>2381</v>
      </c>
      <c r="J256" s="3">
        <f t="shared" si="24"/>
        <v>58</v>
      </c>
      <c r="K256" s="3">
        <f>IF(ISNUMBER(SEARCH("selesai",Sheet2!D256)-1),1,"")</f>
        <v>1</v>
      </c>
      <c r="L256" s="3" t="str">
        <f t="shared" si="25"/>
        <v>Rp. 1.308.689.595</v>
      </c>
      <c r="M256" s="3" t="str">
        <f t="shared" si="26"/>
        <v>Rp. 1.308.633.000</v>
      </c>
      <c r="N256" s="3" t="str">
        <f t="shared" si="27"/>
        <v> 1.308.689.595</v>
      </c>
      <c r="O256" s="3" t="str">
        <f t="shared" si="28"/>
        <v> 1.308.633.000</v>
      </c>
      <c r="P256" s="3">
        <f t="shared" si="29"/>
        <v>1308689595</v>
      </c>
      <c r="Q256" s="3">
        <f t="shared" si="30"/>
        <v>1308633000</v>
      </c>
      <c r="R256" s="3">
        <f t="shared" si="31"/>
        <v>56595</v>
      </c>
    </row>
    <row r="257" spans="1:18">
      <c r="A257" s="2">
        <v>5133097</v>
      </c>
      <c r="B257" s="3" t="s">
        <v>478</v>
      </c>
      <c r="C257" s="3" t="s">
        <v>1</v>
      </c>
      <c r="D257" s="3" t="s">
        <v>2</v>
      </c>
      <c r="E257" s="3" t="s">
        <v>876</v>
      </c>
      <c r="F257" s="3" t="s">
        <v>919</v>
      </c>
      <c r="G257" s="3" t="s">
        <v>2387</v>
      </c>
      <c r="H257" s="3" t="s">
        <v>3824</v>
      </c>
      <c r="I257" s="3" t="s">
        <v>1792</v>
      </c>
      <c r="J257" s="3">
        <f t="shared" si="24"/>
        <v>49</v>
      </c>
      <c r="K257" s="3">
        <f>IF(ISNUMBER(SEARCH("selesai",Sheet2!D257)-1),1,"")</f>
        <v>1</v>
      </c>
      <c r="L257" s="3" t="str">
        <f t="shared" si="25"/>
        <v>Rp. 1.217.842.000</v>
      </c>
      <c r="M257" s="3" t="str">
        <f t="shared" si="26"/>
        <v>Rp. 1.217.793.809</v>
      </c>
      <c r="N257" s="3" t="str">
        <f t="shared" si="27"/>
        <v> 1.217.842.000</v>
      </c>
      <c r="O257" s="3" t="str">
        <f t="shared" si="28"/>
        <v> 1.217.793.809</v>
      </c>
      <c r="P257" s="3">
        <f t="shared" si="29"/>
        <v>1217842000</v>
      </c>
      <c r="Q257" s="3">
        <f t="shared" si="30"/>
        <v>1217793809</v>
      </c>
      <c r="R257" s="3">
        <f t="shared" si="31"/>
        <v>48191</v>
      </c>
    </row>
    <row r="258" spans="1:18">
      <c r="A258" s="2">
        <v>5132097</v>
      </c>
      <c r="B258" s="3" t="s">
        <v>480</v>
      </c>
      <c r="C258" s="3" t="s">
        <v>1</v>
      </c>
      <c r="D258" s="3" t="s">
        <v>2</v>
      </c>
      <c r="E258" s="3" t="s">
        <v>876</v>
      </c>
      <c r="F258" s="3" t="s">
        <v>919</v>
      </c>
      <c r="G258" s="3" t="s">
        <v>2393</v>
      </c>
      <c r="H258" s="3" t="s">
        <v>3825</v>
      </c>
      <c r="I258" s="3" t="s">
        <v>2394</v>
      </c>
      <c r="J258" s="3">
        <f t="shared" si="24"/>
        <v>69</v>
      </c>
      <c r="K258" s="3">
        <f>IF(ISNUMBER(SEARCH("selesai",Sheet2!D258)-1),1,"")</f>
        <v>1</v>
      </c>
      <c r="L258" s="3" t="str">
        <f t="shared" si="25"/>
        <v>Rp. 1.621.000.000</v>
      </c>
      <c r="M258" s="3" t="str">
        <f t="shared" si="26"/>
        <v>Rp. 1.620.903.426</v>
      </c>
      <c r="N258" s="3" t="str">
        <f t="shared" si="27"/>
        <v> 1.621.000.000</v>
      </c>
      <c r="O258" s="3" t="str">
        <f t="shared" si="28"/>
        <v> 1.620.903.426</v>
      </c>
      <c r="P258" s="3">
        <f t="shared" si="29"/>
        <v>1621000000</v>
      </c>
      <c r="Q258" s="3">
        <f t="shared" si="30"/>
        <v>1620903426</v>
      </c>
      <c r="R258" s="3">
        <f t="shared" si="31"/>
        <v>96574</v>
      </c>
    </row>
    <row r="259" spans="1:18">
      <c r="A259" s="2">
        <v>5130097</v>
      </c>
      <c r="B259" s="3" t="s">
        <v>482</v>
      </c>
      <c r="C259" s="3" t="s">
        <v>1</v>
      </c>
      <c r="D259" s="3" t="s">
        <v>2</v>
      </c>
      <c r="E259" s="3" t="s">
        <v>876</v>
      </c>
      <c r="F259" s="3" t="s">
        <v>875</v>
      </c>
      <c r="G259" s="3" t="s">
        <v>2400</v>
      </c>
      <c r="H259" s="3" t="s">
        <v>3826</v>
      </c>
      <c r="I259" s="3" t="s">
        <v>1229</v>
      </c>
      <c r="J259" s="3">
        <f t="shared" ref="J259:J322" si="32">VALUE(SUBSTITUTE(I259,"peserta",""))</f>
        <v>18</v>
      </c>
      <c r="K259" s="3">
        <f>IF(ISNUMBER(SEARCH("selesai",Sheet2!D259)-1),1,"")</f>
        <v>1</v>
      </c>
      <c r="L259" s="3" t="str">
        <f t="shared" ref="L259:L322" si="33">LEFT(G259,SEARCH(",",G259)-1)</f>
        <v>Rp. 3.030.000.000</v>
      </c>
      <c r="M259" s="3" t="str">
        <f t="shared" ref="M259:M322" si="34">LEFT(H259,SEARCH(",",H259)-1)</f>
        <v>Rp. 3.029.616.746</v>
      </c>
      <c r="N259" s="3" t="str">
        <f t="shared" ref="N259:N322" si="35">SUBSTITUTE(L259,"Rp.","")</f>
        <v> 3.030.000.000</v>
      </c>
      <c r="O259" s="3" t="str">
        <f t="shared" ref="O259:O322" si="36">SUBSTITUTE(M259,"Rp.","")</f>
        <v> 3.029.616.746</v>
      </c>
      <c r="P259" s="3">
        <f t="shared" ref="P259:P322" si="37">VALUE(SUBSTITUTE(N259,".",""))</f>
        <v>3030000000</v>
      </c>
      <c r="Q259" s="3">
        <f t="shared" ref="Q259:Q322" si="38">VALUE(SUBSTITUTE(O259,".",""))</f>
        <v>3029616746</v>
      </c>
      <c r="R259" s="3">
        <f t="shared" ref="R259:R322" si="39">ABS(P259-Q259)</f>
        <v>383254</v>
      </c>
    </row>
    <row r="260" spans="1:18">
      <c r="A260" s="2">
        <v>5127097</v>
      </c>
      <c r="B260" s="3" t="s">
        <v>483</v>
      </c>
      <c r="C260" s="3" t="s">
        <v>1</v>
      </c>
      <c r="D260" s="3" t="s">
        <v>7</v>
      </c>
      <c r="E260" s="3" t="s">
        <v>876</v>
      </c>
      <c r="F260" s="3" t="s">
        <v>919</v>
      </c>
      <c r="G260" s="3" t="s">
        <v>2038</v>
      </c>
      <c r="H260" s="3" t="s">
        <v>3813</v>
      </c>
      <c r="I260" s="3" t="s">
        <v>1305</v>
      </c>
      <c r="J260" s="3">
        <f t="shared" si="32"/>
        <v>15</v>
      </c>
      <c r="K260" s="3" t="str">
        <f>IF(ISNUMBER(SEARCH("selesai",Sheet2!D260)-1),1,"")</f>
        <v/>
      </c>
      <c r="L260" s="3" t="str">
        <f t="shared" si="33"/>
        <v>Rp. 475.000.000</v>
      </c>
      <c r="M260" s="3" t="str">
        <f t="shared" si="34"/>
        <v>Rp. 474.999.907</v>
      </c>
      <c r="N260" s="3" t="str">
        <f t="shared" si="35"/>
        <v> 475.000.000</v>
      </c>
      <c r="O260" s="3" t="str">
        <f t="shared" si="36"/>
        <v> 474.999.907</v>
      </c>
      <c r="P260" s="3">
        <f t="shared" si="37"/>
        <v>475000000</v>
      </c>
      <c r="Q260" s="3">
        <f t="shared" si="38"/>
        <v>474999907</v>
      </c>
      <c r="R260" s="3">
        <f t="shared" si="39"/>
        <v>93</v>
      </c>
    </row>
    <row r="261" spans="1:18">
      <c r="A261" s="2">
        <v>5124097</v>
      </c>
      <c r="B261" s="3" t="s">
        <v>380</v>
      </c>
      <c r="C261" s="3" t="s">
        <v>1</v>
      </c>
      <c r="D261" s="3" t="s">
        <v>2</v>
      </c>
      <c r="E261" s="3" t="s">
        <v>876</v>
      </c>
      <c r="F261" s="3" t="s">
        <v>919</v>
      </c>
      <c r="G261" s="3" t="s">
        <v>2038</v>
      </c>
      <c r="H261" s="3" t="s">
        <v>3827</v>
      </c>
      <c r="I261" s="3" t="s">
        <v>1126</v>
      </c>
      <c r="J261" s="3">
        <f t="shared" si="32"/>
        <v>23</v>
      </c>
      <c r="K261" s="3">
        <f>IF(ISNUMBER(SEARCH("selesai",Sheet2!D261)-1),1,"")</f>
        <v>1</v>
      </c>
      <c r="L261" s="3" t="str">
        <f t="shared" si="33"/>
        <v>Rp. 475.000.000</v>
      </c>
      <c r="M261" s="3" t="str">
        <f t="shared" si="34"/>
        <v>Rp. 474.985.282</v>
      </c>
      <c r="N261" s="3" t="str">
        <f t="shared" si="35"/>
        <v> 475.000.000</v>
      </c>
      <c r="O261" s="3" t="str">
        <f t="shared" si="36"/>
        <v> 474.985.282</v>
      </c>
      <c r="P261" s="3">
        <f t="shared" si="37"/>
        <v>475000000</v>
      </c>
      <c r="Q261" s="3">
        <f t="shared" si="38"/>
        <v>474985282</v>
      </c>
      <c r="R261" s="3">
        <f t="shared" si="39"/>
        <v>14718</v>
      </c>
    </row>
    <row r="262" spans="1:18">
      <c r="A262" s="2">
        <v>5123097</v>
      </c>
      <c r="B262" s="3" t="s">
        <v>484</v>
      </c>
      <c r="C262" s="3" t="s">
        <v>1</v>
      </c>
      <c r="D262" s="3" t="s">
        <v>7</v>
      </c>
      <c r="E262" s="3" t="s">
        <v>876</v>
      </c>
      <c r="F262" s="3" t="s">
        <v>919</v>
      </c>
      <c r="G262" s="3" t="s">
        <v>2387</v>
      </c>
      <c r="H262" s="3" t="s">
        <v>3824</v>
      </c>
      <c r="I262" s="3" t="s">
        <v>1229</v>
      </c>
      <c r="J262" s="3">
        <f t="shared" si="32"/>
        <v>18</v>
      </c>
      <c r="K262" s="3" t="str">
        <f>IF(ISNUMBER(SEARCH("selesai",Sheet2!D262)-1),1,"")</f>
        <v/>
      </c>
      <c r="L262" s="3" t="str">
        <f t="shared" si="33"/>
        <v>Rp. 1.217.842.000</v>
      </c>
      <c r="M262" s="3" t="str">
        <f t="shared" si="34"/>
        <v>Rp. 1.217.793.809</v>
      </c>
      <c r="N262" s="3" t="str">
        <f t="shared" si="35"/>
        <v> 1.217.842.000</v>
      </c>
      <c r="O262" s="3" t="str">
        <f t="shared" si="36"/>
        <v> 1.217.793.809</v>
      </c>
      <c r="P262" s="3">
        <f t="shared" si="37"/>
        <v>1217842000</v>
      </c>
      <c r="Q262" s="3">
        <f t="shared" si="38"/>
        <v>1217793809</v>
      </c>
      <c r="R262" s="3">
        <f t="shared" si="39"/>
        <v>48191</v>
      </c>
    </row>
    <row r="263" spans="1:18">
      <c r="A263" s="2">
        <v>5122097</v>
      </c>
      <c r="B263" s="3" t="s">
        <v>485</v>
      </c>
      <c r="C263" s="3" t="s">
        <v>1</v>
      </c>
      <c r="D263" s="3" t="s">
        <v>7</v>
      </c>
      <c r="E263" s="3" t="s">
        <v>876</v>
      </c>
      <c r="F263" s="3" t="s">
        <v>919</v>
      </c>
      <c r="G263" s="3" t="s">
        <v>2380</v>
      </c>
      <c r="H263" s="3" t="s">
        <v>3823</v>
      </c>
      <c r="I263" s="3" t="s">
        <v>1268</v>
      </c>
      <c r="J263" s="3">
        <f t="shared" si="32"/>
        <v>17</v>
      </c>
      <c r="K263" s="3" t="str">
        <f>IF(ISNUMBER(SEARCH("selesai",Sheet2!D263)-1),1,"")</f>
        <v/>
      </c>
      <c r="L263" s="3" t="str">
        <f t="shared" si="33"/>
        <v>Rp. 1.308.689.595</v>
      </c>
      <c r="M263" s="3" t="str">
        <f t="shared" si="34"/>
        <v>Rp. 1.308.633.000</v>
      </c>
      <c r="N263" s="3" t="str">
        <f t="shared" si="35"/>
        <v> 1.308.689.595</v>
      </c>
      <c r="O263" s="3" t="str">
        <f t="shared" si="36"/>
        <v> 1.308.633.000</v>
      </c>
      <c r="P263" s="3">
        <f t="shared" si="37"/>
        <v>1308689595</v>
      </c>
      <c r="Q263" s="3">
        <f t="shared" si="38"/>
        <v>1308633000</v>
      </c>
      <c r="R263" s="3">
        <f t="shared" si="39"/>
        <v>56595</v>
      </c>
    </row>
    <row r="264" spans="1:18">
      <c r="A264" s="2">
        <v>5119097</v>
      </c>
      <c r="B264" s="3" t="s">
        <v>486</v>
      </c>
      <c r="C264" s="3" t="s">
        <v>1</v>
      </c>
      <c r="D264" s="3" t="s">
        <v>2</v>
      </c>
      <c r="E264" s="3" t="s">
        <v>876</v>
      </c>
      <c r="F264" s="3" t="s">
        <v>919</v>
      </c>
      <c r="G264" s="3" t="s">
        <v>2426</v>
      </c>
      <c r="H264" s="3" t="s">
        <v>3828</v>
      </c>
      <c r="I264" s="3" t="s">
        <v>905</v>
      </c>
      <c r="J264" s="3">
        <f t="shared" si="32"/>
        <v>31</v>
      </c>
      <c r="K264" s="3">
        <f>IF(ISNUMBER(SEARCH("selesai",Sheet2!D264)-1),1,"")</f>
        <v>1</v>
      </c>
      <c r="L264" s="3" t="str">
        <f t="shared" si="33"/>
        <v>Rp. 1.950.000.000</v>
      </c>
      <c r="M264" s="3" t="str">
        <f t="shared" si="34"/>
        <v>Rp. 1.944.630.129</v>
      </c>
      <c r="N264" s="3" t="str">
        <f t="shared" si="35"/>
        <v> 1.950.000.000</v>
      </c>
      <c r="O264" s="3" t="str">
        <f t="shared" si="36"/>
        <v> 1.944.630.129</v>
      </c>
      <c r="P264" s="3">
        <f t="shared" si="37"/>
        <v>1950000000</v>
      </c>
      <c r="Q264" s="3">
        <f t="shared" si="38"/>
        <v>1944630129</v>
      </c>
      <c r="R264" s="3">
        <f t="shared" si="39"/>
        <v>5369871</v>
      </c>
    </row>
    <row r="265" spans="1:18">
      <c r="A265" s="2">
        <v>5116097</v>
      </c>
      <c r="B265" s="3" t="s">
        <v>487</v>
      </c>
      <c r="C265" s="3" t="s">
        <v>1</v>
      </c>
      <c r="D265" s="3" t="s">
        <v>2</v>
      </c>
      <c r="E265" s="3" t="s">
        <v>876</v>
      </c>
      <c r="F265" s="3" t="s">
        <v>1097</v>
      </c>
      <c r="G265" s="3" t="s">
        <v>2432</v>
      </c>
      <c r="H265" s="3" t="s">
        <v>3829</v>
      </c>
      <c r="I265" s="3" t="s">
        <v>994</v>
      </c>
      <c r="J265" s="3">
        <f t="shared" si="32"/>
        <v>26</v>
      </c>
      <c r="K265" s="3">
        <f>IF(ISNUMBER(SEARCH("selesai",Sheet2!D265)-1),1,"")</f>
        <v>1</v>
      </c>
      <c r="L265" s="3" t="str">
        <f t="shared" si="33"/>
        <v>Rp. 353.425.000</v>
      </c>
      <c r="M265" s="3" t="str">
        <f t="shared" si="34"/>
        <v>Rp. 353.364.000</v>
      </c>
      <c r="N265" s="3" t="str">
        <f t="shared" si="35"/>
        <v> 353.425.000</v>
      </c>
      <c r="O265" s="3" t="str">
        <f t="shared" si="36"/>
        <v> 353.364.000</v>
      </c>
      <c r="P265" s="3">
        <f t="shared" si="37"/>
        <v>353425000</v>
      </c>
      <c r="Q265" s="3">
        <f t="shared" si="38"/>
        <v>353364000</v>
      </c>
      <c r="R265" s="3">
        <f t="shared" si="39"/>
        <v>61000</v>
      </c>
    </row>
    <row r="266" spans="1:18">
      <c r="A266" s="2">
        <v>5115097</v>
      </c>
      <c r="B266" s="3" t="s">
        <v>489</v>
      </c>
      <c r="C266" s="3" t="s">
        <v>1</v>
      </c>
      <c r="D266" s="3" t="s">
        <v>2</v>
      </c>
      <c r="E266" s="3" t="s">
        <v>876</v>
      </c>
      <c r="F266" s="3" t="s">
        <v>1097</v>
      </c>
      <c r="G266" s="3" t="s">
        <v>1095</v>
      </c>
      <c r="H266" s="3" t="s">
        <v>3830</v>
      </c>
      <c r="I266" s="3" t="s">
        <v>1001</v>
      </c>
      <c r="J266" s="3">
        <f t="shared" si="32"/>
        <v>27</v>
      </c>
      <c r="K266" s="3">
        <f>IF(ISNUMBER(SEARCH("selesai",Sheet2!D266)-1),1,"")</f>
        <v>1</v>
      </c>
      <c r="L266" s="3" t="str">
        <f t="shared" si="33"/>
        <v>Rp. 300.000.000</v>
      </c>
      <c r="M266" s="3" t="str">
        <f t="shared" si="34"/>
        <v>Rp. 299.986.500</v>
      </c>
      <c r="N266" s="3" t="str">
        <f t="shared" si="35"/>
        <v> 300.000.000</v>
      </c>
      <c r="O266" s="3" t="str">
        <f t="shared" si="36"/>
        <v> 299.986.500</v>
      </c>
      <c r="P266" s="3">
        <f t="shared" si="37"/>
        <v>300000000</v>
      </c>
      <c r="Q266" s="3">
        <f t="shared" si="38"/>
        <v>299986500</v>
      </c>
      <c r="R266" s="3">
        <f t="shared" si="39"/>
        <v>13500</v>
      </c>
    </row>
    <row r="267" spans="1:18">
      <c r="A267" s="2">
        <v>5113097</v>
      </c>
      <c r="B267" s="3" t="s">
        <v>490</v>
      </c>
      <c r="C267" s="3" t="s">
        <v>1</v>
      </c>
      <c r="D267" s="3" t="s">
        <v>7</v>
      </c>
      <c r="E267" s="3" t="s">
        <v>876</v>
      </c>
      <c r="F267" s="3" t="s">
        <v>919</v>
      </c>
      <c r="G267" s="3" t="s">
        <v>1907</v>
      </c>
      <c r="H267" s="3" t="s">
        <v>3831</v>
      </c>
      <c r="I267" s="3" t="s">
        <v>2443</v>
      </c>
      <c r="J267" s="3">
        <f t="shared" si="32"/>
        <v>68</v>
      </c>
      <c r="K267" s="3" t="str">
        <f>IF(ISNUMBER(SEARCH("selesai",Sheet2!D267)-1),1,"")</f>
        <v/>
      </c>
      <c r="L267" s="3" t="str">
        <f t="shared" si="33"/>
        <v>Rp. 9.950.000.000</v>
      </c>
      <c r="M267" s="3" t="str">
        <f t="shared" si="34"/>
        <v>Rp. 9.748.618.369</v>
      </c>
      <c r="N267" s="3" t="str">
        <f t="shared" si="35"/>
        <v> 9.950.000.000</v>
      </c>
      <c r="O267" s="3" t="str">
        <f t="shared" si="36"/>
        <v> 9.748.618.369</v>
      </c>
      <c r="P267" s="3">
        <f t="shared" si="37"/>
        <v>9950000000</v>
      </c>
      <c r="Q267" s="3">
        <f t="shared" si="38"/>
        <v>9748618369</v>
      </c>
      <c r="R267" s="3">
        <f t="shared" si="39"/>
        <v>201381631</v>
      </c>
    </row>
    <row r="268" spans="1:18">
      <c r="A268" s="2">
        <v>5109097</v>
      </c>
      <c r="B268" s="3" t="s">
        <v>491</v>
      </c>
      <c r="C268" s="3" t="s">
        <v>1</v>
      </c>
      <c r="D268" s="3" t="s">
        <v>2</v>
      </c>
      <c r="E268" s="3" t="s">
        <v>876</v>
      </c>
      <c r="F268" s="3" t="s">
        <v>875</v>
      </c>
      <c r="G268" s="3" t="s">
        <v>2449</v>
      </c>
      <c r="H268" s="3" t="s">
        <v>3832</v>
      </c>
      <c r="I268" s="3" t="s">
        <v>1056</v>
      </c>
      <c r="J268" s="3">
        <f t="shared" si="32"/>
        <v>11</v>
      </c>
      <c r="K268" s="3">
        <f>IF(ISNUMBER(SEARCH("selesai",Sheet2!D268)-1),1,"")</f>
        <v>1</v>
      </c>
      <c r="L268" s="3" t="str">
        <f t="shared" si="33"/>
        <v>Rp. 675.674.300</v>
      </c>
      <c r="M268" s="3" t="str">
        <f t="shared" si="34"/>
        <v>Rp. 675.669.940</v>
      </c>
      <c r="N268" s="3" t="str">
        <f t="shared" si="35"/>
        <v> 675.674.300</v>
      </c>
      <c r="O268" s="3" t="str">
        <f t="shared" si="36"/>
        <v> 675.669.940</v>
      </c>
      <c r="P268" s="3">
        <f t="shared" si="37"/>
        <v>675674300</v>
      </c>
      <c r="Q268" s="3">
        <f t="shared" si="38"/>
        <v>675669940</v>
      </c>
      <c r="R268" s="3">
        <f t="shared" si="39"/>
        <v>4360</v>
      </c>
    </row>
    <row r="269" spans="1:18">
      <c r="A269" s="2">
        <v>5108097</v>
      </c>
      <c r="B269" s="3" t="s">
        <v>494</v>
      </c>
      <c r="C269" s="3" t="s">
        <v>1</v>
      </c>
      <c r="D269" s="3" t="s">
        <v>2</v>
      </c>
      <c r="E269" s="3" t="s">
        <v>876</v>
      </c>
      <c r="F269" s="3" t="s">
        <v>919</v>
      </c>
      <c r="G269" s="3" t="s">
        <v>1252</v>
      </c>
      <c r="H269" s="3" t="s">
        <v>3833</v>
      </c>
      <c r="I269" s="3" t="s">
        <v>994</v>
      </c>
      <c r="J269" s="3">
        <f t="shared" si="32"/>
        <v>26</v>
      </c>
      <c r="K269" s="3">
        <f>IF(ISNUMBER(SEARCH("selesai",Sheet2!D269)-1),1,"")</f>
        <v>1</v>
      </c>
      <c r="L269" s="3" t="str">
        <f t="shared" si="33"/>
        <v>Rp. 900.000.000</v>
      </c>
      <c r="M269" s="3" t="str">
        <f t="shared" si="34"/>
        <v>Rp. 899.943.950</v>
      </c>
      <c r="N269" s="3" t="str">
        <f t="shared" si="35"/>
        <v> 900.000.000</v>
      </c>
      <c r="O269" s="3" t="str">
        <f t="shared" si="36"/>
        <v> 899.943.950</v>
      </c>
      <c r="P269" s="3">
        <f t="shared" si="37"/>
        <v>900000000</v>
      </c>
      <c r="Q269" s="3">
        <f t="shared" si="38"/>
        <v>899943950</v>
      </c>
      <c r="R269" s="3">
        <f t="shared" si="39"/>
        <v>56050</v>
      </c>
    </row>
    <row r="270" spans="1:18">
      <c r="A270" s="2">
        <v>5107097</v>
      </c>
      <c r="B270" s="3" t="s">
        <v>497</v>
      </c>
      <c r="C270" s="3" t="s">
        <v>1</v>
      </c>
      <c r="D270" s="3" t="s">
        <v>2</v>
      </c>
      <c r="E270" s="3" t="s">
        <v>876</v>
      </c>
      <c r="F270" s="3" t="s">
        <v>875</v>
      </c>
      <c r="G270" s="3" t="s">
        <v>2460</v>
      </c>
      <c r="H270" s="3" t="s">
        <v>3834</v>
      </c>
      <c r="I270" s="3" t="s">
        <v>1374</v>
      </c>
      <c r="J270" s="3">
        <f t="shared" si="32"/>
        <v>39</v>
      </c>
      <c r="K270" s="3">
        <f>IF(ISNUMBER(SEARCH("selesai",Sheet2!D270)-1),1,"")</f>
        <v>1</v>
      </c>
      <c r="L270" s="3" t="str">
        <f t="shared" si="33"/>
        <v>Rp. 332.500.000</v>
      </c>
      <c r="M270" s="3" t="str">
        <f t="shared" si="34"/>
        <v>Rp. 332.447.500</v>
      </c>
      <c r="N270" s="3" t="str">
        <f t="shared" si="35"/>
        <v> 332.500.000</v>
      </c>
      <c r="O270" s="3" t="str">
        <f t="shared" si="36"/>
        <v> 332.447.500</v>
      </c>
      <c r="P270" s="3">
        <f t="shared" si="37"/>
        <v>332500000</v>
      </c>
      <c r="Q270" s="3">
        <f t="shared" si="38"/>
        <v>332447500</v>
      </c>
      <c r="R270" s="3">
        <f t="shared" si="39"/>
        <v>52500</v>
      </c>
    </row>
    <row r="271" spans="1:18">
      <c r="A271" s="2">
        <v>5106097</v>
      </c>
      <c r="B271" s="3" t="s">
        <v>499</v>
      </c>
      <c r="C271" s="3" t="s">
        <v>1</v>
      </c>
      <c r="D271" s="3" t="s">
        <v>7</v>
      </c>
      <c r="E271" s="3" t="s">
        <v>1033</v>
      </c>
      <c r="F271" s="3" t="s">
        <v>875</v>
      </c>
      <c r="G271" s="3" t="s">
        <v>1157</v>
      </c>
      <c r="H271" s="3" t="s">
        <v>1007</v>
      </c>
      <c r="I271" s="3" t="s">
        <v>1056</v>
      </c>
      <c r="J271" s="3">
        <f t="shared" si="32"/>
        <v>11</v>
      </c>
      <c r="K271" s="3" t="str">
        <f>IF(ISNUMBER(SEARCH("selesai",Sheet2!D271)-1),1,"")</f>
        <v/>
      </c>
      <c r="L271" s="3" t="str">
        <f t="shared" si="33"/>
        <v>Rp. 500.000.000</v>
      </c>
      <c r="M271" s="3" t="str">
        <f t="shared" si="34"/>
        <v>Rp. 495.000.000</v>
      </c>
      <c r="N271" s="3" t="str">
        <f t="shared" si="35"/>
        <v> 500.000.000</v>
      </c>
      <c r="O271" s="3" t="str">
        <f t="shared" si="36"/>
        <v> 495.000.000</v>
      </c>
      <c r="P271" s="3">
        <f t="shared" si="37"/>
        <v>500000000</v>
      </c>
      <c r="Q271" s="3">
        <f t="shared" si="38"/>
        <v>495000000</v>
      </c>
      <c r="R271" s="3">
        <f t="shared" si="39"/>
        <v>5000000</v>
      </c>
    </row>
    <row r="272" spans="1:18">
      <c r="A272" s="2">
        <v>5105097</v>
      </c>
      <c r="B272" s="3" t="s">
        <v>500</v>
      </c>
      <c r="C272" s="3" t="s">
        <v>1</v>
      </c>
      <c r="D272" s="3" t="s">
        <v>2</v>
      </c>
      <c r="E272" s="3" t="s">
        <v>1033</v>
      </c>
      <c r="F272" s="3" t="s">
        <v>875</v>
      </c>
      <c r="G272" s="3" t="s">
        <v>1515</v>
      </c>
      <c r="H272" s="3" t="s">
        <v>3835</v>
      </c>
      <c r="I272" s="3" t="s">
        <v>1443</v>
      </c>
      <c r="J272" s="3">
        <f t="shared" si="32"/>
        <v>12</v>
      </c>
      <c r="K272" s="3">
        <f>IF(ISNUMBER(SEARCH("selesai",Sheet2!D272)-1),1,"")</f>
        <v>1</v>
      </c>
      <c r="L272" s="3" t="str">
        <f t="shared" si="33"/>
        <v>Rp. 1.500.000.000</v>
      </c>
      <c r="M272" s="3" t="str">
        <f t="shared" si="34"/>
        <v>Rp. 1.493.250.000</v>
      </c>
      <c r="N272" s="3" t="str">
        <f t="shared" si="35"/>
        <v> 1.500.000.000</v>
      </c>
      <c r="O272" s="3" t="str">
        <f t="shared" si="36"/>
        <v> 1.493.250.000</v>
      </c>
      <c r="P272" s="3">
        <f t="shared" si="37"/>
        <v>1500000000</v>
      </c>
      <c r="Q272" s="3">
        <f t="shared" si="38"/>
        <v>1493250000</v>
      </c>
      <c r="R272" s="3">
        <f t="shared" si="39"/>
        <v>6750000</v>
      </c>
    </row>
    <row r="273" spans="1:18">
      <c r="A273" s="2">
        <v>5104097</v>
      </c>
      <c r="B273" s="3" t="s">
        <v>502</v>
      </c>
      <c r="C273" s="3" t="s">
        <v>1</v>
      </c>
      <c r="D273" s="3" t="s">
        <v>2</v>
      </c>
      <c r="E273" s="3" t="s">
        <v>876</v>
      </c>
      <c r="F273" s="3" t="s">
        <v>1097</v>
      </c>
      <c r="G273" s="3" t="s">
        <v>2476</v>
      </c>
      <c r="H273" s="3" t="s">
        <v>3836</v>
      </c>
      <c r="I273" s="3" t="s">
        <v>1305</v>
      </c>
      <c r="J273" s="3">
        <f t="shared" si="32"/>
        <v>15</v>
      </c>
      <c r="K273" s="3">
        <f>IF(ISNUMBER(SEARCH("selesai",Sheet2!D273)-1),1,"")</f>
        <v>1</v>
      </c>
      <c r="L273" s="3" t="str">
        <f t="shared" si="33"/>
        <v>Rp. 322.288.000</v>
      </c>
      <c r="M273" s="3" t="str">
        <f t="shared" si="34"/>
        <v>Rp. 322.287.790</v>
      </c>
      <c r="N273" s="3" t="str">
        <f t="shared" si="35"/>
        <v> 322.288.000</v>
      </c>
      <c r="O273" s="3" t="str">
        <f t="shared" si="36"/>
        <v> 322.287.790</v>
      </c>
      <c r="P273" s="3">
        <f t="shared" si="37"/>
        <v>322288000</v>
      </c>
      <c r="Q273" s="3">
        <f t="shared" si="38"/>
        <v>322287790</v>
      </c>
      <c r="R273" s="3">
        <f t="shared" si="39"/>
        <v>210</v>
      </c>
    </row>
    <row r="274" spans="1:18">
      <c r="A274" s="2">
        <v>5103097</v>
      </c>
      <c r="B274" s="3" t="s">
        <v>504</v>
      </c>
      <c r="C274" s="3" t="s">
        <v>1</v>
      </c>
      <c r="D274" s="3" t="s">
        <v>2</v>
      </c>
      <c r="E274" s="3" t="s">
        <v>876</v>
      </c>
      <c r="F274" s="3" t="s">
        <v>1097</v>
      </c>
      <c r="G274" s="3" t="s">
        <v>2482</v>
      </c>
      <c r="H274" s="3" t="s">
        <v>2482</v>
      </c>
      <c r="I274" s="3" t="s">
        <v>1672</v>
      </c>
      <c r="J274" s="3">
        <f t="shared" si="32"/>
        <v>16</v>
      </c>
      <c r="K274" s="3">
        <f>IF(ISNUMBER(SEARCH("selesai",Sheet2!D274)-1),1,"")</f>
        <v>1</v>
      </c>
      <c r="L274" s="3" t="str">
        <f t="shared" si="33"/>
        <v>Rp. 371.688.000</v>
      </c>
      <c r="M274" s="3" t="str">
        <f t="shared" si="34"/>
        <v>Rp. 371.688.000</v>
      </c>
      <c r="N274" s="3" t="str">
        <f t="shared" si="35"/>
        <v> 371.688.000</v>
      </c>
      <c r="O274" s="3" t="str">
        <f t="shared" si="36"/>
        <v> 371.688.000</v>
      </c>
      <c r="P274" s="3">
        <f t="shared" si="37"/>
        <v>371688000</v>
      </c>
      <c r="Q274" s="3">
        <f t="shared" si="38"/>
        <v>371688000</v>
      </c>
      <c r="R274" s="3">
        <f t="shared" si="39"/>
        <v>0</v>
      </c>
    </row>
    <row r="275" spans="1:18">
      <c r="A275" s="2">
        <v>5102097</v>
      </c>
      <c r="B275" s="3" t="s">
        <v>506</v>
      </c>
      <c r="C275" s="3" t="s">
        <v>1</v>
      </c>
      <c r="D275" s="3" t="s">
        <v>2</v>
      </c>
      <c r="E275" s="3" t="s">
        <v>876</v>
      </c>
      <c r="F275" s="3" t="s">
        <v>1097</v>
      </c>
      <c r="G275" s="3" t="s">
        <v>2488</v>
      </c>
      <c r="H275" s="3" t="s">
        <v>2488</v>
      </c>
      <c r="I275" s="3" t="s">
        <v>1305</v>
      </c>
      <c r="J275" s="3">
        <f t="shared" si="32"/>
        <v>15</v>
      </c>
      <c r="K275" s="3">
        <f>IF(ISNUMBER(SEARCH("selesai",Sheet2!D275)-1),1,"")</f>
        <v>1</v>
      </c>
      <c r="L275" s="3" t="str">
        <f t="shared" si="33"/>
        <v>Rp. 372.288.000</v>
      </c>
      <c r="M275" s="3" t="str">
        <f t="shared" si="34"/>
        <v>Rp. 372.288.000</v>
      </c>
      <c r="N275" s="3" t="str">
        <f t="shared" si="35"/>
        <v> 372.288.000</v>
      </c>
      <c r="O275" s="3" t="str">
        <f t="shared" si="36"/>
        <v> 372.288.000</v>
      </c>
      <c r="P275" s="3">
        <f t="shared" si="37"/>
        <v>372288000</v>
      </c>
      <c r="Q275" s="3">
        <f t="shared" si="38"/>
        <v>372288000</v>
      </c>
      <c r="R275" s="3">
        <f t="shared" si="39"/>
        <v>0</v>
      </c>
    </row>
    <row r="276" spans="1:18">
      <c r="A276" s="2">
        <v>5101097</v>
      </c>
      <c r="B276" s="3" t="s">
        <v>508</v>
      </c>
      <c r="C276" s="3" t="s">
        <v>1</v>
      </c>
      <c r="D276" s="3" t="s">
        <v>2</v>
      </c>
      <c r="E276" s="3" t="s">
        <v>876</v>
      </c>
      <c r="F276" s="3" t="s">
        <v>1097</v>
      </c>
      <c r="G276" s="3" t="s">
        <v>2494</v>
      </c>
      <c r="H276" s="3" t="s">
        <v>2494</v>
      </c>
      <c r="I276" s="3" t="s">
        <v>918</v>
      </c>
      <c r="J276" s="3">
        <f t="shared" si="32"/>
        <v>19</v>
      </c>
      <c r="K276" s="3">
        <f>IF(ISNUMBER(SEARCH("selesai",Sheet2!D276)-1),1,"")</f>
        <v>1</v>
      </c>
      <c r="L276" s="3" t="str">
        <f t="shared" si="33"/>
        <v>Rp. 374.328.000</v>
      </c>
      <c r="M276" s="3" t="str">
        <f t="shared" si="34"/>
        <v>Rp. 374.328.000</v>
      </c>
      <c r="N276" s="3" t="str">
        <f t="shared" si="35"/>
        <v> 374.328.000</v>
      </c>
      <c r="O276" s="3" t="str">
        <f t="shared" si="36"/>
        <v> 374.328.000</v>
      </c>
      <c r="P276" s="3">
        <f t="shared" si="37"/>
        <v>374328000</v>
      </c>
      <c r="Q276" s="3">
        <f t="shared" si="38"/>
        <v>374328000</v>
      </c>
      <c r="R276" s="3">
        <f t="shared" si="39"/>
        <v>0</v>
      </c>
    </row>
    <row r="277" spans="1:18">
      <c r="A277" s="2">
        <v>5100097</v>
      </c>
      <c r="B277" s="3" t="s">
        <v>510</v>
      </c>
      <c r="C277" s="3" t="s">
        <v>1</v>
      </c>
      <c r="D277" s="3" t="s">
        <v>2</v>
      </c>
      <c r="E277" s="3" t="s">
        <v>876</v>
      </c>
      <c r="F277" s="3" t="s">
        <v>1097</v>
      </c>
      <c r="G277" s="3" t="s">
        <v>2494</v>
      </c>
      <c r="H277" s="3" t="s">
        <v>2494</v>
      </c>
      <c r="I277" s="3" t="s">
        <v>1268</v>
      </c>
      <c r="J277" s="3">
        <f t="shared" si="32"/>
        <v>17</v>
      </c>
      <c r="K277" s="3">
        <f>IF(ISNUMBER(SEARCH("selesai",Sheet2!D277)-1),1,"")</f>
        <v>1</v>
      </c>
      <c r="L277" s="3" t="str">
        <f t="shared" si="33"/>
        <v>Rp. 374.328.000</v>
      </c>
      <c r="M277" s="3" t="str">
        <f t="shared" si="34"/>
        <v>Rp. 374.328.000</v>
      </c>
      <c r="N277" s="3" t="str">
        <f t="shared" si="35"/>
        <v> 374.328.000</v>
      </c>
      <c r="O277" s="3" t="str">
        <f t="shared" si="36"/>
        <v> 374.328.000</v>
      </c>
      <c r="P277" s="3">
        <f t="shared" si="37"/>
        <v>374328000</v>
      </c>
      <c r="Q277" s="3">
        <f t="shared" si="38"/>
        <v>374328000</v>
      </c>
      <c r="R277" s="3">
        <f t="shared" si="39"/>
        <v>0</v>
      </c>
    </row>
    <row r="278" spans="1:18">
      <c r="A278" s="2">
        <v>5099097</v>
      </c>
      <c r="B278" s="3" t="s">
        <v>511</v>
      </c>
      <c r="C278" s="3" t="s">
        <v>1</v>
      </c>
      <c r="D278" s="3" t="s">
        <v>2</v>
      </c>
      <c r="E278" s="3" t="s">
        <v>876</v>
      </c>
      <c r="F278" s="3" t="s">
        <v>1097</v>
      </c>
      <c r="G278" s="3" t="s">
        <v>897</v>
      </c>
      <c r="H278" s="3" t="s">
        <v>3837</v>
      </c>
      <c r="I278" s="3" t="s">
        <v>1672</v>
      </c>
      <c r="J278" s="3">
        <f t="shared" si="32"/>
        <v>16</v>
      </c>
      <c r="K278" s="3">
        <f>IF(ISNUMBER(SEARCH("selesai",Sheet2!D278)-1),1,"")</f>
        <v>1</v>
      </c>
      <c r="L278" s="3" t="str">
        <f t="shared" si="33"/>
        <v>Rp. 350.000.000</v>
      </c>
      <c r="M278" s="3" t="str">
        <f t="shared" si="34"/>
        <v>Rp. 349.999.650</v>
      </c>
      <c r="N278" s="3" t="str">
        <f t="shared" si="35"/>
        <v> 350.000.000</v>
      </c>
      <c r="O278" s="3" t="str">
        <f t="shared" si="36"/>
        <v> 349.999.650</v>
      </c>
      <c r="P278" s="3">
        <f t="shared" si="37"/>
        <v>350000000</v>
      </c>
      <c r="Q278" s="3">
        <f t="shared" si="38"/>
        <v>349999650</v>
      </c>
      <c r="R278" s="3">
        <f t="shared" si="39"/>
        <v>350</v>
      </c>
    </row>
    <row r="279" spans="1:18">
      <c r="A279" s="2">
        <v>5098097</v>
      </c>
      <c r="B279" s="3" t="s">
        <v>512</v>
      </c>
      <c r="C279" s="3" t="s">
        <v>1</v>
      </c>
      <c r="D279" s="3" t="s">
        <v>2</v>
      </c>
      <c r="E279" s="3" t="s">
        <v>2511</v>
      </c>
      <c r="F279" s="3" t="s">
        <v>875</v>
      </c>
      <c r="G279" s="3" t="s">
        <v>2510</v>
      </c>
      <c r="H279" s="3" t="s">
        <v>3838</v>
      </c>
      <c r="I279" s="3" t="s">
        <v>1845</v>
      </c>
      <c r="J279" s="3">
        <f t="shared" si="32"/>
        <v>6</v>
      </c>
      <c r="K279" s="3">
        <f>IF(ISNUMBER(SEARCH("selesai",Sheet2!D279)-1),1,"")</f>
        <v>1</v>
      </c>
      <c r="L279" s="3" t="str">
        <f t="shared" si="33"/>
        <v>Rp. 1.250.000.000</v>
      </c>
      <c r="M279" s="3" t="str">
        <f t="shared" si="34"/>
        <v>Rp. 489.500.000</v>
      </c>
      <c r="N279" s="3" t="str">
        <f t="shared" si="35"/>
        <v> 1.250.000.000</v>
      </c>
      <c r="O279" s="3" t="str">
        <f t="shared" si="36"/>
        <v> 489.500.000</v>
      </c>
      <c r="P279" s="3">
        <f t="shared" si="37"/>
        <v>1250000000</v>
      </c>
      <c r="Q279" s="3">
        <f t="shared" si="38"/>
        <v>489500000</v>
      </c>
      <c r="R279" s="3">
        <f t="shared" si="39"/>
        <v>760500000</v>
      </c>
    </row>
    <row r="280" spans="1:18">
      <c r="A280" s="2">
        <v>5096097</v>
      </c>
      <c r="B280" s="3" t="s">
        <v>514</v>
      </c>
      <c r="C280" s="3" t="s">
        <v>1</v>
      </c>
      <c r="D280" s="3" t="s">
        <v>2</v>
      </c>
      <c r="E280" s="3" t="s">
        <v>876</v>
      </c>
      <c r="F280" s="3" t="s">
        <v>919</v>
      </c>
      <c r="G280" s="3" t="s">
        <v>2517</v>
      </c>
      <c r="H280" s="3" t="s">
        <v>2517</v>
      </c>
      <c r="I280" s="3" t="s">
        <v>947</v>
      </c>
      <c r="J280" s="3">
        <f t="shared" si="32"/>
        <v>37</v>
      </c>
      <c r="K280" s="3">
        <f>IF(ISNUMBER(SEARCH("selesai",Sheet2!D280)-1),1,"")</f>
        <v>1</v>
      </c>
      <c r="L280" s="3" t="str">
        <f t="shared" si="33"/>
        <v>Rp. 1.573.400.000</v>
      </c>
      <c r="M280" s="3" t="str">
        <f t="shared" si="34"/>
        <v>Rp. 1.573.400.000</v>
      </c>
      <c r="N280" s="3" t="str">
        <f t="shared" si="35"/>
        <v> 1.573.400.000</v>
      </c>
      <c r="O280" s="3" t="str">
        <f t="shared" si="36"/>
        <v> 1.573.400.000</v>
      </c>
      <c r="P280" s="3">
        <f t="shared" si="37"/>
        <v>1573400000</v>
      </c>
      <c r="Q280" s="3">
        <f t="shared" si="38"/>
        <v>1573400000</v>
      </c>
      <c r="R280" s="3">
        <f t="shared" si="39"/>
        <v>0</v>
      </c>
    </row>
    <row r="281" spans="1:18">
      <c r="A281" s="2">
        <v>5086097</v>
      </c>
      <c r="B281" s="3" t="s">
        <v>515</v>
      </c>
      <c r="C281" s="3" t="s">
        <v>1</v>
      </c>
      <c r="D281" s="3" t="s">
        <v>76</v>
      </c>
      <c r="E281" s="3" t="s">
        <v>876</v>
      </c>
      <c r="F281" s="3" t="s">
        <v>1097</v>
      </c>
      <c r="G281" s="3" t="s">
        <v>2157</v>
      </c>
      <c r="H281" s="3" t="s">
        <v>2157</v>
      </c>
      <c r="I281" s="3" t="s">
        <v>1492</v>
      </c>
      <c r="J281" s="3">
        <f t="shared" si="32"/>
        <v>13</v>
      </c>
      <c r="K281" s="3" t="str">
        <f>IF(ISNUMBER(SEARCH("selesai",Sheet2!D281)-1),1,"")</f>
        <v/>
      </c>
      <c r="L281" s="3" t="str">
        <f t="shared" si="33"/>
        <v>Rp. 322.928.000</v>
      </c>
      <c r="M281" s="3" t="str">
        <f t="shared" si="34"/>
        <v>Rp. 322.928.000</v>
      </c>
      <c r="N281" s="3" t="str">
        <f t="shared" si="35"/>
        <v> 322.928.000</v>
      </c>
      <c r="O281" s="3" t="str">
        <f t="shared" si="36"/>
        <v> 322.928.000</v>
      </c>
      <c r="P281" s="3">
        <f t="shared" si="37"/>
        <v>322928000</v>
      </c>
      <c r="Q281" s="3">
        <f t="shared" si="38"/>
        <v>322928000</v>
      </c>
      <c r="R281" s="3">
        <f t="shared" si="39"/>
        <v>0</v>
      </c>
    </row>
    <row r="282" spans="1:18">
      <c r="A282" s="2">
        <v>5085097</v>
      </c>
      <c r="B282" s="3" t="s">
        <v>516</v>
      </c>
      <c r="C282" s="3" t="s">
        <v>1</v>
      </c>
      <c r="D282" s="3" t="s">
        <v>76</v>
      </c>
      <c r="E282" s="3" t="s">
        <v>876</v>
      </c>
      <c r="F282" s="3" t="s">
        <v>1097</v>
      </c>
      <c r="G282" s="3" t="s">
        <v>2157</v>
      </c>
      <c r="H282" s="3" t="s">
        <v>2157</v>
      </c>
      <c r="I282" s="3" t="s">
        <v>1443</v>
      </c>
      <c r="J282" s="3">
        <f t="shared" si="32"/>
        <v>12</v>
      </c>
      <c r="K282" s="3" t="str">
        <f>IF(ISNUMBER(SEARCH("selesai",Sheet2!D282)-1),1,"")</f>
        <v/>
      </c>
      <c r="L282" s="3" t="str">
        <f t="shared" si="33"/>
        <v>Rp. 322.928.000</v>
      </c>
      <c r="M282" s="3" t="str">
        <f t="shared" si="34"/>
        <v>Rp. 322.928.000</v>
      </c>
      <c r="N282" s="3" t="str">
        <f t="shared" si="35"/>
        <v> 322.928.000</v>
      </c>
      <c r="O282" s="3" t="str">
        <f t="shared" si="36"/>
        <v> 322.928.000</v>
      </c>
      <c r="P282" s="3">
        <f t="shared" si="37"/>
        <v>322928000</v>
      </c>
      <c r="Q282" s="3">
        <f t="shared" si="38"/>
        <v>322928000</v>
      </c>
      <c r="R282" s="3">
        <f t="shared" si="39"/>
        <v>0</v>
      </c>
    </row>
    <row r="283" spans="1:18">
      <c r="A283" s="2">
        <v>5084097</v>
      </c>
      <c r="B283" s="3" t="s">
        <v>517</v>
      </c>
      <c r="C283" s="3" t="s">
        <v>1</v>
      </c>
      <c r="D283" s="3" t="s">
        <v>76</v>
      </c>
      <c r="E283" s="3" t="s">
        <v>876</v>
      </c>
      <c r="F283" s="3" t="s">
        <v>1097</v>
      </c>
      <c r="G283" s="3" t="s">
        <v>2203</v>
      </c>
      <c r="H283" s="3" t="s">
        <v>2203</v>
      </c>
      <c r="I283" s="3" t="s">
        <v>1229</v>
      </c>
      <c r="J283" s="3">
        <f t="shared" si="32"/>
        <v>18</v>
      </c>
      <c r="K283" s="3" t="str">
        <f>IF(ISNUMBER(SEARCH("selesai",Sheet2!D283)-1),1,"")</f>
        <v/>
      </c>
      <c r="L283" s="3" t="str">
        <f t="shared" si="33"/>
        <v>Rp. 224.328.000</v>
      </c>
      <c r="M283" s="3" t="str">
        <f t="shared" si="34"/>
        <v>Rp. 224.328.000</v>
      </c>
      <c r="N283" s="3" t="str">
        <f t="shared" si="35"/>
        <v> 224.328.000</v>
      </c>
      <c r="O283" s="3" t="str">
        <f t="shared" si="36"/>
        <v> 224.328.000</v>
      </c>
      <c r="P283" s="3">
        <f t="shared" si="37"/>
        <v>224328000</v>
      </c>
      <c r="Q283" s="3">
        <f t="shared" si="38"/>
        <v>224328000</v>
      </c>
      <c r="R283" s="3">
        <f t="shared" si="39"/>
        <v>0</v>
      </c>
    </row>
    <row r="284" spans="1:18">
      <c r="A284" s="2">
        <v>5083097</v>
      </c>
      <c r="B284" s="3" t="s">
        <v>518</v>
      </c>
      <c r="C284" s="3" t="s">
        <v>1</v>
      </c>
      <c r="D284" s="3" t="s">
        <v>76</v>
      </c>
      <c r="E284" s="3" t="s">
        <v>876</v>
      </c>
      <c r="F284" s="3" t="s">
        <v>1097</v>
      </c>
      <c r="G284" s="3" t="s">
        <v>2197</v>
      </c>
      <c r="H284" s="3" t="s">
        <v>2197</v>
      </c>
      <c r="I284" s="3" t="s">
        <v>1229</v>
      </c>
      <c r="J284" s="3">
        <f t="shared" si="32"/>
        <v>18</v>
      </c>
      <c r="K284" s="3" t="str">
        <f>IF(ISNUMBER(SEARCH("selesai",Sheet2!D284)-1),1,"")</f>
        <v/>
      </c>
      <c r="L284" s="3" t="str">
        <f t="shared" si="33"/>
        <v>Rp. 224.128.000</v>
      </c>
      <c r="M284" s="3" t="str">
        <f t="shared" si="34"/>
        <v>Rp. 224.128.000</v>
      </c>
      <c r="N284" s="3" t="str">
        <f t="shared" si="35"/>
        <v> 224.128.000</v>
      </c>
      <c r="O284" s="3" t="str">
        <f t="shared" si="36"/>
        <v> 224.128.000</v>
      </c>
      <c r="P284" s="3">
        <f t="shared" si="37"/>
        <v>224128000</v>
      </c>
      <c r="Q284" s="3">
        <f t="shared" si="38"/>
        <v>224128000</v>
      </c>
      <c r="R284" s="3">
        <f t="shared" si="39"/>
        <v>0</v>
      </c>
    </row>
    <row r="285" spans="1:18">
      <c r="A285" s="2">
        <v>5082097</v>
      </c>
      <c r="B285" s="3" t="s">
        <v>519</v>
      </c>
      <c r="C285" s="3" t="s">
        <v>1</v>
      </c>
      <c r="D285" s="3" t="s">
        <v>76</v>
      </c>
      <c r="E285" s="3" t="s">
        <v>876</v>
      </c>
      <c r="F285" s="3" t="s">
        <v>1097</v>
      </c>
      <c r="G285" s="3" t="s">
        <v>2191</v>
      </c>
      <c r="H285" s="3" t="s">
        <v>2191</v>
      </c>
      <c r="I285" s="3" t="s">
        <v>1268</v>
      </c>
      <c r="J285" s="3">
        <f t="shared" si="32"/>
        <v>17</v>
      </c>
      <c r="K285" s="3" t="str">
        <f>IF(ISNUMBER(SEARCH("selesai",Sheet2!D285)-1),1,"")</f>
        <v/>
      </c>
      <c r="L285" s="3" t="str">
        <f t="shared" si="33"/>
        <v>Rp. 223.528.000</v>
      </c>
      <c r="M285" s="3" t="str">
        <f t="shared" si="34"/>
        <v>Rp. 223.528.000</v>
      </c>
      <c r="N285" s="3" t="str">
        <f t="shared" si="35"/>
        <v> 223.528.000</v>
      </c>
      <c r="O285" s="3" t="str">
        <f t="shared" si="36"/>
        <v> 223.528.000</v>
      </c>
      <c r="P285" s="3">
        <f t="shared" si="37"/>
        <v>223528000</v>
      </c>
      <c r="Q285" s="3">
        <f t="shared" si="38"/>
        <v>223528000</v>
      </c>
      <c r="R285" s="3">
        <f t="shared" si="39"/>
        <v>0</v>
      </c>
    </row>
    <row r="286" spans="1:18">
      <c r="A286" s="2">
        <v>5081097</v>
      </c>
      <c r="B286" s="3" t="s">
        <v>520</v>
      </c>
      <c r="C286" s="3" t="s">
        <v>1</v>
      </c>
      <c r="D286" s="3" t="s">
        <v>76</v>
      </c>
      <c r="E286" s="3" t="s">
        <v>876</v>
      </c>
      <c r="F286" s="3" t="s">
        <v>1097</v>
      </c>
      <c r="G286" s="3" t="s">
        <v>2180</v>
      </c>
      <c r="H286" s="3" t="s">
        <v>2180</v>
      </c>
      <c r="I286" s="3" t="s">
        <v>1672</v>
      </c>
      <c r="J286" s="3">
        <f t="shared" si="32"/>
        <v>16</v>
      </c>
      <c r="K286" s="3" t="str">
        <f>IF(ISNUMBER(SEARCH("selesai",Sheet2!D286)-1),1,"")</f>
        <v/>
      </c>
      <c r="L286" s="3" t="str">
        <f t="shared" si="33"/>
        <v>Rp. 223.928.000</v>
      </c>
      <c r="M286" s="3" t="str">
        <f t="shared" si="34"/>
        <v>Rp. 223.928.000</v>
      </c>
      <c r="N286" s="3" t="str">
        <f t="shared" si="35"/>
        <v> 223.928.000</v>
      </c>
      <c r="O286" s="3" t="str">
        <f t="shared" si="36"/>
        <v> 223.928.000</v>
      </c>
      <c r="P286" s="3">
        <f t="shared" si="37"/>
        <v>223928000</v>
      </c>
      <c r="Q286" s="3">
        <f t="shared" si="38"/>
        <v>223928000</v>
      </c>
      <c r="R286" s="3">
        <f t="shared" si="39"/>
        <v>0</v>
      </c>
    </row>
    <row r="287" spans="1:18">
      <c r="A287" s="2">
        <v>5080097</v>
      </c>
      <c r="B287" s="3" t="s">
        <v>521</v>
      </c>
      <c r="C287" s="3" t="s">
        <v>1</v>
      </c>
      <c r="D287" s="3" t="s">
        <v>76</v>
      </c>
      <c r="E287" s="3" t="s">
        <v>876</v>
      </c>
      <c r="F287" s="3" t="s">
        <v>1097</v>
      </c>
      <c r="G287" s="3" t="s">
        <v>2180</v>
      </c>
      <c r="H287" s="3" t="s">
        <v>2180</v>
      </c>
      <c r="I287" s="3" t="s">
        <v>1268</v>
      </c>
      <c r="J287" s="3">
        <f t="shared" si="32"/>
        <v>17</v>
      </c>
      <c r="K287" s="3" t="str">
        <f>IF(ISNUMBER(SEARCH("selesai",Sheet2!D287)-1),1,"")</f>
        <v/>
      </c>
      <c r="L287" s="3" t="str">
        <f t="shared" si="33"/>
        <v>Rp. 223.928.000</v>
      </c>
      <c r="M287" s="3" t="str">
        <f t="shared" si="34"/>
        <v>Rp. 223.928.000</v>
      </c>
      <c r="N287" s="3" t="str">
        <f t="shared" si="35"/>
        <v> 223.928.000</v>
      </c>
      <c r="O287" s="3" t="str">
        <f t="shared" si="36"/>
        <v> 223.928.000</v>
      </c>
      <c r="P287" s="3">
        <f t="shared" si="37"/>
        <v>223928000</v>
      </c>
      <c r="Q287" s="3">
        <f t="shared" si="38"/>
        <v>223928000</v>
      </c>
      <c r="R287" s="3">
        <f t="shared" si="39"/>
        <v>0</v>
      </c>
    </row>
    <row r="288" spans="1:18">
      <c r="A288" s="2">
        <v>5077097</v>
      </c>
      <c r="B288" s="3" t="s">
        <v>522</v>
      </c>
      <c r="C288" s="3" t="s">
        <v>1</v>
      </c>
      <c r="D288" s="3" t="s">
        <v>2</v>
      </c>
      <c r="E288" s="3" t="s">
        <v>876</v>
      </c>
      <c r="F288" s="3" t="s">
        <v>919</v>
      </c>
      <c r="G288" s="3" t="s">
        <v>2558</v>
      </c>
      <c r="H288" s="3" t="s">
        <v>3839</v>
      </c>
      <c r="I288" s="3" t="s">
        <v>2559</v>
      </c>
      <c r="J288" s="3">
        <f t="shared" si="32"/>
        <v>52</v>
      </c>
      <c r="K288" s="3">
        <f>IF(ISNUMBER(SEARCH("selesai",Sheet2!D288)-1),1,"")</f>
        <v>1</v>
      </c>
      <c r="L288" s="3" t="str">
        <f t="shared" si="33"/>
        <v>Rp. 4.357.920.000</v>
      </c>
      <c r="M288" s="3" t="str">
        <f t="shared" si="34"/>
        <v>Rp. 4.357.919.925</v>
      </c>
      <c r="N288" s="3" t="str">
        <f t="shared" si="35"/>
        <v> 4.357.920.000</v>
      </c>
      <c r="O288" s="3" t="str">
        <f t="shared" si="36"/>
        <v> 4.357.919.925</v>
      </c>
      <c r="P288" s="3">
        <f t="shared" si="37"/>
        <v>4357920000</v>
      </c>
      <c r="Q288" s="3">
        <f t="shared" si="38"/>
        <v>4357919925</v>
      </c>
      <c r="R288" s="3">
        <f t="shared" si="39"/>
        <v>75</v>
      </c>
    </row>
    <row r="289" spans="1:18">
      <c r="A289" s="2">
        <v>5070097</v>
      </c>
      <c r="B289" s="3" t="s">
        <v>525</v>
      </c>
      <c r="C289" s="3" t="s">
        <v>1</v>
      </c>
      <c r="D289" s="3" t="s">
        <v>7</v>
      </c>
      <c r="E289" s="3" t="s">
        <v>876</v>
      </c>
      <c r="F289" s="3" t="s">
        <v>919</v>
      </c>
      <c r="G289" s="3" t="s">
        <v>1297</v>
      </c>
      <c r="H289" s="3" t="s">
        <v>3771</v>
      </c>
      <c r="I289" s="3" t="s">
        <v>2443</v>
      </c>
      <c r="J289" s="3">
        <f t="shared" si="32"/>
        <v>68</v>
      </c>
      <c r="K289" s="3" t="str">
        <f>IF(ISNUMBER(SEARCH("selesai",Sheet2!D289)-1),1,"")</f>
        <v/>
      </c>
      <c r="L289" s="3" t="str">
        <f t="shared" si="33"/>
        <v>Rp. 2.000.000.000</v>
      </c>
      <c r="M289" s="3" t="str">
        <f t="shared" si="34"/>
        <v>Rp. 1.999.619.503</v>
      </c>
      <c r="N289" s="3" t="str">
        <f t="shared" si="35"/>
        <v> 2.000.000.000</v>
      </c>
      <c r="O289" s="3" t="str">
        <f t="shared" si="36"/>
        <v> 1.999.619.503</v>
      </c>
      <c r="P289" s="3">
        <f t="shared" si="37"/>
        <v>2000000000</v>
      </c>
      <c r="Q289" s="3">
        <f t="shared" si="38"/>
        <v>1999619503</v>
      </c>
      <c r="R289" s="3">
        <f t="shared" si="39"/>
        <v>380497</v>
      </c>
    </row>
    <row r="290" spans="1:18">
      <c r="A290" s="2">
        <v>5069097</v>
      </c>
      <c r="B290" s="3" t="s">
        <v>526</v>
      </c>
      <c r="C290" s="3" t="s">
        <v>1</v>
      </c>
      <c r="D290" s="3" t="s">
        <v>2</v>
      </c>
      <c r="E290" s="3" t="s">
        <v>876</v>
      </c>
      <c r="F290" s="3" t="s">
        <v>1097</v>
      </c>
      <c r="G290" s="3" t="s">
        <v>1103</v>
      </c>
      <c r="H290" s="3" t="s">
        <v>3821</v>
      </c>
      <c r="I290" s="3" t="s">
        <v>1492</v>
      </c>
      <c r="J290" s="3">
        <f t="shared" si="32"/>
        <v>13</v>
      </c>
      <c r="K290" s="3">
        <f>IF(ISNUMBER(SEARCH("selesai",Sheet2!D290)-1),1,"")</f>
        <v>1</v>
      </c>
      <c r="L290" s="3" t="str">
        <f t="shared" si="33"/>
        <v>Rp. 200.000.000</v>
      </c>
      <c r="M290" s="3" t="str">
        <f t="shared" si="34"/>
        <v>Rp. 199.265.000</v>
      </c>
      <c r="N290" s="3" t="str">
        <f t="shared" si="35"/>
        <v> 200.000.000</v>
      </c>
      <c r="O290" s="3" t="str">
        <f t="shared" si="36"/>
        <v> 199.265.000</v>
      </c>
      <c r="P290" s="3">
        <f t="shared" si="37"/>
        <v>200000000</v>
      </c>
      <c r="Q290" s="3">
        <f t="shared" si="38"/>
        <v>199265000</v>
      </c>
      <c r="R290" s="3">
        <f t="shared" si="39"/>
        <v>735000</v>
      </c>
    </row>
    <row r="291" spans="1:18">
      <c r="A291" s="2">
        <v>5068097</v>
      </c>
      <c r="B291" s="3" t="s">
        <v>527</v>
      </c>
      <c r="C291" s="3" t="s">
        <v>1</v>
      </c>
      <c r="D291" s="3" t="s">
        <v>7</v>
      </c>
      <c r="E291" s="3" t="s">
        <v>876</v>
      </c>
      <c r="F291" s="3" t="s">
        <v>919</v>
      </c>
      <c r="G291" s="3" t="s">
        <v>2140</v>
      </c>
      <c r="H291" s="3" t="s">
        <v>3796</v>
      </c>
      <c r="I291" s="3" t="s">
        <v>1096</v>
      </c>
      <c r="J291" s="3">
        <f t="shared" si="32"/>
        <v>28</v>
      </c>
      <c r="K291" s="3" t="str">
        <f>IF(ISNUMBER(SEARCH("selesai",Sheet2!D291)-1),1,"")</f>
        <v/>
      </c>
      <c r="L291" s="3" t="str">
        <f t="shared" si="33"/>
        <v>Rp. 3.111.300.000</v>
      </c>
      <c r="M291" s="3" t="str">
        <f t="shared" si="34"/>
        <v>Rp. 3.110.631.210</v>
      </c>
      <c r="N291" s="3" t="str">
        <f t="shared" si="35"/>
        <v> 3.111.300.000</v>
      </c>
      <c r="O291" s="3" t="str">
        <f t="shared" si="36"/>
        <v> 3.110.631.210</v>
      </c>
      <c r="P291" s="3">
        <f t="shared" si="37"/>
        <v>3111300000</v>
      </c>
      <c r="Q291" s="3">
        <f t="shared" si="38"/>
        <v>3110631210</v>
      </c>
      <c r="R291" s="3">
        <f t="shared" si="39"/>
        <v>668790</v>
      </c>
    </row>
    <row r="292" spans="1:18">
      <c r="A292" s="2">
        <v>5065097</v>
      </c>
      <c r="B292" s="3" t="s">
        <v>528</v>
      </c>
      <c r="C292" s="3" t="s">
        <v>1</v>
      </c>
      <c r="D292" s="3" t="s">
        <v>7</v>
      </c>
      <c r="E292" s="3" t="s">
        <v>876</v>
      </c>
      <c r="F292" s="3" t="s">
        <v>919</v>
      </c>
      <c r="G292" s="3" t="s">
        <v>2168</v>
      </c>
      <c r="H292" s="3" t="s">
        <v>3799</v>
      </c>
      <c r="I292" s="3" t="s">
        <v>1001</v>
      </c>
      <c r="J292" s="3">
        <f t="shared" si="32"/>
        <v>27</v>
      </c>
      <c r="K292" s="3" t="str">
        <f>IF(ISNUMBER(SEARCH("selesai",Sheet2!D292)-1),1,"")</f>
        <v/>
      </c>
      <c r="L292" s="3" t="str">
        <f t="shared" si="33"/>
        <v>Rp. 600.000.000</v>
      </c>
      <c r="M292" s="3" t="str">
        <f t="shared" si="34"/>
        <v>Rp. 599.999.977</v>
      </c>
      <c r="N292" s="3" t="str">
        <f t="shared" si="35"/>
        <v> 600.000.000</v>
      </c>
      <c r="O292" s="3" t="str">
        <f t="shared" si="36"/>
        <v> 599.999.977</v>
      </c>
      <c r="P292" s="3">
        <f t="shared" si="37"/>
        <v>600000000</v>
      </c>
      <c r="Q292" s="3">
        <f t="shared" si="38"/>
        <v>599999977</v>
      </c>
      <c r="R292" s="3">
        <f t="shared" si="39"/>
        <v>23</v>
      </c>
    </row>
    <row r="293" spans="1:18">
      <c r="A293" s="2">
        <v>5064097</v>
      </c>
      <c r="B293" s="3" t="s">
        <v>529</v>
      </c>
      <c r="C293" s="3" t="s">
        <v>1</v>
      </c>
      <c r="D293" s="3" t="s">
        <v>2</v>
      </c>
      <c r="E293" s="3" t="s">
        <v>876</v>
      </c>
      <c r="F293" s="3" t="s">
        <v>919</v>
      </c>
      <c r="G293" s="3" t="s">
        <v>2585</v>
      </c>
      <c r="H293" s="3" t="s">
        <v>3840</v>
      </c>
      <c r="I293" s="3" t="s">
        <v>1792</v>
      </c>
      <c r="J293" s="3">
        <f t="shared" si="32"/>
        <v>49</v>
      </c>
      <c r="K293" s="3">
        <f>IF(ISNUMBER(SEARCH("selesai",Sheet2!D293)-1),1,"")</f>
        <v>1</v>
      </c>
      <c r="L293" s="3" t="str">
        <f t="shared" si="33"/>
        <v>Rp. 23.365.010.000</v>
      </c>
      <c r="M293" s="3" t="str">
        <f t="shared" si="34"/>
        <v>Rp. 23.364.943.864</v>
      </c>
      <c r="N293" s="3" t="str">
        <f t="shared" si="35"/>
        <v> 23.365.010.000</v>
      </c>
      <c r="O293" s="3" t="str">
        <f t="shared" si="36"/>
        <v> 23.364.943.864</v>
      </c>
      <c r="P293" s="3">
        <f t="shared" si="37"/>
        <v>23365010000</v>
      </c>
      <c r="Q293" s="3">
        <f t="shared" si="38"/>
        <v>23364943864</v>
      </c>
      <c r="R293" s="3">
        <f t="shared" si="39"/>
        <v>66136</v>
      </c>
    </row>
    <row r="294" spans="1:18">
      <c r="A294" s="2">
        <v>5063097</v>
      </c>
      <c r="B294" s="3" t="s">
        <v>532</v>
      </c>
      <c r="C294" s="3" t="s">
        <v>1</v>
      </c>
      <c r="D294" s="3" t="s">
        <v>2</v>
      </c>
      <c r="E294" s="3" t="s">
        <v>876</v>
      </c>
      <c r="F294" s="3" t="s">
        <v>919</v>
      </c>
      <c r="G294" s="3" t="s">
        <v>2140</v>
      </c>
      <c r="H294" s="3" t="s">
        <v>3841</v>
      </c>
      <c r="I294" s="3" t="s">
        <v>905</v>
      </c>
      <c r="J294" s="3">
        <f t="shared" si="32"/>
        <v>31</v>
      </c>
      <c r="K294" s="3">
        <f>IF(ISNUMBER(SEARCH("selesai",Sheet2!D294)-1),1,"")</f>
        <v>1</v>
      </c>
      <c r="L294" s="3" t="str">
        <f t="shared" si="33"/>
        <v>Rp. 3.111.300.000</v>
      </c>
      <c r="M294" s="3" t="str">
        <f t="shared" si="34"/>
        <v>Rp. 3.111.297.900</v>
      </c>
      <c r="N294" s="3" t="str">
        <f t="shared" si="35"/>
        <v> 3.111.300.000</v>
      </c>
      <c r="O294" s="3" t="str">
        <f t="shared" si="36"/>
        <v> 3.111.297.900</v>
      </c>
      <c r="P294" s="3">
        <f t="shared" si="37"/>
        <v>3111300000</v>
      </c>
      <c r="Q294" s="3">
        <f t="shared" si="38"/>
        <v>3111297900</v>
      </c>
      <c r="R294" s="3">
        <f t="shared" si="39"/>
        <v>2100</v>
      </c>
    </row>
    <row r="295" spans="1:18">
      <c r="A295" s="2">
        <v>5062097</v>
      </c>
      <c r="B295" s="3" t="s">
        <v>533</v>
      </c>
      <c r="C295" s="3" t="s">
        <v>1</v>
      </c>
      <c r="D295" s="3" t="s">
        <v>7</v>
      </c>
      <c r="E295" s="3" t="s">
        <v>876</v>
      </c>
      <c r="F295" s="3" t="s">
        <v>875</v>
      </c>
      <c r="G295" s="3" t="s">
        <v>2460</v>
      </c>
      <c r="H295" s="3" t="s">
        <v>3834</v>
      </c>
      <c r="I295" s="3" t="s">
        <v>1792</v>
      </c>
      <c r="J295" s="3">
        <f t="shared" si="32"/>
        <v>49</v>
      </c>
      <c r="K295" s="3" t="str">
        <f>IF(ISNUMBER(SEARCH("selesai",Sheet2!D295)-1),1,"")</f>
        <v/>
      </c>
      <c r="L295" s="3" t="str">
        <f t="shared" si="33"/>
        <v>Rp. 332.500.000</v>
      </c>
      <c r="M295" s="3" t="str">
        <f t="shared" si="34"/>
        <v>Rp. 332.447.500</v>
      </c>
      <c r="N295" s="3" t="str">
        <f t="shared" si="35"/>
        <v> 332.500.000</v>
      </c>
      <c r="O295" s="3" t="str">
        <f t="shared" si="36"/>
        <v> 332.447.500</v>
      </c>
      <c r="P295" s="3">
        <f t="shared" si="37"/>
        <v>332500000</v>
      </c>
      <c r="Q295" s="3">
        <f t="shared" si="38"/>
        <v>332447500</v>
      </c>
      <c r="R295" s="3">
        <f t="shared" si="39"/>
        <v>52500</v>
      </c>
    </row>
    <row r="296" spans="1:18">
      <c r="A296" s="2">
        <v>5060097</v>
      </c>
      <c r="B296" s="3" t="s">
        <v>534</v>
      </c>
      <c r="C296" s="3" t="s">
        <v>1</v>
      </c>
      <c r="D296" s="3" t="s">
        <v>2</v>
      </c>
      <c r="E296" s="3" t="s">
        <v>876</v>
      </c>
      <c r="F296" s="3" t="s">
        <v>1097</v>
      </c>
      <c r="G296" s="3" t="s">
        <v>2601</v>
      </c>
      <c r="H296" s="3" t="s">
        <v>3842</v>
      </c>
      <c r="I296" s="3" t="s">
        <v>1235</v>
      </c>
      <c r="J296" s="3">
        <f t="shared" si="32"/>
        <v>14</v>
      </c>
      <c r="K296" s="3">
        <f>IF(ISNUMBER(SEARCH("selesai",Sheet2!D296)-1),1,"")</f>
        <v>1</v>
      </c>
      <c r="L296" s="3" t="str">
        <f t="shared" si="33"/>
        <v>Rp. 410.273.116</v>
      </c>
      <c r="M296" s="3" t="str">
        <f t="shared" si="34"/>
        <v>Rp. 409.475.000</v>
      </c>
      <c r="N296" s="3" t="str">
        <f t="shared" si="35"/>
        <v> 410.273.116</v>
      </c>
      <c r="O296" s="3" t="str">
        <f t="shared" si="36"/>
        <v> 409.475.000</v>
      </c>
      <c r="P296" s="3">
        <f t="shared" si="37"/>
        <v>410273116</v>
      </c>
      <c r="Q296" s="3">
        <f t="shared" si="38"/>
        <v>409475000</v>
      </c>
      <c r="R296" s="3">
        <f t="shared" si="39"/>
        <v>798116</v>
      </c>
    </row>
    <row r="297" spans="1:18">
      <c r="A297" s="2">
        <v>5059097</v>
      </c>
      <c r="B297" s="3" t="s">
        <v>536</v>
      </c>
      <c r="C297" s="3" t="s">
        <v>1</v>
      </c>
      <c r="D297" s="3" t="s">
        <v>2</v>
      </c>
      <c r="E297" s="3" t="s">
        <v>876</v>
      </c>
      <c r="F297" s="3" t="s">
        <v>1097</v>
      </c>
      <c r="G297" s="3" t="s">
        <v>2302</v>
      </c>
      <c r="H297" s="3" t="s">
        <v>3843</v>
      </c>
      <c r="I297" s="3" t="s">
        <v>1443</v>
      </c>
      <c r="J297" s="3">
        <f t="shared" si="32"/>
        <v>12</v>
      </c>
      <c r="K297" s="3">
        <f>IF(ISNUMBER(SEARCH("selesai",Sheet2!D297)-1),1,"")</f>
        <v>1</v>
      </c>
      <c r="L297" s="3" t="str">
        <f t="shared" si="33"/>
        <v>Rp. 400.000.000</v>
      </c>
      <c r="M297" s="3" t="str">
        <f t="shared" si="34"/>
        <v>Rp. 399.949.000</v>
      </c>
      <c r="N297" s="3" t="str">
        <f t="shared" si="35"/>
        <v> 400.000.000</v>
      </c>
      <c r="O297" s="3" t="str">
        <f t="shared" si="36"/>
        <v> 399.949.000</v>
      </c>
      <c r="P297" s="3">
        <f t="shared" si="37"/>
        <v>400000000</v>
      </c>
      <c r="Q297" s="3">
        <f t="shared" si="38"/>
        <v>399949000</v>
      </c>
      <c r="R297" s="3">
        <f t="shared" si="39"/>
        <v>51000</v>
      </c>
    </row>
    <row r="298" spans="1:18">
      <c r="A298" s="2">
        <v>5058097</v>
      </c>
      <c r="B298" s="3" t="s">
        <v>538</v>
      </c>
      <c r="C298" s="3" t="s">
        <v>1</v>
      </c>
      <c r="D298" s="3" t="s">
        <v>2</v>
      </c>
      <c r="E298" s="3" t="s">
        <v>876</v>
      </c>
      <c r="F298" s="3" t="s">
        <v>875</v>
      </c>
      <c r="G298" s="3" t="s">
        <v>2612</v>
      </c>
      <c r="H298" s="3" t="s">
        <v>3844</v>
      </c>
      <c r="I298" s="3" t="s">
        <v>1126</v>
      </c>
      <c r="J298" s="3">
        <f t="shared" si="32"/>
        <v>23</v>
      </c>
      <c r="K298" s="3">
        <f>IF(ISNUMBER(SEARCH("selesai",Sheet2!D298)-1),1,"")</f>
        <v>1</v>
      </c>
      <c r="L298" s="3" t="str">
        <f t="shared" si="33"/>
        <v>Rp. 457.620.000</v>
      </c>
      <c r="M298" s="3" t="str">
        <f t="shared" si="34"/>
        <v>Rp. 457.578.250</v>
      </c>
      <c r="N298" s="3" t="str">
        <f t="shared" si="35"/>
        <v> 457.620.000</v>
      </c>
      <c r="O298" s="3" t="str">
        <f t="shared" si="36"/>
        <v> 457.578.250</v>
      </c>
      <c r="P298" s="3">
        <f t="shared" si="37"/>
        <v>457620000</v>
      </c>
      <c r="Q298" s="3">
        <f t="shared" si="38"/>
        <v>457578250</v>
      </c>
      <c r="R298" s="3">
        <f t="shared" si="39"/>
        <v>41750</v>
      </c>
    </row>
    <row r="299" spans="1:18">
      <c r="A299" s="2">
        <v>5057097</v>
      </c>
      <c r="B299" s="3" t="s">
        <v>541</v>
      </c>
      <c r="C299" s="3" t="s">
        <v>1</v>
      </c>
      <c r="D299" s="3" t="s">
        <v>7</v>
      </c>
      <c r="E299" s="3" t="s">
        <v>876</v>
      </c>
      <c r="F299" s="3" t="s">
        <v>919</v>
      </c>
      <c r="G299" s="3" t="s">
        <v>2174</v>
      </c>
      <c r="H299" s="3" t="s">
        <v>3800</v>
      </c>
      <c r="I299" s="3" t="s">
        <v>1063</v>
      </c>
      <c r="J299" s="3">
        <f t="shared" si="32"/>
        <v>36</v>
      </c>
      <c r="K299" s="3" t="str">
        <f>IF(ISNUMBER(SEARCH("selesai",Sheet2!D299)-1),1,"")</f>
        <v/>
      </c>
      <c r="L299" s="3" t="str">
        <f t="shared" si="33"/>
        <v>Rp. 860.000.000</v>
      </c>
      <c r="M299" s="3" t="str">
        <f t="shared" si="34"/>
        <v>Rp. 853.801.119</v>
      </c>
      <c r="N299" s="3" t="str">
        <f t="shared" si="35"/>
        <v> 860.000.000</v>
      </c>
      <c r="O299" s="3" t="str">
        <f t="shared" si="36"/>
        <v> 853.801.119</v>
      </c>
      <c r="P299" s="3">
        <f t="shared" si="37"/>
        <v>860000000</v>
      </c>
      <c r="Q299" s="3">
        <f t="shared" si="38"/>
        <v>853801119</v>
      </c>
      <c r="R299" s="3">
        <f t="shared" si="39"/>
        <v>6198881</v>
      </c>
    </row>
    <row r="300" spans="1:18">
      <c r="A300" s="2">
        <v>5056097</v>
      </c>
      <c r="B300" s="3" t="s">
        <v>542</v>
      </c>
      <c r="C300" s="3" t="s">
        <v>1</v>
      </c>
      <c r="D300" s="3" t="s">
        <v>2</v>
      </c>
      <c r="E300" s="3" t="s">
        <v>876</v>
      </c>
      <c r="F300" s="3" t="s">
        <v>1097</v>
      </c>
      <c r="G300" s="3" t="s">
        <v>1164</v>
      </c>
      <c r="H300" s="3" t="s">
        <v>3845</v>
      </c>
      <c r="I300" s="3" t="s">
        <v>1305</v>
      </c>
      <c r="J300" s="3">
        <f t="shared" si="32"/>
        <v>15</v>
      </c>
      <c r="K300" s="3">
        <f>IF(ISNUMBER(SEARCH("selesai",Sheet2!D300)-1),1,"")</f>
        <v>1</v>
      </c>
      <c r="L300" s="3" t="str">
        <f t="shared" si="33"/>
        <v>Rp. 1.000.000.000</v>
      </c>
      <c r="M300" s="3" t="str">
        <f t="shared" si="34"/>
        <v>Rp. 998.074.000</v>
      </c>
      <c r="N300" s="3" t="str">
        <f t="shared" si="35"/>
        <v> 1.000.000.000</v>
      </c>
      <c r="O300" s="3" t="str">
        <f t="shared" si="36"/>
        <v> 998.074.000</v>
      </c>
      <c r="P300" s="3">
        <f t="shared" si="37"/>
        <v>1000000000</v>
      </c>
      <c r="Q300" s="3">
        <f t="shared" si="38"/>
        <v>998074000</v>
      </c>
      <c r="R300" s="3">
        <f t="shared" si="39"/>
        <v>1926000</v>
      </c>
    </row>
    <row r="301" spans="1:18">
      <c r="A301" s="2">
        <v>5055097</v>
      </c>
      <c r="B301" s="3" t="s">
        <v>544</v>
      </c>
      <c r="C301" s="3" t="s">
        <v>1</v>
      </c>
      <c r="D301" s="3" t="s">
        <v>2</v>
      </c>
      <c r="E301" s="3" t="s">
        <v>876</v>
      </c>
      <c r="F301" s="3" t="s">
        <v>1097</v>
      </c>
      <c r="G301" s="3" t="s">
        <v>1164</v>
      </c>
      <c r="H301" s="3" t="s">
        <v>3845</v>
      </c>
      <c r="I301" s="3" t="s">
        <v>1492</v>
      </c>
      <c r="J301" s="3">
        <f t="shared" si="32"/>
        <v>13</v>
      </c>
      <c r="K301" s="3">
        <f>IF(ISNUMBER(SEARCH("selesai",Sheet2!D301)-1),1,"")</f>
        <v>1</v>
      </c>
      <c r="L301" s="3" t="str">
        <f t="shared" si="33"/>
        <v>Rp. 1.000.000.000</v>
      </c>
      <c r="M301" s="3" t="str">
        <f t="shared" si="34"/>
        <v>Rp. 998.074.000</v>
      </c>
      <c r="N301" s="3" t="str">
        <f t="shared" si="35"/>
        <v> 1.000.000.000</v>
      </c>
      <c r="O301" s="3" t="str">
        <f t="shared" si="36"/>
        <v> 998.074.000</v>
      </c>
      <c r="P301" s="3">
        <f t="shared" si="37"/>
        <v>1000000000</v>
      </c>
      <c r="Q301" s="3">
        <f t="shared" si="38"/>
        <v>998074000</v>
      </c>
      <c r="R301" s="3">
        <f t="shared" si="39"/>
        <v>1926000</v>
      </c>
    </row>
    <row r="302" spans="1:18">
      <c r="A302" s="2">
        <v>5049097</v>
      </c>
      <c r="B302" s="3" t="s">
        <v>545</v>
      </c>
      <c r="C302" s="3" t="s">
        <v>1</v>
      </c>
      <c r="D302" s="3" t="s">
        <v>2</v>
      </c>
      <c r="E302" s="3" t="s">
        <v>1033</v>
      </c>
      <c r="F302" s="3" t="s">
        <v>1026</v>
      </c>
      <c r="G302" s="3" t="s">
        <v>2633</v>
      </c>
      <c r="H302" s="3" t="s">
        <v>2633</v>
      </c>
      <c r="I302" s="3" t="s">
        <v>2320</v>
      </c>
      <c r="J302" s="3">
        <f t="shared" si="32"/>
        <v>5</v>
      </c>
      <c r="K302" s="3">
        <f>IF(ISNUMBER(SEARCH("selesai",Sheet2!D302)-1),1,"")</f>
        <v>1</v>
      </c>
      <c r="L302" s="3" t="str">
        <f t="shared" si="33"/>
        <v>Rp. 593.640.000</v>
      </c>
      <c r="M302" s="3" t="str">
        <f t="shared" si="34"/>
        <v>Rp. 593.640.000</v>
      </c>
      <c r="N302" s="3" t="str">
        <f t="shared" si="35"/>
        <v> 593.640.000</v>
      </c>
      <c r="O302" s="3" t="str">
        <f t="shared" si="36"/>
        <v> 593.640.000</v>
      </c>
      <c r="P302" s="3">
        <f t="shared" si="37"/>
        <v>593640000</v>
      </c>
      <c r="Q302" s="3">
        <f t="shared" si="38"/>
        <v>593640000</v>
      </c>
      <c r="R302" s="3">
        <f t="shared" si="39"/>
        <v>0</v>
      </c>
    </row>
    <row r="303" spans="1:18">
      <c r="A303" s="2">
        <v>5043097</v>
      </c>
      <c r="B303" s="3" t="s">
        <v>547</v>
      </c>
      <c r="C303" s="3" t="s">
        <v>1</v>
      </c>
      <c r="D303" s="3" t="s">
        <v>2</v>
      </c>
      <c r="E303" s="3" t="s">
        <v>876</v>
      </c>
      <c r="F303" s="3" t="s">
        <v>1097</v>
      </c>
      <c r="G303" s="3" t="s">
        <v>2639</v>
      </c>
      <c r="H303" s="3" t="s">
        <v>3846</v>
      </c>
      <c r="I303" s="3" t="s">
        <v>1229</v>
      </c>
      <c r="J303" s="3">
        <f t="shared" si="32"/>
        <v>18</v>
      </c>
      <c r="K303" s="3">
        <f>IF(ISNUMBER(SEARCH("selesai",Sheet2!D303)-1),1,"")</f>
        <v>1</v>
      </c>
      <c r="L303" s="3" t="str">
        <f t="shared" si="33"/>
        <v>Rp. 477.400.000</v>
      </c>
      <c r="M303" s="3" t="str">
        <f t="shared" si="34"/>
        <v>Rp. 469.700.000</v>
      </c>
      <c r="N303" s="3" t="str">
        <f t="shared" si="35"/>
        <v> 477.400.000</v>
      </c>
      <c r="O303" s="3" t="str">
        <f t="shared" si="36"/>
        <v> 469.700.000</v>
      </c>
      <c r="P303" s="3">
        <f t="shared" si="37"/>
        <v>477400000</v>
      </c>
      <c r="Q303" s="3">
        <f t="shared" si="38"/>
        <v>469700000</v>
      </c>
      <c r="R303" s="3">
        <f t="shared" si="39"/>
        <v>7700000</v>
      </c>
    </row>
    <row r="304" spans="1:18">
      <c r="A304" s="2">
        <v>5042097</v>
      </c>
      <c r="B304" s="3" t="s">
        <v>549</v>
      </c>
      <c r="C304" s="3" t="s">
        <v>1</v>
      </c>
      <c r="D304" s="3" t="s">
        <v>2</v>
      </c>
      <c r="E304" s="3" t="s">
        <v>876</v>
      </c>
      <c r="F304" s="3" t="s">
        <v>1097</v>
      </c>
      <c r="G304" s="3" t="s">
        <v>2645</v>
      </c>
      <c r="H304" s="3" t="s">
        <v>3847</v>
      </c>
      <c r="I304" s="3" t="s">
        <v>1492</v>
      </c>
      <c r="J304" s="3">
        <f t="shared" si="32"/>
        <v>13</v>
      </c>
      <c r="K304" s="3">
        <f>IF(ISNUMBER(SEARCH("selesai",Sheet2!D304)-1),1,"")</f>
        <v>1</v>
      </c>
      <c r="L304" s="3" t="str">
        <f t="shared" si="33"/>
        <v>Rp. 520.600.000</v>
      </c>
      <c r="M304" s="3" t="str">
        <f t="shared" si="34"/>
        <v>Rp. 494.230.000</v>
      </c>
      <c r="N304" s="3" t="str">
        <f t="shared" si="35"/>
        <v> 520.600.000</v>
      </c>
      <c r="O304" s="3" t="str">
        <f t="shared" si="36"/>
        <v> 494.230.000</v>
      </c>
      <c r="P304" s="3">
        <f t="shared" si="37"/>
        <v>520600000</v>
      </c>
      <c r="Q304" s="3">
        <f t="shared" si="38"/>
        <v>494230000</v>
      </c>
      <c r="R304" s="3">
        <f t="shared" si="39"/>
        <v>26370000</v>
      </c>
    </row>
    <row r="305" spans="1:18">
      <c r="A305" s="2">
        <v>5041097</v>
      </c>
      <c r="B305" s="3" t="s">
        <v>551</v>
      </c>
      <c r="C305" s="3" t="s">
        <v>1</v>
      </c>
      <c r="D305" s="3" t="s">
        <v>2</v>
      </c>
      <c r="E305" s="3" t="s">
        <v>876</v>
      </c>
      <c r="F305" s="3" t="s">
        <v>1097</v>
      </c>
      <c r="G305" s="3" t="s">
        <v>2651</v>
      </c>
      <c r="H305" s="3" t="s">
        <v>3848</v>
      </c>
      <c r="I305" s="3" t="s">
        <v>1305</v>
      </c>
      <c r="J305" s="3">
        <f t="shared" si="32"/>
        <v>15</v>
      </c>
      <c r="K305" s="3">
        <f>IF(ISNUMBER(SEARCH("selesai",Sheet2!D305)-1),1,"")</f>
        <v>1</v>
      </c>
      <c r="L305" s="3" t="str">
        <f t="shared" si="33"/>
        <v>Rp. 508.400.000</v>
      </c>
      <c r="M305" s="3" t="str">
        <f t="shared" si="34"/>
        <v>Rp. 474.980.000</v>
      </c>
      <c r="N305" s="3" t="str">
        <f t="shared" si="35"/>
        <v> 508.400.000</v>
      </c>
      <c r="O305" s="3" t="str">
        <f t="shared" si="36"/>
        <v> 474.980.000</v>
      </c>
      <c r="P305" s="3">
        <f t="shared" si="37"/>
        <v>508400000</v>
      </c>
      <c r="Q305" s="3">
        <f t="shared" si="38"/>
        <v>474980000</v>
      </c>
      <c r="R305" s="3">
        <f t="shared" si="39"/>
        <v>33420000</v>
      </c>
    </row>
    <row r="306" spans="1:18">
      <c r="A306" s="2">
        <v>5040097</v>
      </c>
      <c r="B306" s="3" t="s">
        <v>552</v>
      </c>
      <c r="C306" s="3" t="s">
        <v>1</v>
      </c>
      <c r="D306" s="3" t="s">
        <v>2</v>
      </c>
      <c r="E306" s="3" t="s">
        <v>876</v>
      </c>
      <c r="F306" s="3" t="s">
        <v>1097</v>
      </c>
      <c r="G306" s="3" t="s">
        <v>2639</v>
      </c>
      <c r="H306" s="3" t="s">
        <v>3849</v>
      </c>
      <c r="I306" s="3" t="s">
        <v>1305</v>
      </c>
      <c r="J306" s="3">
        <f t="shared" si="32"/>
        <v>15</v>
      </c>
      <c r="K306" s="3">
        <f>IF(ISNUMBER(SEARCH("selesai",Sheet2!D306)-1),1,"")</f>
        <v>1</v>
      </c>
      <c r="L306" s="3" t="str">
        <f t="shared" si="33"/>
        <v>Rp. 477.400.000</v>
      </c>
      <c r="M306" s="3" t="str">
        <f t="shared" si="34"/>
        <v>Rp. 430.870.000</v>
      </c>
      <c r="N306" s="3" t="str">
        <f t="shared" si="35"/>
        <v> 477.400.000</v>
      </c>
      <c r="O306" s="3" t="str">
        <f t="shared" si="36"/>
        <v> 430.870.000</v>
      </c>
      <c r="P306" s="3">
        <f t="shared" si="37"/>
        <v>477400000</v>
      </c>
      <c r="Q306" s="3">
        <f t="shared" si="38"/>
        <v>430870000</v>
      </c>
      <c r="R306" s="3">
        <f t="shared" si="39"/>
        <v>46530000</v>
      </c>
    </row>
    <row r="307" spans="1:18">
      <c r="A307" s="2">
        <v>5039097</v>
      </c>
      <c r="B307" s="3" t="s">
        <v>554</v>
      </c>
      <c r="C307" s="3" t="s">
        <v>1</v>
      </c>
      <c r="D307" s="3" t="s">
        <v>2</v>
      </c>
      <c r="E307" s="3" t="s">
        <v>876</v>
      </c>
      <c r="F307" s="3" t="s">
        <v>1097</v>
      </c>
      <c r="G307" s="3" t="s">
        <v>1329</v>
      </c>
      <c r="H307" s="3" t="s">
        <v>3850</v>
      </c>
      <c r="I307" s="3" t="s">
        <v>1235</v>
      </c>
      <c r="J307" s="3">
        <f t="shared" si="32"/>
        <v>14</v>
      </c>
      <c r="K307" s="3">
        <f>IF(ISNUMBER(SEARCH("selesai",Sheet2!D307)-1),1,"")</f>
        <v>1</v>
      </c>
      <c r="L307" s="3" t="str">
        <f t="shared" si="33"/>
        <v>Rp. 509.000.000</v>
      </c>
      <c r="M307" s="3" t="str">
        <f t="shared" si="34"/>
        <v>Rp. 475.640.000</v>
      </c>
      <c r="N307" s="3" t="str">
        <f t="shared" si="35"/>
        <v> 509.000.000</v>
      </c>
      <c r="O307" s="3" t="str">
        <f t="shared" si="36"/>
        <v> 475.640.000</v>
      </c>
      <c r="P307" s="3">
        <f t="shared" si="37"/>
        <v>509000000</v>
      </c>
      <c r="Q307" s="3">
        <f t="shared" si="38"/>
        <v>475640000</v>
      </c>
      <c r="R307" s="3">
        <f t="shared" si="39"/>
        <v>33360000</v>
      </c>
    </row>
    <row r="308" spans="1:18">
      <c r="A308" s="2">
        <v>5038097</v>
      </c>
      <c r="B308" s="3" t="s">
        <v>556</v>
      </c>
      <c r="C308" s="3" t="s">
        <v>1</v>
      </c>
      <c r="D308" s="3" t="s">
        <v>2</v>
      </c>
      <c r="E308" s="3" t="s">
        <v>876</v>
      </c>
      <c r="F308" s="3" t="s">
        <v>919</v>
      </c>
      <c r="G308" s="3" t="s">
        <v>2038</v>
      </c>
      <c r="H308" s="3" t="s">
        <v>3851</v>
      </c>
      <c r="I308" s="3" t="s">
        <v>972</v>
      </c>
      <c r="J308" s="3">
        <f t="shared" si="32"/>
        <v>9</v>
      </c>
      <c r="K308" s="3">
        <f>IF(ISNUMBER(SEARCH("selesai",Sheet2!D308)-1),1,"")</f>
        <v>1</v>
      </c>
      <c r="L308" s="3" t="str">
        <f t="shared" si="33"/>
        <v>Rp. 475.000.000</v>
      </c>
      <c r="M308" s="3" t="str">
        <f t="shared" si="34"/>
        <v>Rp. 474.422.599</v>
      </c>
      <c r="N308" s="3" t="str">
        <f t="shared" si="35"/>
        <v> 475.000.000</v>
      </c>
      <c r="O308" s="3" t="str">
        <f t="shared" si="36"/>
        <v> 474.422.599</v>
      </c>
      <c r="P308" s="3">
        <f t="shared" si="37"/>
        <v>475000000</v>
      </c>
      <c r="Q308" s="3">
        <f t="shared" si="38"/>
        <v>474422599</v>
      </c>
      <c r="R308" s="3">
        <f t="shared" si="39"/>
        <v>577401</v>
      </c>
    </row>
    <row r="309" spans="1:18">
      <c r="A309" s="2">
        <v>5036097</v>
      </c>
      <c r="B309" s="3" t="s">
        <v>558</v>
      </c>
      <c r="C309" s="3" t="s">
        <v>1</v>
      </c>
      <c r="D309" s="3" t="s">
        <v>2</v>
      </c>
      <c r="E309" s="3" t="s">
        <v>876</v>
      </c>
      <c r="F309" s="3" t="s">
        <v>875</v>
      </c>
      <c r="G309" s="3" t="s">
        <v>2672</v>
      </c>
      <c r="H309" s="3" t="s">
        <v>3852</v>
      </c>
      <c r="I309" s="3" t="s">
        <v>1672</v>
      </c>
      <c r="J309" s="3">
        <f t="shared" si="32"/>
        <v>16</v>
      </c>
      <c r="K309" s="3">
        <f>IF(ISNUMBER(SEARCH("selesai",Sheet2!D309)-1),1,"")</f>
        <v>1</v>
      </c>
      <c r="L309" s="3" t="str">
        <f t="shared" si="33"/>
        <v>Rp. 3.555.000.000</v>
      </c>
      <c r="M309" s="3" t="str">
        <f t="shared" si="34"/>
        <v>Rp. 2.548.882.349</v>
      </c>
      <c r="N309" s="3" t="str">
        <f t="shared" si="35"/>
        <v> 3.555.000.000</v>
      </c>
      <c r="O309" s="3" t="str">
        <f t="shared" si="36"/>
        <v> 2.548.882.349</v>
      </c>
      <c r="P309" s="3">
        <f t="shared" si="37"/>
        <v>3555000000</v>
      </c>
      <c r="Q309" s="3">
        <f t="shared" si="38"/>
        <v>2548882349</v>
      </c>
      <c r="R309" s="3">
        <f t="shared" si="39"/>
        <v>1006117651</v>
      </c>
    </row>
    <row r="310" spans="1:18">
      <c r="A310" s="2">
        <v>5034097</v>
      </c>
      <c r="B310" s="3" t="s">
        <v>559</v>
      </c>
      <c r="C310" s="3" t="s">
        <v>1</v>
      </c>
      <c r="D310" s="3" t="s">
        <v>2</v>
      </c>
      <c r="E310" s="3" t="s">
        <v>876</v>
      </c>
      <c r="F310" s="3" t="s">
        <v>875</v>
      </c>
      <c r="G310" s="3" t="s">
        <v>2678</v>
      </c>
      <c r="H310" s="3" t="s">
        <v>3853</v>
      </c>
      <c r="I310" s="3" t="s">
        <v>1492</v>
      </c>
      <c r="J310" s="3">
        <f t="shared" si="32"/>
        <v>13</v>
      </c>
      <c r="K310" s="3">
        <f>IF(ISNUMBER(SEARCH("selesai",Sheet2!D310)-1),1,"")</f>
        <v>1</v>
      </c>
      <c r="L310" s="3" t="str">
        <f t="shared" si="33"/>
        <v>Rp. 815.000.000</v>
      </c>
      <c r="M310" s="3" t="str">
        <f t="shared" si="34"/>
        <v>Rp. 814.975.404</v>
      </c>
      <c r="N310" s="3" t="str">
        <f t="shared" si="35"/>
        <v> 815.000.000</v>
      </c>
      <c r="O310" s="3" t="str">
        <f t="shared" si="36"/>
        <v> 814.975.404</v>
      </c>
      <c r="P310" s="3">
        <f t="shared" si="37"/>
        <v>815000000</v>
      </c>
      <c r="Q310" s="3">
        <f t="shared" si="38"/>
        <v>814975404</v>
      </c>
      <c r="R310" s="3">
        <f t="shared" si="39"/>
        <v>24596</v>
      </c>
    </row>
    <row r="311" spans="1:18">
      <c r="A311" s="2">
        <v>5032097</v>
      </c>
      <c r="B311" s="3" t="s">
        <v>561</v>
      </c>
      <c r="C311" s="3" t="s">
        <v>1</v>
      </c>
      <c r="D311" s="3" t="s">
        <v>2</v>
      </c>
      <c r="E311" s="3" t="s">
        <v>876</v>
      </c>
      <c r="F311" s="3" t="s">
        <v>919</v>
      </c>
      <c r="G311" s="3" t="s">
        <v>2684</v>
      </c>
      <c r="H311" s="3" t="s">
        <v>3854</v>
      </c>
      <c r="I311" s="3" t="s">
        <v>2685</v>
      </c>
      <c r="J311" s="3">
        <f t="shared" si="32"/>
        <v>55</v>
      </c>
      <c r="K311" s="3">
        <f>IF(ISNUMBER(SEARCH("selesai",Sheet2!D311)-1),1,"")</f>
        <v>1</v>
      </c>
      <c r="L311" s="3" t="str">
        <f t="shared" si="33"/>
        <v>Rp. 11.037.040.000</v>
      </c>
      <c r="M311" s="3" t="str">
        <f t="shared" si="34"/>
        <v>Rp. 11.036.900.800</v>
      </c>
      <c r="N311" s="3" t="str">
        <f t="shared" si="35"/>
        <v> 11.037.040.000</v>
      </c>
      <c r="O311" s="3" t="str">
        <f t="shared" si="36"/>
        <v> 11.036.900.800</v>
      </c>
      <c r="P311" s="3">
        <f t="shared" si="37"/>
        <v>11037040000</v>
      </c>
      <c r="Q311" s="3">
        <f t="shared" si="38"/>
        <v>11036900800</v>
      </c>
      <c r="R311" s="3">
        <f t="shared" si="39"/>
        <v>139200</v>
      </c>
    </row>
    <row r="312" spans="1:18">
      <c r="A312" s="2">
        <v>5030097</v>
      </c>
      <c r="B312" s="3" t="s">
        <v>564</v>
      </c>
      <c r="C312" s="3" t="s">
        <v>1</v>
      </c>
      <c r="D312" s="3" t="s">
        <v>2</v>
      </c>
      <c r="E312" s="3" t="s">
        <v>876</v>
      </c>
      <c r="F312" s="3" t="s">
        <v>919</v>
      </c>
      <c r="G312" s="3" t="s">
        <v>2691</v>
      </c>
      <c r="H312" s="3" t="s">
        <v>3855</v>
      </c>
      <c r="I312" s="3" t="s">
        <v>1792</v>
      </c>
      <c r="J312" s="3">
        <f t="shared" si="32"/>
        <v>49</v>
      </c>
      <c r="K312" s="3">
        <f>IF(ISNUMBER(SEARCH("selesai",Sheet2!D312)-1),1,"")</f>
        <v>1</v>
      </c>
      <c r="L312" s="3" t="str">
        <f t="shared" si="33"/>
        <v>Rp. 9.191.360.000</v>
      </c>
      <c r="M312" s="3" t="str">
        <f t="shared" si="34"/>
        <v>Rp. 9.191.197.886</v>
      </c>
      <c r="N312" s="3" t="str">
        <f t="shared" si="35"/>
        <v> 9.191.360.000</v>
      </c>
      <c r="O312" s="3" t="str">
        <f t="shared" si="36"/>
        <v> 9.191.197.886</v>
      </c>
      <c r="P312" s="3">
        <f t="shared" si="37"/>
        <v>9191360000</v>
      </c>
      <c r="Q312" s="3">
        <f t="shared" si="38"/>
        <v>9191197886</v>
      </c>
      <c r="R312" s="3">
        <f t="shared" si="39"/>
        <v>162114</v>
      </c>
    </row>
    <row r="313" spans="1:18">
      <c r="A313" s="2">
        <v>5029097</v>
      </c>
      <c r="B313" s="3" t="s">
        <v>566</v>
      </c>
      <c r="C313" s="3" t="s">
        <v>1</v>
      </c>
      <c r="D313" s="3" t="s">
        <v>2</v>
      </c>
      <c r="E313" s="3" t="s">
        <v>2274</v>
      </c>
      <c r="F313" s="3" t="s">
        <v>875</v>
      </c>
      <c r="G313" s="3" t="s">
        <v>2697</v>
      </c>
      <c r="H313" s="3" t="s">
        <v>3856</v>
      </c>
      <c r="I313" s="3" t="s">
        <v>884</v>
      </c>
      <c r="J313" s="3">
        <f t="shared" si="32"/>
        <v>7</v>
      </c>
      <c r="K313" s="3">
        <f>IF(ISNUMBER(SEARCH("selesai",Sheet2!D313)-1),1,"")</f>
        <v>1</v>
      </c>
      <c r="L313" s="3" t="str">
        <f t="shared" si="33"/>
        <v>Rp. 1.920.000.000</v>
      </c>
      <c r="M313" s="3" t="str">
        <f t="shared" si="34"/>
        <v>Rp. 1.918.400.000</v>
      </c>
      <c r="N313" s="3" t="str">
        <f t="shared" si="35"/>
        <v> 1.920.000.000</v>
      </c>
      <c r="O313" s="3" t="str">
        <f t="shared" si="36"/>
        <v> 1.918.400.000</v>
      </c>
      <c r="P313" s="3">
        <f t="shared" si="37"/>
        <v>1920000000</v>
      </c>
      <c r="Q313" s="3">
        <f t="shared" si="38"/>
        <v>1918400000</v>
      </c>
      <c r="R313" s="3">
        <f t="shared" si="39"/>
        <v>1600000</v>
      </c>
    </row>
    <row r="314" spans="1:18">
      <c r="A314" s="2">
        <v>5027097</v>
      </c>
      <c r="B314" s="3" t="s">
        <v>568</v>
      </c>
      <c r="C314" s="3" t="s">
        <v>1</v>
      </c>
      <c r="D314" s="3" t="s">
        <v>2</v>
      </c>
      <c r="E314" s="3" t="s">
        <v>876</v>
      </c>
      <c r="F314" s="3" t="s">
        <v>919</v>
      </c>
      <c r="G314" s="3" t="s">
        <v>2703</v>
      </c>
      <c r="H314" s="3" t="s">
        <v>3857</v>
      </c>
      <c r="I314" s="3" t="s">
        <v>1138</v>
      </c>
      <c r="J314" s="3">
        <f t="shared" si="32"/>
        <v>22</v>
      </c>
      <c r="K314" s="3">
        <f>IF(ISNUMBER(SEARCH("selesai",Sheet2!D314)-1),1,"")</f>
        <v>1</v>
      </c>
      <c r="L314" s="3" t="str">
        <f t="shared" si="33"/>
        <v>Rp. 1.406.500.000</v>
      </c>
      <c r="M314" s="3" t="str">
        <f t="shared" si="34"/>
        <v>Rp. 1.401.751.416</v>
      </c>
      <c r="N314" s="3" t="str">
        <f t="shared" si="35"/>
        <v> 1.406.500.000</v>
      </c>
      <c r="O314" s="3" t="str">
        <f t="shared" si="36"/>
        <v> 1.401.751.416</v>
      </c>
      <c r="P314" s="3">
        <f t="shared" si="37"/>
        <v>1406500000</v>
      </c>
      <c r="Q314" s="3">
        <f t="shared" si="38"/>
        <v>1401751416</v>
      </c>
      <c r="R314" s="3">
        <f t="shared" si="39"/>
        <v>4748584</v>
      </c>
    </row>
    <row r="315" spans="1:18">
      <c r="A315" s="2">
        <v>5023097</v>
      </c>
      <c r="B315" s="3" t="s">
        <v>569</v>
      </c>
      <c r="C315" s="3" t="s">
        <v>1</v>
      </c>
      <c r="D315" s="3" t="s">
        <v>2</v>
      </c>
      <c r="E315" s="3" t="s">
        <v>876</v>
      </c>
      <c r="F315" s="3" t="s">
        <v>875</v>
      </c>
      <c r="G315" s="3" t="s">
        <v>2709</v>
      </c>
      <c r="H315" s="3" t="s">
        <v>3858</v>
      </c>
      <c r="I315" s="3" t="s">
        <v>947</v>
      </c>
      <c r="J315" s="3">
        <f t="shared" si="32"/>
        <v>37</v>
      </c>
      <c r="K315" s="3">
        <f>IF(ISNUMBER(SEARCH("selesai",Sheet2!D315)-1),1,"")</f>
        <v>1</v>
      </c>
      <c r="L315" s="3" t="str">
        <f t="shared" si="33"/>
        <v>Rp. 280.000.000</v>
      </c>
      <c r="M315" s="3" t="str">
        <f t="shared" si="34"/>
        <v>Rp. 278.300.000</v>
      </c>
      <c r="N315" s="3" t="str">
        <f t="shared" si="35"/>
        <v> 280.000.000</v>
      </c>
      <c r="O315" s="3" t="str">
        <f t="shared" si="36"/>
        <v> 278.300.000</v>
      </c>
      <c r="P315" s="3">
        <f t="shared" si="37"/>
        <v>280000000</v>
      </c>
      <c r="Q315" s="3">
        <f t="shared" si="38"/>
        <v>278300000</v>
      </c>
      <c r="R315" s="3">
        <f t="shared" si="39"/>
        <v>1700000</v>
      </c>
    </row>
    <row r="316" spans="1:18">
      <c r="A316" s="2">
        <v>5021097</v>
      </c>
      <c r="B316" s="3" t="s">
        <v>572</v>
      </c>
      <c r="C316" s="3" t="s">
        <v>1</v>
      </c>
      <c r="D316" s="3" t="s">
        <v>7</v>
      </c>
      <c r="E316" s="3" t="s">
        <v>876</v>
      </c>
      <c r="F316" s="3" t="s">
        <v>919</v>
      </c>
      <c r="G316" s="3" t="s">
        <v>2715</v>
      </c>
      <c r="H316" s="3" t="s">
        <v>3859</v>
      </c>
      <c r="I316" s="3" t="s">
        <v>1138</v>
      </c>
      <c r="J316" s="3">
        <f t="shared" si="32"/>
        <v>22</v>
      </c>
      <c r="K316" s="3" t="str">
        <f>IF(ISNUMBER(SEARCH("selesai",Sheet2!D316)-1),1,"")</f>
        <v/>
      </c>
      <c r="L316" s="3" t="str">
        <f t="shared" si="33"/>
        <v>Rp. 12.139.506.000</v>
      </c>
      <c r="M316" s="3" t="str">
        <f t="shared" si="34"/>
        <v>Rp. 12.139.395.227</v>
      </c>
      <c r="N316" s="3" t="str">
        <f t="shared" si="35"/>
        <v> 12.139.506.000</v>
      </c>
      <c r="O316" s="3" t="str">
        <f t="shared" si="36"/>
        <v> 12.139.395.227</v>
      </c>
      <c r="P316" s="3">
        <f t="shared" si="37"/>
        <v>12139506000</v>
      </c>
      <c r="Q316" s="3">
        <f t="shared" si="38"/>
        <v>12139395227</v>
      </c>
      <c r="R316" s="3">
        <f t="shared" si="39"/>
        <v>110773</v>
      </c>
    </row>
    <row r="317" spans="1:18">
      <c r="A317" s="2">
        <v>5015097</v>
      </c>
      <c r="B317" s="3" t="s">
        <v>573</v>
      </c>
      <c r="C317" s="3" t="s">
        <v>1</v>
      </c>
      <c r="D317" s="3" t="s">
        <v>2</v>
      </c>
      <c r="E317" s="3" t="s">
        <v>1033</v>
      </c>
      <c r="F317" s="3" t="s">
        <v>875</v>
      </c>
      <c r="G317" s="3" t="s">
        <v>2721</v>
      </c>
      <c r="H317" s="3" t="s">
        <v>3860</v>
      </c>
      <c r="I317" s="3" t="s">
        <v>1672</v>
      </c>
      <c r="J317" s="3">
        <f t="shared" si="32"/>
        <v>16</v>
      </c>
      <c r="K317" s="3">
        <f>IF(ISNUMBER(SEARCH("selesai",Sheet2!D317)-1),1,"")</f>
        <v>1</v>
      </c>
      <c r="L317" s="3" t="str">
        <f t="shared" si="33"/>
        <v>Rp. 695.250.000</v>
      </c>
      <c r="M317" s="3" t="str">
        <f t="shared" si="34"/>
        <v>Rp. 673.120.250</v>
      </c>
      <c r="N317" s="3" t="str">
        <f t="shared" si="35"/>
        <v> 695.250.000</v>
      </c>
      <c r="O317" s="3" t="str">
        <f t="shared" si="36"/>
        <v> 673.120.250</v>
      </c>
      <c r="P317" s="3">
        <f t="shared" si="37"/>
        <v>695250000</v>
      </c>
      <c r="Q317" s="3">
        <f t="shared" si="38"/>
        <v>673120250</v>
      </c>
      <c r="R317" s="3">
        <f t="shared" si="39"/>
        <v>22129750</v>
      </c>
    </row>
    <row r="318" spans="1:18">
      <c r="A318" s="2">
        <v>5014097</v>
      </c>
      <c r="B318" s="3" t="s">
        <v>575</v>
      </c>
      <c r="C318" s="3" t="s">
        <v>1</v>
      </c>
      <c r="D318" s="3" t="s">
        <v>2</v>
      </c>
      <c r="E318" s="3" t="s">
        <v>876</v>
      </c>
      <c r="F318" s="3" t="s">
        <v>1097</v>
      </c>
      <c r="G318" s="3" t="s">
        <v>1491</v>
      </c>
      <c r="H318" s="3" t="s">
        <v>3861</v>
      </c>
      <c r="I318" s="3" t="s">
        <v>1151</v>
      </c>
      <c r="J318" s="3">
        <f t="shared" si="32"/>
        <v>21</v>
      </c>
      <c r="K318" s="3">
        <f>IF(ISNUMBER(SEARCH("selesai",Sheet2!D318)-1),1,"")</f>
        <v>1</v>
      </c>
      <c r="L318" s="3" t="str">
        <f t="shared" si="33"/>
        <v>Rp. 150.000.000</v>
      </c>
      <c r="M318" s="3" t="str">
        <f t="shared" si="34"/>
        <v>Rp. 149.999.850</v>
      </c>
      <c r="N318" s="3" t="str">
        <f t="shared" si="35"/>
        <v> 150.000.000</v>
      </c>
      <c r="O318" s="3" t="str">
        <f t="shared" si="36"/>
        <v> 149.999.850</v>
      </c>
      <c r="P318" s="3">
        <f t="shared" si="37"/>
        <v>150000000</v>
      </c>
      <c r="Q318" s="3">
        <f t="shared" si="38"/>
        <v>149999850</v>
      </c>
      <c r="R318" s="3">
        <f t="shared" si="39"/>
        <v>150</v>
      </c>
    </row>
    <row r="319" spans="1:18">
      <c r="A319" s="2">
        <v>5013097</v>
      </c>
      <c r="B319" s="3" t="s">
        <v>577</v>
      </c>
      <c r="C319" s="3" t="s">
        <v>1</v>
      </c>
      <c r="D319" s="3" t="s">
        <v>2</v>
      </c>
      <c r="E319" s="3" t="s">
        <v>876</v>
      </c>
      <c r="F319" s="3" t="s">
        <v>1097</v>
      </c>
      <c r="G319" s="3" t="s">
        <v>1157</v>
      </c>
      <c r="H319" s="3" t="s">
        <v>3862</v>
      </c>
      <c r="I319" s="3" t="s">
        <v>1177</v>
      </c>
      <c r="J319" s="3">
        <f t="shared" si="32"/>
        <v>24</v>
      </c>
      <c r="K319" s="3">
        <f>IF(ISNUMBER(SEARCH("selesai",Sheet2!D319)-1),1,"")</f>
        <v>1</v>
      </c>
      <c r="L319" s="3" t="str">
        <f t="shared" si="33"/>
        <v>Rp. 500.000.000</v>
      </c>
      <c r="M319" s="3" t="str">
        <f t="shared" si="34"/>
        <v>Rp. 499.999.500</v>
      </c>
      <c r="N319" s="3" t="str">
        <f t="shared" si="35"/>
        <v> 500.000.000</v>
      </c>
      <c r="O319" s="3" t="str">
        <f t="shared" si="36"/>
        <v> 499.999.500</v>
      </c>
      <c r="P319" s="3">
        <f t="shared" si="37"/>
        <v>500000000</v>
      </c>
      <c r="Q319" s="3">
        <f t="shared" si="38"/>
        <v>499999500</v>
      </c>
      <c r="R319" s="3">
        <f t="shared" si="39"/>
        <v>500</v>
      </c>
    </row>
    <row r="320" spans="1:18">
      <c r="A320" s="2">
        <v>5012097</v>
      </c>
      <c r="B320" s="3" t="s">
        <v>579</v>
      </c>
      <c r="C320" s="3" t="s">
        <v>1</v>
      </c>
      <c r="D320" s="3" t="s">
        <v>2</v>
      </c>
      <c r="E320" s="3" t="s">
        <v>876</v>
      </c>
      <c r="F320" s="3" t="s">
        <v>1097</v>
      </c>
      <c r="G320" s="3" t="s">
        <v>2737</v>
      </c>
      <c r="H320" s="3" t="s">
        <v>3863</v>
      </c>
      <c r="I320" s="3" t="s">
        <v>1158</v>
      </c>
      <c r="J320" s="3">
        <f t="shared" si="32"/>
        <v>20</v>
      </c>
      <c r="K320" s="3">
        <f>IF(ISNUMBER(SEARCH("selesai",Sheet2!D320)-1),1,"")</f>
        <v>1</v>
      </c>
      <c r="L320" s="3" t="str">
        <f t="shared" si="33"/>
        <v>Rp. 170.000.000</v>
      </c>
      <c r="M320" s="3" t="str">
        <f t="shared" si="34"/>
        <v>Rp. 169.999.500</v>
      </c>
      <c r="N320" s="3" t="str">
        <f t="shared" si="35"/>
        <v> 170.000.000</v>
      </c>
      <c r="O320" s="3" t="str">
        <f t="shared" si="36"/>
        <v> 169.999.500</v>
      </c>
      <c r="P320" s="3">
        <f t="shared" si="37"/>
        <v>170000000</v>
      </c>
      <c r="Q320" s="3">
        <f t="shared" si="38"/>
        <v>169999500</v>
      </c>
      <c r="R320" s="3">
        <f t="shared" si="39"/>
        <v>500</v>
      </c>
    </row>
    <row r="321" spans="1:18">
      <c r="A321" s="2">
        <v>5010097</v>
      </c>
      <c r="B321" s="3" t="s">
        <v>581</v>
      </c>
      <c r="C321" s="3" t="s">
        <v>1</v>
      </c>
      <c r="D321" s="3" t="s">
        <v>2</v>
      </c>
      <c r="E321" s="3" t="s">
        <v>876</v>
      </c>
      <c r="F321" s="3" t="s">
        <v>919</v>
      </c>
      <c r="G321" s="3" t="s">
        <v>1032</v>
      </c>
      <c r="H321" s="3" t="s">
        <v>3864</v>
      </c>
      <c r="I321" s="3" t="s">
        <v>1342</v>
      </c>
      <c r="J321" s="3">
        <f t="shared" si="32"/>
        <v>44</v>
      </c>
      <c r="K321" s="3">
        <f>IF(ISNUMBER(SEARCH("selesai",Sheet2!D321)-1),1,"")</f>
        <v>1</v>
      </c>
      <c r="L321" s="3" t="str">
        <f t="shared" si="33"/>
        <v>Rp. 800.000.000</v>
      </c>
      <c r="M321" s="3" t="str">
        <f t="shared" si="34"/>
        <v>Rp. 799.799.683</v>
      </c>
      <c r="N321" s="3" t="str">
        <f t="shared" si="35"/>
        <v> 800.000.000</v>
      </c>
      <c r="O321" s="3" t="str">
        <f t="shared" si="36"/>
        <v> 799.799.683</v>
      </c>
      <c r="P321" s="3">
        <f t="shared" si="37"/>
        <v>800000000</v>
      </c>
      <c r="Q321" s="3">
        <f t="shared" si="38"/>
        <v>799799683</v>
      </c>
      <c r="R321" s="3">
        <f t="shared" si="39"/>
        <v>200317</v>
      </c>
    </row>
    <row r="322" spans="1:18">
      <c r="A322" s="2">
        <v>5009097</v>
      </c>
      <c r="B322" s="3" t="s">
        <v>583</v>
      </c>
      <c r="C322" s="3" t="s">
        <v>1</v>
      </c>
      <c r="D322" s="3" t="s">
        <v>76</v>
      </c>
      <c r="E322" s="3" t="s">
        <v>876</v>
      </c>
      <c r="F322" s="3" t="s">
        <v>1097</v>
      </c>
      <c r="G322" s="3" t="s">
        <v>1164</v>
      </c>
      <c r="H322" s="3" t="s">
        <v>3845</v>
      </c>
      <c r="I322" s="3" t="s">
        <v>966</v>
      </c>
      <c r="J322" s="3">
        <f t="shared" si="32"/>
        <v>25</v>
      </c>
      <c r="K322" s="3" t="str">
        <f>IF(ISNUMBER(SEARCH("selesai",Sheet2!D322)-1),1,"")</f>
        <v/>
      </c>
      <c r="L322" s="3" t="str">
        <f t="shared" si="33"/>
        <v>Rp. 1.000.000.000</v>
      </c>
      <c r="M322" s="3" t="str">
        <f t="shared" si="34"/>
        <v>Rp. 998.074.000</v>
      </c>
      <c r="N322" s="3" t="str">
        <f t="shared" si="35"/>
        <v> 1.000.000.000</v>
      </c>
      <c r="O322" s="3" t="str">
        <f t="shared" si="36"/>
        <v> 998.074.000</v>
      </c>
      <c r="P322" s="3">
        <f t="shared" si="37"/>
        <v>1000000000</v>
      </c>
      <c r="Q322" s="3">
        <f t="shared" si="38"/>
        <v>998074000</v>
      </c>
      <c r="R322" s="3">
        <f t="shared" si="39"/>
        <v>1926000</v>
      </c>
    </row>
    <row r="323" spans="1:18">
      <c r="A323" s="2">
        <v>5008097</v>
      </c>
      <c r="B323" s="3" t="s">
        <v>584</v>
      </c>
      <c r="C323" s="3" t="s">
        <v>1</v>
      </c>
      <c r="D323" s="3" t="s">
        <v>76</v>
      </c>
      <c r="E323" s="3" t="s">
        <v>876</v>
      </c>
      <c r="F323" s="3" t="s">
        <v>1097</v>
      </c>
      <c r="G323" s="3" t="s">
        <v>1164</v>
      </c>
      <c r="H323" s="3" t="s">
        <v>3845</v>
      </c>
      <c r="I323" s="3" t="s">
        <v>1096</v>
      </c>
      <c r="J323" s="3">
        <f t="shared" ref="J323:J386" si="40">VALUE(SUBSTITUTE(I323,"peserta",""))</f>
        <v>28</v>
      </c>
      <c r="K323" s="3" t="str">
        <f>IF(ISNUMBER(SEARCH("selesai",Sheet2!D323)-1),1,"")</f>
        <v/>
      </c>
      <c r="L323" s="3" t="str">
        <f t="shared" ref="L323:L386" si="41">LEFT(G323,SEARCH(",",G323)-1)</f>
        <v>Rp. 1.000.000.000</v>
      </c>
      <c r="M323" s="3" t="str">
        <f t="shared" ref="M323:M386" si="42">LEFT(H323,SEARCH(",",H323)-1)</f>
        <v>Rp. 998.074.000</v>
      </c>
      <c r="N323" s="3" t="str">
        <f t="shared" ref="N323:N386" si="43">SUBSTITUTE(L323,"Rp.","")</f>
        <v> 1.000.000.000</v>
      </c>
      <c r="O323" s="3" t="str">
        <f t="shared" ref="O323:O386" si="44">SUBSTITUTE(M323,"Rp.","")</f>
        <v> 998.074.000</v>
      </c>
      <c r="P323" s="3">
        <f t="shared" ref="P323:P386" si="45">VALUE(SUBSTITUTE(N323,".",""))</f>
        <v>1000000000</v>
      </c>
      <c r="Q323" s="3">
        <f t="shared" ref="Q323:Q386" si="46">VALUE(SUBSTITUTE(O323,".",""))</f>
        <v>998074000</v>
      </c>
      <c r="R323" s="3">
        <f t="shared" ref="R323:R386" si="47">ABS(P323-Q323)</f>
        <v>1926000</v>
      </c>
    </row>
    <row r="324" spans="1:18">
      <c r="A324" s="2">
        <v>5007097</v>
      </c>
      <c r="B324" s="3" t="s">
        <v>585</v>
      </c>
      <c r="C324" s="3" t="s">
        <v>1</v>
      </c>
      <c r="D324" s="3" t="s">
        <v>7</v>
      </c>
      <c r="E324" s="3" t="s">
        <v>876</v>
      </c>
      <c r="F324" s="3" t="s">
        <v>919</v>
      </c>
      <c r="G324" s="3" t="s">
        <v>2070</v>
      </c>
      <c r="H324" s="3" t="s">
        <v>3785</v>
      </c>
      <c r="I324" s="3" t="s">
        <v>2559</v>
      </c>
      <c r="J324" s="3">
        <f t="shared" si="40"/>
        <v>52</v>
      </c>
      <c r="K324" s="3" t="str">
        <f>IF(ISNUMBER(SEARCH("selesai",Sheet2!D324)-1),1,"")</f>
        <v/>
      </c>
      <c r="L324" s="3" t="str">
        <f t="shared" si="41"/>
        <v>Rp. 9.411.000.000</v>
      </c>
      <c r="M324" s="3" t="str">
        <f t="shared" si="42"/>
        <v>Rp. 9.410.946.143</v>
      </c>
      <c r="N324" s="3" t="str">
        <f t="shared" si="43"/>
        <v> 9.411.000.000</v>
      </c>
      <c r="O324" s="3" t="str">
        <f t="shared" si="44"/>
        <v> 9.410.946.143</v>
      </c>
      <c r="P324" s="3">
        <f t="shared" si="45"/>
        <v>9411000000</v>
      </c>
      <c r="Q324" s="3">
        <f t="shared" si="46"/>
        <v>9410946143</v>
      </c>
      <c r="R324" s="3">
        <f t="shared" si="47"/>
        <v>53857</v>
      </c>
    </row>
    <row r="325" spans="1:18">
      <c r="A325" s="2">
        <v>5001097</v>
      </c>
      <c r="B325" s="3" t="s">
        <v>586</v>
      </c>
      <c r="C325" s="3" t="s">
        <v>1</v>
      </c>
      <c r="D325" s="3" t="s">
        <v>76</v>
      </c>
      <c r="E325" s="3" t="s">
        <v>876</v>
      </c>
      <c r="F325" s="3" t="s">
        <v>1097</v>
      </c>
      <c r="G325" s="3" t="s">
        <v>897</v>
      </c>
      <c r="H325" s="3" t="s">
        <v>3837</v>
      </c>
      <c r="I325" s="3" t="s">
        <v>1158</v>
      </c>
      <c r="J325" s="3">
        <f t="shared" si="40"/>
        <v>20</v>
      </c>
      <c r="K325" s="3" t="str">
        <f>IF(ISNUMBER(SEARCH("selesai",Sheet2!D325)-1),1,"")</f>
        <v/>
      </c>
      <c r="L325" s="3" t="str">
        <f t="shared" si="41"/>
        <v>Rp. 350.000.000</v>
      </c>
      <c r="M325" s="3" t="str">
        <f t="shared" si="42"/>
        <v>Rp. 349.999.650</v>
      </c>
      <c r="N325" s="3" t="str">
        <f t="shared" si="43"/>
        <v> 350.000.000</v>
      </c>
      <c r="O325" s="3" t="str">
        <f t="shared" si="44"/>
        <v> 349.999.650</v>
      </c>
      <c r="P325" s="3">
        <f t="shared" si="45"/>
        <v>350000000</v>
      </c>
      <c r="Q325" s="3">
        <f t="shared" si="46"/>
        <v>349999650</v>
      </c>
      <c r="R325" s="3">
        <f t="shared" si="47"/>
        <v>350</v>
      </c>
    </row>
    <row r="326" spans="1:18">
      <c r="A326" s="2">
        <v>5000097</v>
      </c>
      <c r="B326" s="3" t="s">
        <v>587</v>
      </c>
      <c r="C326" s="3" t="s">
        <v>1</v>
      </c>
      <c r="D326" s="3" t="s">
        <v>2</v>
      </c>
      <c r="E326" s="3" t="s">
        <v>876</v>
      </c>
      <c r="F326" s="3" t="s">
        <v>919</v>
      </c>
      <c r="G326" s="3" t="s">
        <v>2768</v>
      </c>
      <c r="H326" s="3" t="s">
        <v>2768</v>
      </c>
      <c r="I326" s="3" t="s">
        <v>1298</v>
      </c>
      <c r="J326" s="3">
        <f t="shared" si="40"/>
        <v>45</v>
      </c>
      <c r="K326" s="3">
        <f>IF(ISNUMBER(SEARCH("selesai",Sheet2!D326)-1),1,"")</f>
        <v>1</v>
      </c>
      <c r="L326" s="3" t="str">
        <f t="shared" si="41"/>
        <v>Rp. 1.312.600.000</v>
      </c>
      <c r="M326" s="3" t="str">
        <f t="shared" si="42"/>
        <v>Rp. 1.312.600.000</v>
      </c>
      <c r="N326" s="3" t="str">
        <f t="shared" si="43"/>
        <v> 1.312.600.000</v>
      </c>
      <c r="O326" s="3" t="str">
        <f t="shared" si="44"/>
        <v> 1.312.600.000</v>
      </c>
      <c r="P326" s="3">
        <f t="shared" si="45"/>
        <v>1312600000</v>
      </c>
      <c r="Q326" s="3">
        <f t="shared" si="46"/>
        <v>1312600000</v>
      </c>
      <c r="R326" s="3">
        <f t="shared" si="47"/>
        <v>0</v>
      </c>
    </row>
    <row r="327" spans="1:18">
      <c r="A327" s="2">
        <v>4999097</v>
      </c>
      <c r="B327" s="3" t="s">
        <v>588</v>
      </c>
      <c r="C327" s="3" t="s">
        <v>1</v>
      </c>
      <c r="D327" s="3" t="s">
        <v>2</v>
      </c>
      <c r="E327" s="3" t="s">
        <v>876</v>
      </c>
      <c r="F327" s="3" t="s">
        <v>919</v>
      </c>
      <c r="G327" s="3" t="s">
        <v>897</v>
      </c>
      <c r="H327" s="3" t="s">
        <v>897</v>
      </c>
      <c r="I327" s="3" t="s">
        <v>2774</v>
      </c>
      <c r="J327" s="3">
        <f t="shared" si="40"/>
        <v>40</v>
      </c>
      <c r="K327" s="3">
        <f>IF(ISNUMBER(SEARCH("selesai",Sheet2!D327)-1),1,"")</f>
        <v>1</v>
      </c>
      <c r="L327" s="3" t="str">
        <f t="shared" si="41"/>
        <v>Rp. 350.000.000</v>
      </c>
      <c r="M327" s="3" t="str">
        <f t="shared" si="42"/>
        <v>Rp. 350.000.000</v>
      </c>
      <c r="N327" s="3" t="str">
        <f t="shared" si="43"/>
        <v> 350.000.000</v>
      </c>
      <c r="O327" s="3" t="str">
        <f t="shared" si="44"/>
        <v> 350.000.000</v>
      </c>
      <c r="P327" s="3">
        <f t="shared" si="45"/>
        <v>350000000</v>
      </c>
      <c r="Q327" s="3">
        <f t="shared" si="46"/>
        <v>350000000</v>
      </c>
      <c r="R327" s="3">
        <f t="shared" si="47"/>
        <v>0</v>
      </c>
    </row>
    <row r="328" spans="1:18">
      <c r="A328" s="2">
        <v>4997097</v>
      </c>
      <c r="B328" s="3" t="s">
        <v>589</v>
      </c>
      <c r="C328" s="3" t="s">
        <v>1</v>
      </c>
      <c r="D328" s="3" t="s">
        <v>2</v>
      </c>
      <c r="E328" s="3" t="s">
        <v>876</v>
      </c>
      <c r="F328" s="3" t="s">
        <v>875</v>
      </c>
      <c r="G328" s="3" t="s">
        <v>2780</v>
      </c>
      <c r="H328" s="3" t="s">
        <v>3865</v>
      </c>
      <c r="I328" s="3" t="s">
        <v>1056</v>
      </c>
      <c r="J328" s="3">
        <f t="shared" si="40"/>
        <v>11</v>
      </c>
      <c r="K328" s="3">
        <f>IF(ISNUMBER(SEARCH("selesai",Sheet2!D328)-1),1,"")</f>
        <v>1</v>
      </c>
      <c r="L328" s="3" t="str">
        <f t="shared" si="41"/>
        <v>Rp. 1.882.351.600</v>
      </c>
      <c r="M328" s="3" t="str">
        <f t="shared" si="42"/>
        <v>Rp. 1.882.351.200</v>
      </c>
      <c r="N328" s="3" t="str">
        <f t="shared" si="43"/>
        <v> 1.882.351.600</v>
      </c>
      <c r="O328" s="3" t="str">
        <f t="shared" si="44"/>
        <v> 1.882.351.200</v>
      </c>
      <c r="P328" s="3">
        <f t="shared" si="45"/>
        <v>1882351600</v>
      </c>
      <c r="Q328" s="3">
        <f t="shared" si="46"/>
        <v>1882351200</v>
      </c>
      <c r="R328" s="3">
        <f t="shared" si="47"/>
        <v>400</v>
      </c>
    </row>
    <row r="329" spans="1:18">
      <c r="A329" s="2">
        <v>4986097</v>
      </c>
      <c r="B329" s="3" t="s">
        <v>591</v>
      </c>
      <c r="C329" s="3" t="s">
        <v>1</v>
      </c>
      <c r="D329" s="3" t="s">
        <v>7</v>
      </c>
      <c r="E329" s="3" t="s">
        <v>876</v>
      </c>
      <c r="F329" s="3" t="s">
        <v>919</v>
      </c>
      <c r="G329" s="3" t="s">
        <v>1762</v>
      </c>
      <c r="H329" s="3" t="s">
        <v>3753</v>
      </c>
      <c r="I329" s="3" t="s">
        <v>2071</v>
      </c>
      <c r="J329" s="3">
        <f t="shared" si="40"/>
        <v>74</v>
      </c>
      <c r="K329" s="3" t="str">
        <f>IF(ISNUMBER(SEARCH("selesai",Sheet2!D329)-1),1,"")</f>
        <v/>
      </c>
      <c r="L329" s="3" t="str">
        <f t="shared" si="41"/>
        <v>Rp. 9.397.000.000</v>
      </c>
      <c r="M329" s="3" t="str">
        <f t="shared" si="42"/>
        <v>Rp. 9.396.935.610</v>
      </c>
      <c r="N329" s="3" t="str">
        <f t="shared" si="43"/>
        <v> 9.397.000.000</v>
      </c>
      <c r="O329" s="3" t="str">
        <f t="shared" si="44"/>
        <v> 9.396.935.610</v>
      </c>
      <c r="P329" s="3">
        <f t="shared" si="45"/>
        <v>9397000000</v>
      </c>
      <c r="Q329" s="3">
        <f t="shared" si="46"/>
        <v>9396935610</v>
      </c>
      <c r="R329" s="3">
        <f t="shared" si="47"/>
        <v>64390</v>
      </c>
    </row>
    <row r="330" spans="1:18">
      <c r="A330" s="2">
        <v>4984097</v>
      </c>
      <c r="B330" s="3" t="s">
        <v>592</v>
      </c>
      <c r="C330" s="3" t="s">
        <v>1</v>
      </c>
      <c r="D330" s="3" t="s">
        <v>76</v>
      </c>
      <c r="E330" s="3" t="s">
        <v>876</v>
      </c>
      <c r="F330" s="3" t="s">
        <v>1097</v>
      </c>
      <c r="G330" s="3" t="s">
        <v>1103</v>
      </c>
      <c r="H330" s="3" t="s">
        <v>3821</v>
      </c>
      <c r="I330" s="3" t="s">
        <v>1235</v>
      </c>
      <c r="J330" s="3">
        <f t="shared" si="40"/>
        <v>14</v>
      </c>
      <c r="K330" s="3" t="str">
        <f>IF(ISNUMBER(SEARCH("selesai",Sheet2!D330)-1),1,"")</f>
        <v/>
      </c>
      <c r="L330" s="3" t="str">
        <f t="shared" si="41"/>
        <v>Rp. 200.000.000</v>
      </c>
      <c r="M330" s="3" t="str">
        <f t="shared" si="42"/>
        <v>Rp. 199.265.000</v>
      </c>
      <c r="N330" s="3" t="str">
        <f t="shared" si="43"/>
        <v> 200.000.000</v>
      </c>
      <c r="O330" s="3" t="str">
        <f t="shared" si="44"/>
        <v> 199.265.000</v>
      </c>
      <c r="P330" s="3">
        <f t="shared" si="45"/>
        <v>200000000</v>
      </c>
      <c r="Q330" s="3">
        <f t="shared" si="46"/>
        <v>199265000</v>
      </c>
      <c r="R330" s="3">
        <f t="shared" si="47"/>
        <v>735000</v>
      </c>
    </row>
    <row r="331" spans="1:18">
      <c r="A331" s="2">
        <v>4981097</v>
      </c>
      <c r="B331" s="3" t="s">
        <v>593</v>
      </c>
      <c r="C331" s="3" t="s">
        <v>1</v>
      </c>
      <c r="D331" s="3" t="s">
        <v>2</v>
      </c>
      <c r="E331" s="3" t="s">
        <v>876</v>
      </c>
      <c r="F331" s="3" t="s">
        <v>919</v>
      </c>
      <c r="G331" s="3" t="s">
        <v>2796</v>
      </c>
      <c r="H331" s="3" t="s">
        <v>3866</v>
      </c>
      <c r="I331" s="3" t="s">
        <v>1126</v>
      </c>
      <c r="J331" s="3">
        <f t="shared" si="40"/>
        <v>23</v>
      </c>
      <c r="K331" s="3">
        <f>IF(ISNUMBER(SEARCH("selesai",Sheet2!D331)-1),1,"")</f>
        <v>1</v>
      </c>
      <c r="L331" s="3" t="str">
        <f t="shared" si="41"/>
        <v>Rp. 342.022.500</v>
      </c>
      <c r="M331" s="3" t="str">
        <f t="shared" si="42"/>
        <v>Rp. 342.000.788</v>
      </c>
      <c r="N331" s="3" t="str">
        <f t="shared" si="43"/>
        <v> 342.022.500</v>
      </c>
      <c r="O331" s="3" t="str">
        <f t="shared" si="44"/>
        <v> 342.000.788</v>
      </c>
      <c r="P331" s="3">
        <f t="shared" si="45"/>
        <v>342022500</v>
      </c>
      <c r="Q331" s="3">
        <f t="shared" si="46"/>
        <v>342000788</v>
      </c>
      <c r="R331" s="3">
        <f t="shared" si="47"/>
        <v>21712</v>
      </c>
    </row>
    <row r="332" spans="1:18">
      <c r="A332" s="2">
        <v>4980097</v>
      </c>
      <c r="B332" s="3" t="s">
        <v>595</v>
      </c>
      <c r="C332" s="3" t="s">
        <v>1</v>
      </c>
      <c r="D332" s="3" t="s">
        <v>2</v>
      </c>
      <c r="E332" s="3" t="s">
        <v>876</v>
      </c>
      <c r="F332" s="3" t="s">
        <v>919</v>
      </c>
      <c r="G332" s="3" t="s">
        <v>2796</v>
      </c>
      <c r="H332" s="3" t="s">
        <v>3866</v>
      </c>
      <c r="I332" s="3" t="s">
        <v>918</v>
      </c>
      <c r="J332" s="3">
        <f t="shared" si="40"/>
        <v>19</v>
      </c>
      <c r="K332" s="3">
        <f>IF(ISNUMBER(SEARCH("selesai",Sheet2!D332)-1),1,"")</f>
        <v>1</v>
      </c>
      <c r="L332" s="3" t="str">
        <f t="shared" si="41"/>
        <v>Rp. 342.022.500</v>
      </c>
      <c r="M332" s="3" t="str">
        <f t="shared" si="42"/>
        <v>Rp. 342.000.788</v>
      </c>
      <c r="N332" s="3" t="str">
        <f t="shared" si="43"/>
        <v> 342.022.500</v>
      </c>
      <c r="O332" s="3" t="str">
        <f t="shared" si="44"/>
        <v> 342.000.788</v>
      </c>
      <c r="P332" s="3">
        <f t="shared" si="45"/>
        <v>342022500</v>
      </c>
      <c r="Q332" s="3">
        <f t="shared" si="46"/>
        <v>342000788</v>
      </c>
      <c r="R332" s="3">
        <f t="shared" si="47"/>
        <v>21712</v>
      </c>
    </row>
    <row r="333" spans="1:18">
      <c r="A333" s="2">
        <v>4978097</v>
      </c>
      <c r="B333" s="3" t="s">
        <v>596</v>
      </c>
      <c r="C333" s="3" t="s">
        <v>1</v>
      </c>
      <c r="D333" s="3" t="s">
        <v>76</v>
      </c>
      <c r="E333" s="3" t="s">
        <v>876</v>
      </c>
      <c r="F333" s="3" t="s">
        <v>1097</v>
      </c>
      <c r="G333" s="3" t="s">
        <v>1274</v>
      </c>
      <c r="H333" s="3" t="s">
        <v>3867</v>
      </c>
      <c r="I333" s="3" t="s">
        <v>1672</v>
      </c>
      <c r="J333" s="3">
        <f t="shared" si="40"/>
        <v>16</v>
      </c>
      <c r="K333" s="3" t="str">
        <f>IF(ISNUMBER(SEARCH("selesai",Sheet2!D333)-1),1,"")</f>
        <v/>
      </c>
      <c r="L333" s="3" t="str">
        <f t="shared" si="41"/>
        <v>Rp. 750.000.000</v>
      </c>
      <c r="M333" s="3" t="str">
        <f t="shared" si="42"/>
        <v>Rp. 747.945.000</v>
      </c>
      <c r="N333" s="3" t="str">
        <f t="shared" si="43"/>
        <v> 750.000.000</v>
      </c>
      <c r="O333" s="3" t="str">
        <f t="shared" si="44"/>
        <v> 747.945.000</v>
      </c>
      <c r="P333" s="3">
        <f t="shared" si="45"/>
        <v>750000000</v>
      </c>
      <c r="Q333" s="3">
        <f t="shared" si="46"/>
        <v>747945000</v>
      </c>
      <c r="R333" s="3">
        <f t="shared" si="47"/>
        <v>2055000</v>
      </c>
    </row>
    <row r="334" spans="1:18">
      <c r="A334" s="2">
        <v>4977097</v>
      </c>
      <c r="B334" s="3" t="s">
        <v>598</v>
      </c>
      <c r="C334" s="3" t="s">
        <v>1</v>
      </c>
      <c r="D334" s="3" t="s">
        <v>2</v>
      </c>
      <c r="E334" s="3" t="s">
        <v>876</v>
      </c>
      <c r="F334" s="3" t="s">
        <v>1097</v>
      </c>
      <c r="G334" s="3" t="s">
        <v>1032</v>
      </c>
      <c r="H334" s="3" t="s">
        <v>3868</v>
      </c>
      <c r="I334" s="3" t="s">
        <v>1229</v>
      </c>
      <c r="J334" s="3">
        <f t="shared" si="40"/>
        <v>18</v>
      </c>
      <c r="K334" s="3">
        <f>IF(ISNUMBER(SEARCH("selesai",Sheet2!D334)-1),1,"")</f>
        <v>1</v>
      </c>
      <c r="L334" s="3" t="str">
        <f t="shared" si="41"/>
        <v>Rp. 800.000.000</v>
      </c>
      <c r="M334" s="3" t="str">
        <f t="shared" si="42"/>
        <v>Rp. 795.602.500</v>
      </c>
      <c r="N334" s="3" t="str">
        <f t="shared" si="43"/>
        <v> 800.000.000</v>
      </c>
      <c r="O334" s="3" t="str">
        <f t="shared" si="44"/>
        <v> 795.602.500</v>
      </c>
      <c r="P334" s="3">
        <f t="shared" si="45"/>
        <v>800000000</v>
      </c>
      <c r="Q334" s="3">
        <f t="shared" si="46"/>
        <v>795602500</v>
      </c>
      <c r="R334" s="3">
        <f t="shared" si="47"/>
        <v>4397500</v>
      </c>
    </row>
    <row r="335" spans="1:18">
      <c r="A335" s="2">
        <v>4976097</v>
      </c>
      <c r="B335" s="3" t="s">
        <v>600</v>
      </c>
      <c r="C335" s="3" t="s">
        <v>1</v>
      </c>
      <c r="D335" s="3" t="s">
        <v>7</v>
      </c>
      <c r="E335" s="3" t="s">
        <v>876</v>
      </c>
      <c r="F335" s="3" t="s">
        <v>875</v>
      </c>
      <c r="G335" s="3" t="s">
        <v>2780</v>
      </c>
      <c r="H335" s="3" t="s">
        <v>3865</v>
      </c>
      <c r="I335" s="3" t="s">
        <v>1920</v>
      </c>
      <c r="J335" s="3">
        <f t="shared" si="40"/>
        <v>3</v>
      </c>
      <c r="K335" s="3" t="str">
        <f>IF(ISNUMBER(SEARCH("selesai",Sheet2!D335)-1),1,"")</f>
        <v/>
      </c>
      <c r="L335" s="3" t="str">
        <f t="shared" si="41"/>
        <v>Rp. 1.882.351.600</v>
      </c>
      <c r="M335" s="3" t="str">
        <f t="shared" si="42"/>
        <v>Rp. 1.882.351.200</v>
      </c>
      <c r="N335" s="3" t="str">
        <f t="shared" si="43"/>
        <v> 1.882.351.600</v>
      </c>
      <c r="O335" s="3" t="str">
        <f t="shared" si="44"/>
        <v> 1.882.351.200</v>
      </c>
      <c r="P335" s="3">
        <f t="shared" si="45"/>
        <v>1882351600</v>
      </c>
      <c r="Q335" s="3">
        <f t="shared" si="46"/>
        <v>1882351200</v>
      </c>
      <c r="R335" s="3">
        <f t="shared" si="47"/>
        <v>400</v>
      </c>
    </row>
    <row r="336" spans="1:18">
      <c r="A336" s="2">
        <v>4975097</v>
      </c>
      <c r="B336" s="3" t="s">
        <v>601</v>
      </c>
      <c r="C336" s="3" t="s">
        <v>1</v>
      </c>
      <c r="D336" s="3" t="s">
        <v>2</v>
      </c>
      <c r="E336" s="3" t="s">
        <v>876</v>
      </c>
      <c r="F336" s="3" t="s">
        <v>919</v>
      </c>
      <c r="G336" s="3" t="s">
        <v>2822</v>
      </c>
      <c r="H336" s="3" t="s">
        <v>3869</v>
      </c>
      <c r="I336" s="3" t="s">
        <v>2823</v>
      </c>
      <c r="J336" s="3">
        <f t="shared" si="40"/>
        <v>82</v>
      </c>
      <c r="K336" s="3">
        <f>IF(ISNUMBER(SEARCH("selesai",Sheet2!D336)-1),1,"")</f>
        <v>1</v>
      </c>
      <c r="L336" s="3" t="str">
        <f t="shared" si="41"/>
        <v>Rp. 15.206.000.000</v>
      </c>
      <c r="M336" s="3" t="str">
        <f t="shared" si="42"/>
        <v>Rp. 15.205.926.904</v>
      </c>
      <c r="N336" s="3" t="str">
        <f t="shared" si="43"/>
        <v> 15.206.000.000</v>
      </c>
      <c r="O336" s="3" t="str">
        <f t="shared" si="44"/>
        <v> 15.205.926.904</v>
      </c>
      <c r="P336" s="3">
        <f t="shared" si="45"/>
        <v>15206000000</v>
      </c>
      <c r="Q336" s="3">
        <f t="shared" si="46"/>
        <v>15205926904</v>
      </c>
      <c r="R336" s="3">
        <f t="shared" si="47"/>
        <v>73096</v>
      </c>
    </row>
    <row r="337" spans="1:18">
      <c r="A337" s="2">
        <v>4974097</v>
      </c>
      <c r="B337" s="3" t="s">
        <v>604</v>
      </c>
      <c r="C337" s="3" t="s">
        <v>1</v>
      </c>
      <c r="D337" s="3" t="s">
        <v>2</v>
      </c>
      <c r="E337" s="3" t="s">
        <v>876</v>
      </c>
      <c r="F337" s="3" t="s">
        <v>919</v>
      </c>
      <c r="G337" s="3" t="s">
        <v>2829</v>
      </c>
      <c r="H337" s="3" t="s">
        <v>3870</v>
      </c>
      <c r="I337" s="3" t="s">
        <v>1557</v>
      </c>
      <c r="J337" s="3">
        <f t="shared" si="40"/>
        <v>63</v>
      </c>
      <c r="K337" s="3">
        <f>IF(ISNUMBER(SEARCH("selesai",Sheet2!D337)-1),1,"")</f>
        <v>1</v>
      </c>
      <c r="L337" s="3" t="str">
        <f t="shared" si="41"/>
        <v>Rp. 4.250.000.000</v>
      </c>
      <c r="M337" s="3" t="str">
        <f t="shared" si="42"/>
        <v>Rp. 4.249.979.405</v>
      </c>
      <c r="N337" s="3" t="str">
        <f t="shared" si="43"/>
        <v> 4.250.000.000</v>
      </c>
      <c r="O337" s="3" t="str">
        <f t="shared" si="44"/>
        <v> 4.249.979.405</v>
      </c>
      <c r="P337" s="3">
        <f t="shared" si="45"/>
        <v>4250000000</v>
      </c>
      <c r="Q337" s="3">
        <f t="shared" si="46"/>
        <v>4249979405</v>
      </c>
      <c r="R337" s="3">
        <f t="shared" si="47"/>
        <v>20595</v>
      </c>
    </row>
    <row r="338" spans="1:18">
      <c r="A338" s="2">
        <v>4973097</v>
      </c>
      <c r="B338" s="3" t="s">
        <v>606</v>
      </c>
      <c r="C338" s="3" t="s">
        <v>1</v>
      </c>
      <c r="D338" s="3" t="s">
        <v>2</v>
      </c>
      <c r="E338" s="3" t="s">
        <v>876</v>
      </c>
      <c r="F338" s="3" t="s">
        <v>919</v>
      </c>
      <c r="G338" s="3" t="s">
        <v>2835</v>
      </c>
      <c r="H338" s="3" t="s">
        <v>3871</v>
      </c>
      <c r="I338" s="3" t="s">
        <v>1876</v>
      </c>
      <c r="J338" s="3">
        <f t="shared" si="40"/>
        <v>83</v>
      </c>
      <c r="K338" s="3">
        <f>IF(ISNUMBER(SEARCH("selesai",Sheet2!D338)-1),1,"")</f>
        <v>1</v>
      </c>
      <c r="L338" s="3" t="str">
        <f t="shared" si="41"/>
        <v>Rp. 11.614.326.000</v>
      </c>
      <c r="M338" s="3" t="str">
        <f t="shared" si="42"/>
        <v>Rp. 11.614.239.629</v>
      </c>
      <c r="N338" s="3" t="str">
        <f t="shared" si="43"/>
        <v> 11.614.326.000</v>
      </c>
      <c r="O338" s="3" t="str">
        <f t="shared" si="44"/>
        <v> 11.614.239.629</v>
      </c>
      <c r="P338" s="3">
        <f t="shared" si="45"/>
        <v>11614326000</v>
      </c>
      <c r="Q338" s="3">
        <f t="shared" si="46"/>
        <v>11614239629</v>
      </c>
      <c r="R338" s="3">
        <f t="shared" si="47"/>
        <v>86371</v>
      </c>
    </row>
    <row r="339" spans="1:18">
      <c r="A339" s="2">
        <v>4963097</v>
      </c>
      <c r="B339" s="3" t="s">
        <v>609</v>
      </c>
      <c r="C339" s="3" t="s">
        <v>1</v>
      </c>
      <c r="D339" s="3" t="s">
        <v>7</v>
      </c>
      <c r="E339" s="3" t="s">
        <v>876</v>
      </c>
      <c r="F339" s="3" t="s">
        <v>919</v>
      </c>
      <c r="G339" s="3" t="s">
        <v>1791</v>
      </c>
      <c r="H339" s="3" t="s">
        <v>3758</v>
      </c>
      <c r="I339" s="3" t="s">
        <v>1075</v>
      </c>
      <c r="J339" s="3">
        <f t="shared" si="40"/>
        <v>42</v>
      </c>
      <c r="K339" s="3" t="str">
        <f>IF(ISNUMBER(SEARCH("selesai",Sheet2!D339)-1),1,"")</f>
        <v/>
      </c>
      <c r="L339" s="3" t="str">
        <f t="shared" si="41"/>
        <v>Rp. 6.807.000.000</v>
      </c>
      <c r="M339" s="3" t="str">
        <f t="shared" si="42"/>
        <v>Rp. 6.806.926.118</v>
      </c>
      <c r="N339" s="3" t="str">
        <f t="shared" si="43"/>
        <v> 6.807.000.000</v>
      </c>
      <c r="O339" s="3" t="str">
        <f t="shared" si="44"/>
        <v> 6.806.926.118</v>
      </c>
      <c r="P339" s="3">
        <f t="shared" si="45"/>
        <v>6807000000</v>
      </c>
      <c r="Q339" s="3">
        <f t="shared" si="46"/>
        <v>6806926118</v>
      </c>
      <c r="R339" s="3">
        <f t="shared" si="47"/>
        <v>73882</v>
      </c>
    </row>
    <row r="340" spans="1:18">
      <c r="A340" s="2">
        <v>4962097</v>
      </c>
      <c r="B340" s="3" t="s">
        <v>610</v>
      </c>
      <c r="C340" s="3" t="s">
        <v>1</v>
      </c>
      <c r="D340" s="3" t="s">
        <v>7</v>
      </c>
      <c r="E340" s="3" t="s">
        <v>2274</v>
      </c>
      <c r="F340" s="3" t="s">
        <v>875</v>
      </c>
      <c r="G340" s="3" t="s">
        <v>2697</v>
      </c>
      <c r="H340" s="3" t="s">
        <v>3856</v>
      </c>
      <c r="I340" s="3" t="s">
        <v>1920</v>
      </c>
      <c r="J340" s="3">
        <f t="shared" si="40"/>
        <v>3</v>
      </c>
      <c r="K340" s="3" t="str">
        <f>IF(ISNUMBER(SEARCH("selesai",Sheet2!D340)-1),1,"")</f>
        <v/>
      </c>
      <c r="L340" s="3" t="str">
        <f t="shared" si="41"/>
        <v>Rp. 1.920.000.000</v>
      </c>
      <c r="M340" s="3" t="str">
        <f t="shared" si="42"/>
        <v>Rp. 1.918.400.000</v>
      </c>
      <c r="N340" s="3" t="str">
        <f t="shared" si="43"/>
        <v> 1.920.000.000</v>
      </c>
      <c r="O340" s="3" t="str">
        <f t="shared" si="44"/>
        <v> 1.918.400.000</v>
      </c>
      <c r="P340" s="3">
        <f t="shared" si="45"/>
        <v>1920000000</v>
      </c>
      <c r="Q340" s="3">
        <f t="shared" si="46"/>
        <v>1918400000</v>
      </c>
      <c r="R340" s="3">
        <f t="shared" si="47"/>
        <v>1600000</v>
      </c>
    </row>
    <row r="341" spans="1:18">
      <c r="A341" s="2">
        <v>4960097</v>
      </c>
      <c r="B341" s="3" t="s">
        <v>611</v>
      </c>
      <c r="C341" s="3" t="s">
        <v>1</v>
      </c>
      <c r="D341" s="3" t="s">
        <v>2</v>
      </c>
      <c r="E341" s="3" t="s">
        <v>876</v>
      </c>
      <c r="F341" s="3" t="s">
        <v>1097</v>
      </c>
      <c r="G341" s="3" t="s">
        <v>1528</v>
      </c>
      <c r="H341" s="3" t="s">
        <v>3872</v>
      </c>
      <c r="I341" s="3" t="s">
        <v>1492</v>
      </c>
      <c r="J341" s="3">
        <f t="shared" si="40"/>
        <v>13</v>
      </c>
      <c r="K341" s="3">
        <f>IF(ISNUMBER(SEARCH("selesai",Sheet2!D341)-1),1,"")</f>
        <v>1</v>
      </c>
      <c r="L341" s="3" t="str">
        <f t="shared" si="41"/>
        <v>Rp. 630.000.000</v>
      </c>
      <c r="M341" s="3" t="str">
        <f t="shared" si="42"/>
        <v>Rp. 580.976.000</v>
      </c>
      <c r="N341" s="3" t="str">
        <f t="shared" si="43"/>
        <v> 630.000.000</v>
      </c>
      <c r="O341" s="3" t="str">
        <f t="shared" si="44"/>
        <v> 580.976.000</v>
      </c>
      <c r="P341" s="3">
        <f t="shared" si="45"/>
        <v>630000000</v>
      </c>
      <c r="Q341" s="3">
        <f t="shared" si="46"/>
        <v>580976000</v>
      </c>
      <c r="R341" s="3">
        <f t="shared" si="47"/>
        <v>49024000</v>
      </c>
    </row>
    <row r="342" spans="1:18">
      <c r="A342" s="2">
        <v>4959097</v>
      </c>
      <c r="B342" s="3" t="s">
        <v>613</v>
      </c>
      <c r="C342" s="3" t="s">
        <v>1</v>
      </c>
      <c r="D342" s="3" t="s">
        <v>2</v>
      </c>
      <c r="E342" s="3" t="s">
        <v>876</v>
      </c>
      <c r="F342" s="3" t="s">
        <v>1097</v>
      </c>
      <c r="G342" s="3" t="s">
        <v>1503</v>
      </c>
      <c r="H342" s="3" t="s">
        <v>3873</v>
      </c>
      <c r="I342" s="3" t="s">
        <v>1082</v>
      </c>
      <c r="J342" s="3">
        <f t="shared" si="40"/>
        <v>10</v>
      </c>
      <c r="K342" s="3">
        <f>IF(ISNUMBER(SEARCH("selesai",Sheet2!D342)-1),1,"")</f>
        <v>1</v>
      </c>
      <c r="L342" s="3" t="str">
        <f t="shared" si="41"/>
        <v>Rp. 450.000.000</v>
      </c>
      <c r="M342" s="3" t="str">
        <f t="shared" si="42"/>
        <v>Rp. 449.999.000</v>
      </c>
      <c r="N342" s="3" t="str">
        <f t="shared" si="43"/>
        <v> 450.000.000</v>
      </c>
      <c r="O342" s="3" t="str">
        <f t="shared" si="44"/>
        <v> 449.999.000</v>
      </c>
      <c r="P342" s="3">
        <f t="shared" si="45"/>
        <v>450000000</v>
      </c>
      <c r="Q342" s="3">
        <f t="shared" si="46"/>
        <v>449999000</v>
      </c>
      <c r="R342" s="3">
        <f t="shared" si="47"/>
        <v>1000</v>
      </c>
    </row>
    <row r="343" spans="1:18">
      <c r="A343" s="2">
        <v>4958097</v>
      </c>
      <c r="B343" s="3" t="s">
        <v>614</v>
      </c>
      <c r="C343" s="3" t="s">
        <v>1</v>
      </c>
      <c r="D343" s="3" t="s">
        <v>2</v>
      </c>
      <c r="E343" s="3" t="s">
        <v>876</v>
      </c>
      <c r="F343" s="3" t="s">
        <v>919</v>
      </c>
      <c r="G343" s="3" t="s">
        <v>2861</v>
      </c>
      <c r="H343" s="3" t="s">
        <v>3874</v>
      </c>
      <c r="I343" s="3" t="s">
        <v>1455</v>
      </c>
      <c r="J343" s="3">
        <f t="shared" si="40"/>
        <v>93</v>
      </c>
      <c r="K343" s="3">
        <f>IF(ISNUMBER(SEARCH("selesai",Sheet2!D343)-1),1,"")</f>
        <v>1</v>
      </c>
      <c r="L343" s="3" t="str">
        <f t="shared" si="41"/>
        <v>Rp. 2.645.180.800</v>
      </c>
      <c r="M343" s="3" t="str">
        <f t="shared" si="42"/>
        <v>Rp. 2.645.180.783</v>
      </c>
      <c r="N343" s="3" t="str">
        <f t="shared" si="43"/>
        <v> 2.645.180.800</v>
      </c>
      <c r="O343" s="3" t="str">
        <f t="shared" si="44"/>
        <v> 2.645.180.783</v>
      </c>
      <c r="P343" s="3">
        <f t="shared" si="45"/>
        <v>2645180800</v>
      </c>
      <c r="Q343" s="3">
        <f t="shared" si="46"/>
        <v>2645180783</v>
      </c>
      <c r="R343" s="3">
        <f t="shared" si="47"/>
        <v>17</v>
      </c>
    </row>
    <row r="344" spans="1:18">
      <c r="A344" s="2">
        <v>4957097</v>
      </c>
      <c r="B344" s="3" t="s">
        <v>617</v>
      </c>
      <c r="C344" s="3" t="s">
        <v>1</v>
      </c>
      <c r="D344" s="3" t="s">
        <v>2</v>
      </c>
      <c r="E344" s="3" t="s">
        <v>876</v>
      </c>
      <c r="F344" s="3" t="s">
        <v>1097</v>
      </c>
      <c r="G344" s="3" t="s">
        <v>2867</v>
      </c>
      <c r="H344" s="3" t="s">
        <v>3875</v>
      </c>
      <c r="I344" s="3" t="s">
        <v>994</v>
      </c>
      <c r="J344" s="3">
        <f t="shared" si="40"/>
        <v>26</v>
      </c>
      <c r="K344" s="3">
        <f>IF(ISNUMBER(SEARCH("selesai",Sheet2!D344)-1),1,"")</f>
        <v>1</v>
      </c>
      <c r="L344" s="3" t="str">
        <f t="shared" si="41"/>
        <v>Rp. 375.000.000</v>
      </c>
      <c r="M344" s="3" t="str">
        <f t="shared" si="42"/>
        <v>Rp. 324.115.000</v>
      </c>
      <c r="N344" s="3" t="str">
        <f t="shared" si="43"/>
        <v> 375.000.000</v>
      </c>
      <c r="O344" s="3" t="str">
        <f t="shared" si="44"/>
        <v> 324.115.000</v>
      </c>
      <c r="P344" s="3">
        <f t="shared" si="45"/>
        <v>375000000</v>
      </c>
      <c r="Q344" s="3">
        <f t="shared" si="46"/>
        <v>324115000</v>
      </c>
      <c r="R344" s="3">
        <f t="shared" si="47"/>
        <v>50885000</v>
      </c>
    </row>
    <row r="345" spans="1:18">
      <c r="A345" s="2">
        <v>4956097</v>
      </c>
      <c r="B345" s="3" t="s">
        <v>619</v>
      </c>
      <c r="C345" s="3" t="s">
        <v>1</v>
      </c>
      <c r="D345" s="3" t="s">
        <v>2</v>
      </c>
      <c r="E345" s="3" t="s">
        <v>876</v>
      </c>
      <c r="F345" s="3" t="s">
        <v>1097</v>
      </c>
      <c r="G345" s="3" t="s">
        <v>2873</v>
      </c>
      <c r="H345" s="3" t="s">
        <v>3876</v>
      </c>
      <c r="I345" s="3" t="s">
        <v>1474</v>
      </c>
      <c r="J345" s="3">
        <f t="shared" si="40"/>
        <v>33</v>
      </c>
      <c r="K345" s="3">
        <f>IF(ISNUMBER(SEARCH("selesai",Sheet2!D345)-1),1,"")</f>
        <v>1</v>
      </c>
      <c r="L345" s="3" t="str">
        <f t="shared" si="41"/>
        <v>Rp. 700.000.000</v>
      </c>
      <c r="M345" s="3" t="str">
        <f t="shared" si="42"/>
        <v>Rp. 699.050.000</v>
      </c>
      <c r="N345" s="3" t="str">
        <f t="shared" si="43"/>
        <v> 700.000.000</v>
      </c>
      <c r="O345" s="3" t="str">
        <f t="shared" si="44"/>
        <v> 699.050.000</v>
      </c>
      <c r="P345" s="3">
        <f t="shared" si="45"/>
        <v>700000000</v>
      </c>
      <c r="Q345" s="3">
        <f t="shared" si="46"/>
        <v>699050000</v>
      </c>
      <c r="R345" s="3">
        <f t="shared" si="47"/>
        <v>950000</v>
      </c>
    </row>
    <row r="346" spans="1:18">
      <c r="A346" s="2">
        <v>4955097</v>
      </c>
      <c r="B346" s="3" t="s">
        <v>621</v>
      </c>
      <c r="C346" s="3" t="s">
        <v>1</v>
      </c>
      <c r="D346" s="3" t="s">
        <v>2</v>
      </c>
      <c r="E346" s="3" t="s">
        <v>876</v>
      </c>
      <c r="F346" s="3" t="s">
        <v>1097</v>
      </c>
      <c r="G346" s="3" t="s">
        <v>2168</v>
      </c>
      <c r="H346" s="3" t="s">
        <v>3877</v>
      </c>
      <c r="I346" s="3" t="s">
        <v>1205</v>
      </c>
      <c r="J346" s="3">
        <f t="shared" si="40"/>
        <v>34</v>
      </c>
      <c r="K346" s="3">
        <f>IF(ISNUMBER(SEARCH("selesai",Sheet2!D346)-1),1,"")</f>
        <v>1</v>
      </c>
      <c r="L346" s="3" t="str">
        <f t="shared" si="41"/>
        <v>Rp. 600.000.000</v>
      </c>
      <c r="M346" s="3" t="str">
        <f t="shared" si="42"/>
        <v>Rp. 598.840.000</v>
      </c>
      <c r="N346" s="3" t="str">
        <f t="shared" si="43"/>
        <v> 600.000.000</v>
      </c>
      <c r="O346" s="3" t="str">
        <f t="shared" si="44"/>
        <v> 598.840.000</v>
      </c>
      <c r="P346" s="3">
        <f t="shared" si="45"/>
        <v>600000000</v>
      </c>
      <c r="Q346" s="3">
        <f t="shared" si="46"/>
        <v>598840000</v>
      </c>
      <c r="R346" s="3">
        <f t="shared" si="47"/>
        <v>1160000</v>
      </c>
    </row>
    <row r="347" spans="1:18">
      <c r="A347" s="2">
        <v>4954097</v>
      </c>
      <c r="B347" s="3" t="s">
        <v>623</v>
      </c>
      <c r="C347" s="3" t="s">
        <v>1</v>
      </c>
      <c r="D347" s="3" t="s">
        <v>2</v>
      </c>
      <c r="E347" s="3" t="s">
        <v>876</v>
      </c>
      <c r="F347" s="3" t="s">
        <v>1097</v>
      </c>
      <c r="G347" s="3" t="s">
        <v>1157</v>
      </c>
      <c r="H347" s="3" t="s">
        <v>3878</v>
      </c>
      <c r="I347" s="3" t="s">
        <v>947</v>
      </c>
      <c r="J347" s="3">
        <f t="shared" si="40"/>
        <v>37</v>
      </c>
      <c r="K347" s="3">
        <f>IF(ISNUMBER(SEARCH("selesai",Sheet2!D347)-1),1,"")</f>
        <v>1</v>
      </c>
      <c r="L347" s="3" t="str">
        <f t="shared" si="41"/>
        <v>Rp. 500.000.000</v>
      </c>
      <c r="M347" s="3" t="str">
        <f t="shared" si="42"/>
        <v>Rp. 498.553.000</v>
      </c>
      <c r="N347" s="3" t="str">
        <f t="shared" si="43"/>
        <v> 500.000.000</v>
      </c>
      <c r="O347" s="3" t="str">
        <f t="shared" si="44"/>
        <v> 498.553.000</v>
      </c>
      <c r="P347" s="3">
        <f t="shared" si="45"/>
        <v>500000000</v>
      </c>
      <c r="Q347" s="3">
        <f t="shared" si="46"/>
        <v>498553000</v>
      </c>
      <c r="R347" s="3">
        <f t="shared" si="47"/>
        <v>1447000</v>
      </c>
    </row>
    <row r="348" spans="1:18">
      <c r="A348" s="2">
        <v>4953097</v>
      </c>
      <c r="B348" s="3" t="s">
        <v>625</v>
      </c>
      <c r="C348" s="3" t="s">
        <v>1</v>
      </c>
      <c r="D348" s="3" t="s">
        <v>2</v>
      </c>
      <c r="E348" s="3" t="s">
        <v>876</v>
      </c>
      <c r="F348" s="3" t="s">
        <v>919</v>
      </c>
      <c r="G348" s="3" t="s">
        <v>2889</v>
      </c>
      <c r="H348" s="3" t="s">
        <v>3879</v>
      </c>
      <c r="I348" s="3" t="s">
        <v>1462</v>
      </c>
      <c r="J348" s="3">
        <f t="shared" si="40"/>
        <v>41</v>
      </c>
      <c r="K348" s="3">
        <f>IF(ISNUMBER(SEARCH("selesai",Sheet2!D348)-1),1,"")</f>
        <v>1</v>
      </c>
      <c r="L348" s="3" t="str">
        <f t="shared" si="41"/>
        <v>Rp. 4.432.000.000</v>
      </c>
      <c r="M348" s="3" t="str">
        <f t="shared" si="42"/>
        <v>Rp. 4.431.947.360</v>
      </c>
      <c r="N348" s="3" t="str">
        <f t="shared" si="43"/>
        <v> 4.432.000.000</v>
      </c>
      <c r="O348" s="3" t="str">
        <f t="shared" si="44"/>
        <v> 4.431.947.360</v>
      </c>
      <c r="P348" s="3">
        <f t="shared" si="45"/>
        <v>4432000000</v>
      </c>
      <c r="Q348" s="3">
        <f t="shared" si="46"/>
        <v>4431947360</v>
      </c>
      <c r="R348" s="3">
        <f t="shared" si="47"/>
        <v>52640</v>
      </c>
    </row>
    <row r="349" spans="1:18">
      <c r="A349" s="2">
        <v>4952097</v>
      </c>
      <c r="B349" s="3" t="s">
        <v>627</v>
      </c>
      <c r="C349" s="3" t="s">
        <v>1</v>
      </c>
      <c r="D349" s="3" t="s">
        <v>2</v>
      </c>
      <c r="E349" s="3" t="s">
        <v>876</v>
      </c>
      <c r="F349" s="3" t="s">
        <v>919</v>
      </c>
      <c r="G349" s="3" t="s">
        <v>2895</v>
      </c>
      <c r="H349" s="3" t="s">
        <v>3880</v>
      </c>
      <c r="I349" s="3" t="s">
        <v>947</v>
      </c>
      <c r="J349" s="3">
        <f t="shared" si="40"/>
        <v>37</v>
      </c>
      <c r="K349" s="3">
        <f>IF(ISNUMBER(SEARCH("selesai",Sheet2!D349)-1),1,"")</f>
        <v>1</v>
      </c>
      <c r="L349" s="3" t="str">
        <f t="shared" si="41"/>
        <v>Rp. 5.073.208.000</v>
      </c>
      <c r="M349" s="3" t="str">
        <f t="shared" si="42"/>
        <v>Rp. 5.073.207.082</v>
      </c>
      <c r="N349" s="3" t="str">
        <f t="shared" si="43"/>
        <v> 5.073.208.000</v>
      </c>
      <c r="O349" s="3" t="str">
        <f t="shared" si="44"/>
        <v> 5.073.207.082</v>
      </c>
      <c r="P349" s="3">
        <f t="shared" si="45"/>
        <v>5073208000</v>
      </c>
      <c r="Q349" s="3">
        <f t="shared" si="46"/>
        <v>5073207082</v>
      </c>
      <c r="R349" s="3">
        <f t="shared" si="47"/>
        <v>918</v>
      </c>
    </row>
    <row r="350" spans="1:18">
      <c r="A350" s="2">
        <v>4951097</v>
      </c>
      <c r="B350" s="3" t="s">
        <v>630</v>
      </c>
      <c r="C350" s="3" t="s">
        <v>1</v>
      </c>
      <c r="D350" s="3" t="s">
        <v>2</v>
      </c>
      <c r="E350" s="3" t="s">
        <v>876</v>
      </c>
      <c r="F350" s="3" t="s">
        <v>919</v>
      </c>
      <c r="G350" s="3" t="s">
        <v>2901</v>
      </c>
      <c r="H350" s="3" t="s">
        <v>3881</v>
      </c>
      <c r="I350" s="3" t="s">
        <v>1551</v>
      </c>
      <c r="J350" s="3">
        <f t="shared" si="40"/>
        <v>59</v>
      </c>
      <c r="K350" s="3">
        <f>IF(ISNUMBER(SEARCH("selesai",Sheet2!D350)-1),1,"")</f>
        <v>1</v>
      </c>
      <c r="L350" s="3" t="str">
        <f t="shared" si="41"/>
        <v>Rp. 5.810.090.000</v>
      </c>
      <c r="M350" s="3" t="str">
        <f t="shared" si="42"/>
        <v>Rp. 5.810.060.636</v>
      </c>
      <c r="N350" s="3" t="str">
        <f t="shared" si="43"/>
        <v> 5.810.090.000</v>
      </c>
      <c r="O350" s="3" t="str">
        <f t="shared" si="44"/>
        <v> 5.810.060.636</v>
      </c>
      <c r="P350" s="3">
        <f t="shared" si="45"/>
        <v>5810090000</v>
      </c>
      <c r="Q350" s="3">
        <f t="shared" si="46"/>
        <v>5810060636</v>
      </c>
      <c r="R350" s="3">
        <f t="shared" si="47"/>
        <v>29364</v>
      </c>
    </row>
    <row r="351" spans="1:18">
      <c r="A351" s="2">
        <v>4949097</v>
      </c>
      <c r="B351" s="3" t="s">
        <v>633</v>
      </c>
      <c r="C351" s="3" t="s">
        <v>1</v>
      </c>
      <c r="D351" s="3" t="s">
        <v>7</v>
      </c>
      <c r="E351" s="3" t="s">
        <v>876</v>
      </c>
      <c r="F351" s="3" t="s">
        <v>919</v>
      </c>
      <c r="G351" s="3" t="s">
        <v>2558</v>
      </c>
      <c r="H351" s="3" t="s">
        <v>3839</v>
      </c>
      <c r="I351" s="3" t="s">
        <v>1792</v>
      </c>
      <c r="J351" s="3">
        <f t="shared" si="40"/>
        <v>49</v>
      </c>
      <c r="K351" s="3" t="str">
        <f>IF(ISNUMBER(SEARCH("selesai",Sheet2!D351)-1),1,"")</f>
        <v/>
      </c>
      <c r="L351" s="3" t="str">
        <f t="shared" si="41"/>
        <v>Rp. 4.357.920.000</v>
      </c>
      <c r="M351" s="3" t="str">
        <f t="shared" si="42"/>
        <v>Rp. 4.357.919.925</v>
      </c>
      <c r="N351" s="3" t="str">
        <f t="shared" si="43"/>
        <v> 4.357.920.000</v>
      </c>
      <c r="O351" s="3" t="str">
        <f t="shared" si="44"/>
        <v> 4.357.919.925</v>
      </c>
      <c r="P351" s="3">
        <f t="shared" si="45"/>
        <v>4357920000</v>
      </c>
      <c r="Q351" s="3">
        <f t="shared" si="46"/>
        <v>4357919925</v>
      </c>
      <c r="R351" s="3">
        <f t="shared" si="47"/>
        <v>75</v>
      </c>
    </row>
    <row r="352" spans="1:18">
      <c r="A352" s="2">
        <v>4942097</v>
      </c>
      <c r="B352" s="3" t="s">
        <v>634</v>
      </c>
      <c r="C352" s="3" t="s">
        <v>1</v>
      </c>
      <c r="D352" s="3" t="s">
        <v>2</v>
      </c>
      <c r="E352" s="3" t="s">
        <v>876</v>
      </c>
      <c r="F352" s="3" t="s">
        <v>919</v>
      </c>
      <c r="G352" s="3" t="s">
        <v>2912</v>
      </c>
      <c r="H352" s="3" t="s">
        <v>3882</v>
      </c>
      <c r="I352" s="3" t="s">
        <v>1424</v>
      </c>
      <c r="J352" s="3">
        <f t="shared" si="40"/>
        <v>60</v>
      </c>
      <c r="K352" s="3">
        <f>IF(ISNUMBER(SEARCH("selesai",Sheet2!D352)-1),1,"")</f>
        <v>1</v>
      </c>
      <c r="L352" s="3" t="str">
        <f t="shared" si="41"/>
        <v>Rp. 9.458.000.000</v>
      </c>
      <c r="M352" s="3" t="str">
        <f t="shared" si="42"/>
        <v>Rp. 9.457.913.905</v>
      </c>
      <c r="N352" s="3" t="str">
        <f t="shared" si="43"/>
        <v> 9.458.000.000</v>
      </c>
      <c r="O352" s="3" t="str">
        <f t="shared" si="44"/>
        <v> 9.457.913.905</v>
      </c>
      <c r="P352" s="3">
        <f t="shared" si="45"/>
        <v>9458000000</v>
      </c>
      <c r="Q352" s="3">
        <f t="shared" si="46"/>
        <v>9457913905</v>
      </c>
      <c r="R352" s="3">
        <f t="shared" si="47"/>
        <v>86095</v>
      </c>
    </row>
    <row r="353" spans="1:18">
      <c r="A353" s="2">
        <v>4941097</v>
      </c>
      <c r="B353" s="3" t="s">
        <v>637</v>
      </c>
      <c r="C353" s="3" t="s">
        <v>1</v>
      </c>
      <c r="D353" s="3" t="s">
        <v>2</v>
      </c>
      <c r="E353" s="3" t="s">
        <v>876</v>
      </c>
      <c r="F353" s="3" t="s">
        <v>919</v>
      </c>
      <c r="G353" s="3" t="s">
        <v>2918</v>
      </c>
      <c r="H353" s="3" t="s">
        <v>3883</v>
      </c>
      <c r="I353" s="3" t="s">
        <v>2394</v>
      </c>
      <c r="J353" s="3">
        <f t="shared" si="40"/>
        <v>69</v>
      </c>
      <c r="K353" s="3">
        <f>IF(ISNUMBER(SEARCH("selesai",Sheet2!D353)-1),1,"")</f>
        <v>1</v>
      </c>
      <c r="L353" s="3" t="str">
        <f t="shared" si="41"/>
        <v>Rp. 12.598.663.000</v>
      </c>
      <c r="M353" s="3" t="str">
        <f t="shared" si="42"/>
        <v>Rp. 12.598.612.933</v>
      </c>
      <c r="N353" s="3" t="str">
        <f t="shared" si="43"/>
        <v> 12.598.663.000</v>
      </c>
      <c r="O353" s="3" t="str">
        <f t="shared" si="44"/>
        <v> 12.598.612.933</v>
      </c>
      <c r="P353" s="3">
        <f t="shared" si="45"/>
        <v>12598663000</v>
      </c>
      <c r="Q353" s="3">
        <f t="shared" si="46"/>
        <v>12598612933</v>
      </c>
      <c r="R353" s="3">
        <f t="shared" si="47"/>
        <v>50067</v>
      </c>
    </row>
    <row r="354" spans="1:18">
      <c r="A354" s="2">
        <v>4940097</v>
      </c>
      <c r="B354" s="3" t="s">
        <v>640</v>
      </c>
      <c r="C354" s="3" t="s">
        <v>1</v>
      </c>
      <c r="D354" s="3" t="s">
        <v>2</v>
      </c>
      <c r="E354" s="3" t="s">
        <v>876</v>
      </c>
      <c r="F354" s="3" t="s">
        <v>919</v>
      </c>
      <c r="G354" s="3" t="s">
        <v>2924</v>
      </c>
      <c r="H354" s="3" t="s">
        <v>3884</v>
      </c>
      <c r="I354" s="3" t="s">
        <v>2925</v>
      </c>
      <c r="J354" s="3">
        <f t="shared" si="40"/>
        <v>70</v>
      </c>
      <c r="K354" s="3">
        <f>IF(ISNUMBER(SEARCH("selesai",Sheet2!D354)-1),1,"")</f>
        <v>1</v>
      </c>
      <c r="L354" s="3" t="str">
        <f t="shared" si="41"/>
        <v>Rp. 9.105.717.000</v>
      </c>
      <c r="M354" s="3" t="str">
        <f t="shared" si="42"/>
        <v>Rp. 9.105.643.997</v>
      </c>
      <c r="N354" s="3" t="str">
        <f t="shared" si="43"/>
        <v> 9.105.717.000</v>
      </c>
      <c r="O354" s="3" t="str">
        <f t="shared" si="44"/>
        <v> 9.105.643.997</v>
      </c>
      <c r="P354" s="3">
        <f t="shared" si="45"/>
        <v>9105717000</v>
      </c>
      <c r="Q354" s="3">
        <f t="shared" si="46"/>
        <v>9105643997</v>
      </c>
      <c r="R354" s="3">
        <f t="shared" si="47"/>
        <v>73003</v>
      </c>
    </row>
    <row r="355" spans="1:18">
      <c r="A355" s="2">
        <v>4939097</v>
      </c>
      <c r="B355" s="3" t="s">
        <v>643</v>
      </c>
      <c r="C355" s="3" t="s">
        <v>1</v>
      </c>
      <c r="D355" s="3" t="s">
        <v>2</v>
      </c>
      <c r="E355" s="3" t="s">
        <v>876</v>
      </c>
      <c r="F355" s="3" t="s">
        <v>919</v>
      </c>
      <c r="G355" s="3" t="s">
        <v>2931</v>
      </c>
      <c r="H355" s="3" t="s">
        <v>3885</v>
      </c>
      <c r="I355" s="3" t="s">
        <v>1926</v>
      </c>
      <c r="J355" s="3">
        <f t="shared" si="40"/>
        <v>66</v>
      </c>
      <c r="K355" s="3">
        <f>IF(ISNUMBER(SEARCH("selesai",Sheet2!D355)-1),1,"")</f>
        <v>1</v>
      </c>
      <c r="L355" s="3" t="str">
        <f t="shared" si="41"/>
        <v>Rp. 6.404.000.000</v>
      </c>
      <c r="M355" s="3" t="str">
        <f t="shared" si="42"/>
        <v>Rp. 6.403.996.898</v>
      </c>
      <c r="N355" s="3" t="str">
        <f t="shared" si="43"/>
        <v> 6.404.000.000</v>
      </c>
      <c r="O355" s="3" t="str">
        <f t="shared" si="44"/>
        <v> 6.403.996.898</v>
      </c>
      <c r="P355" s="3">
        <f t="shared" si="45"/>
        <v>6404000000</v>
      </c>
      <c r="Q355" s="3">
        <f t="shared" si="46"/>
        <v>6403996898</v>
      </c>
      <c r="R355" s="3">
        <f t="shared" si="47"/>
        <v>3102</v>
      </c>
    </row>
    <row r="356" spans="1:18">
      <c r="A356" s="2">
        <v>4938097</v>
      </c>
      <c r="B356" s="3" t="s">
        <v>646</v>
      </c>
      <c r="C356" s="3" t="s">
        <v>1</v>
      </c>
      <c r="D356" s="3" t="s">
        <v>2</v>
      </c>
      <c r="E356" s="3" t="s">
        <v>876</v>
      </c>
      <c r="F356" s="3" t="s">
        <v>919</v>
      </c>
      <c r="G356" s="3" t="s">
        <v>2937</v>
      </c>
      <c r="H356" s="3" t="s">
        <v>3886</v>
      </c>
      <c r="I356" s="3" t="s">
        <v>1551</v>
      </c>
      <c r="J356" s="3">
        <f t="shared" si="40"/>
        <v>59</v>
      </c>
      <c r="K356" s="3">
        <f>IF(ISNUMBER(SEARCH("selesai",Sheet2!D356)-1),1,"")</f>
        <v>1</v>
      </c>
      <c r="L356" s="3" t="str">
        <f t="shared" si="41"/>
        <v>Rp. 9.303.000.000</v>
      </c>
      <c r="M356" s="3" t="str">
        <f t="shared" si="42"/>
        <v>Rp. 9.302.908.269</v>
      </c>
      <c r="N356" s="3" t="str">
        <f t="shared" si="43"/>
        <v> 9.303.000.000</v>
      </c>
      <c r="O356" s="3" t="str">
        <f t="shared" si="44"/>
        <v> 9.302.908.269</v>
      </c>
      <c r="P356" s="3">
        <f t="shared" si="45"/>
        <v>9303000000</v>
      </c>
      <c r="Q356" s="3">
        <f t="shared" si="46"/>
        <v>9302908269</v>
      </c>
      <c r="R356" s="3">
        <f t="shared" si="47"/>
        <v>91731</v>
      </c>
    </row>
    <row r="357" spans="1:18">
      <c r="A357" s="2">
        <v>4937097</v>
      </c>
      <c r="B357" s="3" t="s">
        <v>649</v>
      </c>
      <c r="C357" s="3" t="s">
        <v>1</v>
      </c>
      <c r="D357" s="3" t="s">
        <v>2</v>
      </c>
      <c r="E357" s="3" t="s">
        <v>876</v>
      </c>
      <c r="F357" s="3" t="s">
        <v>919</v>
      </c>
      <c r="G357" s="3" t="s">
        <v>2943</v>
      </c>
      <c r="H357" s="3" t="s">
        <v>3887</v>
      </c>
      <c r="I357" s="3" t="s">
        <v>1901</v>
      </c>
      <c r="J357" s="3">
        <f t="shared" si="40"/>
        <v>46</v>
      </c>
      <c r="K357" s="3">
        <f>IF(ISNUMBER(SEARCH("selesai",Sheet2!D357)-1),1,"")</f>
        <v>1</v>
      </c>
      <c r="L357" s="3" t="str">
        <f t="shared" si="41"/>
        <v>Rp. 29.612.000.000</v>
      </c>
      <c r="M357" s="3" t="str">
        <f t="shared" si="42"/>
        <v>Rp. 29.611.915.516</v>
      </c>
      <c r="N357" s="3" t="str">
        <f t="shared" si="43"/>
        <v> 29.612.000.000</v>
      </c>
      <c r="O357" s="3" t="str">
        <f t="shared" si="44"/>
        <v> 29.611.915.516</v>
      </c>
      <c r="P357" s="3">
        <f t="shared" si="45"/>
        <v>29612000000</v>
      </c>
      <c r="Q357" s="3">
        <f t="shared" si="46"/>
        <v>29611915516</v>
      </c>
      <c r="R357" s="3">
        <f t="shared" si="47"/>
        <v>84484</v>
      </c>
    </row>
    <row r="358" spans="1:18">
      <c r="A358" s="2">
        <v>4936097</v>
      </c>
      <c r="B358" s="3" t="s">
        <v>652</v>
      </c>
      <c r="C358" s="3" t="s">
        <v>1</v>
      </c>
      <c r="D358" s="3" t="s">
        <v>2</v>
      </c>
      <c r="E358" s="3" t="s">
        <v>876</v>
      </c>
      <c r="F358" s="3" t="s">
        <v>919</v>
      </c>
      <c r="G358" s="3" t="s">
        <v>2949</v>
      </c>
      <c r="H358" s="3" t="s">
        <v>3888</v>
      </c>
      <c r="I358" s="3" t="s">
        <v>1926</v>
      </c>
      <c r="J358" s="3">
        <f t="shared" si="40"/>
        <v>66</v>
      </c>
      <c r="K358" s="3">
        <f>IF(ISNUMBER(SEARCH("selesai",Sheet2!D358)-1),1,"")</f>
        <v>1</v>
      </c>
      <c r="L358" s="3" t="str">
        <f t="shared" si="41"/>
        <v>Rp. 8.418.638.000</v>
      </c>
      <c r="M358" s="3" t="str">
        <f t="shared" si="42"/>
        <v>Rp. 8.418.604.843</v>
      </c>
      <c r="N358" s="3" t="str">
        <f t="shared" si="43"/>
        <v> 8.418.638.000</v>
      </c>
      <c r="O358" s="3" t="str">
        <f t="shared" si="44"/>
        <v> 8.418.604.843</v>
      </c>
      <c r="P358" s="3">
        <f t="shared" si="45"/>
        <v>8418638000</v>
      </c>
      <c r="Q358" s="3">
        <f t="shared" si="46"/>
        <v>8418604843</v>
      </c>
      <c r="R358" s="3">
        <f t="shared" si="47"/>
        <v>33157</v>
      </c>
    </row>
    <row r="359" spans="1:18">
      <c r="A359" s="2">
        <v>4935097</v>
      </c>
      <c r="B359" s="3" t="s">
        <v>655</v>
      </c>
      <c r="C359" s="3" t="s">
        <v>1</v>
      </c>
      <c r="D359" s="3" t="s">
        <v>2</v>
      </c>
      <c r="E359" s="3" t="s">
        <v>876</v>
      </c>
      <c r="F359" s="3" t="s">
        <v>919</v>
      </c>
      <c r="G359" s="3" t="s">
        <v>939</v>
      </c>
      <c r="H359" s="3" t="s">
        <v>3889</v>
      </c>
      <c r="I359" s="3" t="s">
        <v>1075</v>
      </c>
      <c r="J359" s="3">
        <f t="shared" si="40"/>
        <v>42</v>
      </c>
      <c r="K359" s="3">
        <f>IF(ISNUMBER(SEARCH("selesai",Sheet2!D359)-1),1,"")</f>
        <v>1</v>
      </c>
      <c r="L359" s="3" t="str">
        <f t="shared" si="41"/>
        <v>Rp. 7.000.000.000</v>
      </c>
      <c r="M359" s="3" t="str">
        <f t="shared" si="42"/>
        <v>Rp. 6.999.997.521</v>
      </c>
      <c r="N359" s="3" t="str">
        <f t="shared" si="43"/>
        <v> 7.000.000.000</v>
      </c>
      <c r="O359" s="3" t="str">
        <f t="shared" si="44"/>
        <v> 6.999.997.521</v>
      </c>
      <c r="P359" s="3">
        <f t="shared" si="45"/>
        <v>7000000000</v>
      </c>
      <c r="Q359" s="3">
        <f t="shared" si="46"/>
        <v>6999997521</v>
      </c>
      <c r="R359" s="3">
        <f t="shared" si="47"/>
        <v>2479</v>
      </c>
    </row>
    <row r="360" spans="1:18">
      <c r="A360" s="2">
        <v>4934097</v>
      </c>
      <c r="B360" s="3" t="s">
        <v>657</v>
      </c>
      <c r="C360" s="3" t="s">
        <v>1</v>
      </c>
      <c r="D360" s="3" t="s">
        <v>2</v>
      </c>
      <c r="E360" s="3" t="s">
        <v>876</v>
      </c>
      <c r="F360" s="3" t="s">
        <v>919</v>
      </c>
      <c r="G360" s="3" t="s">
        <v>2960</v>
      </c>
      <c r="H360" s="3" t="s">
        <v>3890</v>
      </c>
      <c r="I360" s="3" t="s">
        <v>1075</v>
      </c>
      <c r="J360" s="3">
        <f t="shared" si="40"/>
        <v>42</v>
      </c>
      <c r="K360" s="3">
        <f>IF(ISNUMBER(SEARCH("selesai",Sheet2!D360)-1),1,"")</f>
        <v>1</v>
      </c>
      <c r="L360" s="3" t="str">
        <f t="shared" si="41"/>
        <v>Rp. 3.392.600.000</v>
      </c>
      <c r="M360" s="3" t="str">
        <f t="shared" si="42"/>
        <v>Rp. 3.392.585.477</v>
      </c>
      <c r="N360" s="3" t="str">
        <f t="shared" si="43"/>
        <v> 3.392.600.000</v>
      </c>
      <c r="O360" s="3" t="str">
        <f t="shared" si="44"/>
        <v> 3.392.585.477</v>
      </c>
      <c r="P360" s="3">
        <f t="shared" si="45"/>
        <v>3392600000</v>
      </c>
      <c r="Q360" s="3">
        <f t="shared" si="46"/>
        <v>3392585477</v>
      </c>
      <c r="R360" s="3">
        <f t="shared" si="47"/>
        <v>14523</v>
      </c>
    </row>
    <row r="361" spans="1:18">
      <c r="A361" s="2">
        <v>4932097</v>
      </c>
      <c r="B361" s="3" t="s">
        <v>659</v>
      </c>
      <c r="C361" s="3" t="s">
        <v>1</v>
      </c>
      <c r="D361" s="3" t="s">
        <v>2</v>
      </c>
      <c r="E361" s="3" t="s">
        <v>876</v>
      </c>
      <c r="F361" s="3" t="s">
        <v>919</v>
      </c>
      <c r="G361" s="3" t="s">
        <v>1521</v>
      </c>
      <c r="H361" s="3" t="s">
        <v>3891</v>
      </c>
      <c r="I361" s="3" t="s">
        <v>947</v>
      </c>
      <c r="J361" s="3">
        <f t="shared" si="40"/>
        <v>37</v>
      </c>
      <c r="K361" s="3">
        <f>IF(ISNUMBER(SEARCH("selesai",Sheet2!D361)-1),1,"")</f>
        <v>1</v>
      </c>
      <c r="L361" s="3" t="str">
        <f t="shared" si="41"/>
        <v>Rp. 2.200.000.000</v>
      </c>
      <c r="M361" s="3" t="str">
        <f t="shared" si="42"/>
        <v>Rp. 2.199.952.576</v>
      </c>
      <c r="N361" s="3" t="str">
        <f t="shared" si="43"/>
        <v> 2.200.000.000</v>
      </c>
      <c r="O361" s="3" t="str">
        <f t="shared" si="44"/>
        <v> 2.199.952.576</v>
      </c>
      <c r="P361" s="3">
        <f t="shared" si="45"/>
        <v>2200000000</v>
      </c>
      <c r="Q361" s="3">
        <f t="shared" si="46"/>
        <v>2199952576</v>
      </c>
      <c r="R361" s="3">
        <f t="shared" si="47"/>
        <v>47424</v>
      </c>
    </row>
    <row r="362" spans="1:18">
      <c r="A362" s="2">
        <v>4930097</v>
      </c>
      <c r="B362" s="3" t="s">
        <v>661</v>
      </c>
      <c r="C362" s="3" t="s">
        <v>1</v>
      </c>
      <c r="D362" s="3" t="s">
        <v>2</v>
      </c>
      <c r="E362" s="3" t="s">
        <v>876</v>
      </c>
      <c r="F362" s="3" t="s">
        <v>919</v>
      </c>
      <c r="G362" s="3" t="s">
        <v>2971</v>
      </c>
      <c r="H362" s="3" t="s">
        <v>3892</v>
      </c>
      <c r="I362" s="3" t="s">
        <v>2027</v>
      </c>
      <c r="J362" s="3">
        <f t="shared" si="40"/>
        <v>51</v>
      </c>
      <c r="K362" s="3">
        <f>IF(ISNUMBER(SEARCH("selesai",Sheet2!D362)-1),1,"")</f>
        <v>1</v>
      </c>
      <c r="L362" s="3" t="str">
        <f t="shared" si="41"/>
        <v>Rp. 19.421.000.000</v>
      </c>
      <c r="M362" s="3" t="str">
        <f t="shared" si="42"/>
        <v>Rp. 19.420.956.181</v>
      </c>
      <c r="N362" s="3" t="str">
        <f t="shared" si="43"/>
        <v> 19.421.000.000</v>
      </c>
      <c r="O362" s="3" t="str">
        <f t="shared" si="44"/>
        <v> 19.420.956.181</v>
      </c>
      <c r="P362" s="3">
        <f t="shared" si="45"/>
        <v>19421000000</v>
      </c>
      <c r="Q362" s="3">
        <f t="shared" si="46"/>
        <v>19420956181</v>
      </c>
      <c r="R362" s="3">
        <f t="shared" si="47"/>
        <v>43819</v>
      </c>
    </row>
    <row r="363" spans="1:18">
      <c r="A363" s="2">
        <v>4929097</v>
      </c>
      <c r="B363" s="3" t="s">
        <v>664</v>
      </c>
      <c r="C363" s="3" t="s">
        <v>1</v>
      </c>
      <c r="D363" s="3" t="s">
        <v>2</v>
      </c>
      <c r="E363" s="3" t="s">
        <v>876</v>
      </c>
      <c r="F363" s="3" t="s">
        <v>919</v>
      </c>
      <c r="G363" s="3" t="s">
        <v>2977</v>
      </c>
      <c r="H363" s="3" t="s">
        <v>3893</v>
      </c>
      <c r="I363" s="3" t="s">
        <v>2978</v>
      </c>
      <c r="J363" s="3">
        <f t="shared" si="40"/>
        <v>54</v>
      </c>
      <c r="K363" s="3">
        <f>IF(ISNUMBER(SEARCH("selesai",Sheet2!D363)-1),1,"")</f>
        <v>1</v>
      </c>
      <c r="L363" s="3" t="str">
        <f t="shared" si="41"/>
        <v>Rp. 12.219.000.000</v>
      </c>
      <c r="M363" s="3" t="str">
        <f t="shared" si="42"/>
        <v>Rp. 12.218.792.334</v>
      </c>
      <c r="N363" s="3" t="str">
        <f t="shared" si="43"/>
        <v> 12.219.000.000</v>
      </c>
      <c r="O363" s="3" t="str">
        <f t="shared" si="44"/>
        <v> 12.218.792.334</v>
      </c>
      <c r="P363" s="3">
        <f t="shared" si="45"/>
        <v>12219000000</v>
      </c>
      <c r="Q363" s="3">
        <f t="shared" si="46"/>
        <v>12218792334</v>
      </c>
      <c r="R363" s="3">
        <f t="shared" si="47"/>
        <v>207666</v>
      </c>
    </row>
    <row r="364" spans="1:18">
      <c r="A364" s="2">
        <v>4924097</v>
      </c>
      <c r="B364" s="3" t="s">
        <v>666</v>
      </c>
      <c r="C364" s="3" t="s">
        <v>1</v>
      </c>
      <c r="D364" s="3" t="s">
        <v>2</v>
      </c>
      <c r="E364" s="3" t="s">
        <v>2985</v>
      </c>
      <c r="F364" s="3" t="s">
        <v>919</v>
      </c>
      <c r="G364" s="3" t="s">
        <v>2984</v>
      </c>
      <c r="H364" s="3" t="s">
        <v>3894</v>
      </c>
      <c r="I364" s="3" t="s">
        <v>1063</v>
      </c>
      <c r="J364" s="3">
        <f t="shared" si="40"/>
        <v>36</v>
      </c>
      <c r="K364" s="3">
        <f>IF(ISNUMBER(SEARCH("selesai",Sheet2!D364)-1),1,"")</f>
        <v>1</v>
      </c>
      <c r="L364" s="3" t="str">
        <f t="shared" si="41"/>
        <v>Rp. 1.177.812.930</v>
      </c>
      <c r="M364" s="3" t="str">
        <f t="shared" si="42"/>
        <v>Rp. 1.079.280.525</v>
      </c>
      <c r="N364" s="3" t="str">
        <f t="shared" si="43"/>
        <v> 1.177.812.930</v>
      </c>
      <c r="O364" s="3" t="str">
        <f t="shared" si="44"/>
        <v> 1.079.280.525</v>
      </c>
      <c r="P364" s="3">
        <f t="shared" si="45"/>
        <v>1177812930</v>
      </c>
      <c r="Q364" s="3">
        <f t="shared" si="46"/>
        <v>1079280525</v>
      </c>
      <c r="R364" s="3">
        <f t="shared" si="47"/>
        <v>98532405</v>
      </c>
    </row>
    <row r="365" spans="1:18">
      <c r="A365" s="2">
        <v>4923097</v>
      </c>
      <c r="B365" s="3" t="s">
        <v>667</v>
      </c>
      <c r="C365" s="3" t="s">
        <v>1</v>
      </c>
      <c r="D365" s="3" t="s">
        <v>2</v>
      </c>
      <c r="E365" s="3" t="s">
        <v>876</v>
      </c>
      <c r="F365" s="3" t="s">
        <v>919</v>
      </c>
      <c r="G365" s="3" t="s">
        <v>2991</v>
      </c>
      <c r="H365" s="3" t="s">
        <v>3895</v>
      </c>
      <c r="I365" s="3" t="s">
        <v>2111</v>
      </c>
      <c r="J365" s="3">
        <f t="shared" si="40"/>
        <v>47</v>
      </c>
      <c r="K365" s="3">
        <f>IF(ISNUMBER(SEARCH("selesai",Sheet2!D365)-1),1,"")</f>
        <v>1</v>
      </c>
      <c r="L365" s="3" t="str">
        <f t="shared" si="41"/>
        <v>Rp. 11.218.000.000</v>
      </c>
      <c r="M365" s="3" t="str">
        <f t="shared" si="42"/>
        <v>Rp. 11.217.900.043</v>
      </c>
      <c r="N365" s="3" t="str">
        <f t="shared" si="43"/>
        <v> 11.218.000.000</v>
      </c>
      <c r="O365" s="3" t="str">
        <f t="shared" si="44"/>
        <v> 11.217.900.043</v>
      </c>
      <c r="P365" s="3">
        <f t="shared" si="45"/>
        <v>11218000000</v>
      </c>
      <c r="Q365" s="3">
        <f t="shared" si="46"/>
        <v>11217900043</v>
      </c>
      <c r="R365" s="3">
        <f t="shared" si="47"/>
        <v>99957</v>
      </c>
    </row>
    <row r="366" spans="1:18">
      <c r="A366" s="2">
        <v>4922097</v>
      </c>
      <c r="B366" s="3" t="s">
        <v>670</v>
      </c>
      <c r="C366" s="3" t="s">
        <v>1</v>
      </c>
      <c r="D366" s="3" t="s">
        <v>2</v>
      </c>
      <c r="E366" s="3" t="s">
        <v>876</v>
      </c>
      <c r="F366" s="3" t="s">
        <v>919</v>
      </c>
      <c r="G366" s="3" t="s">
        <v>2997</v>
      </c>
      <c r="H366" s="3" t="s">
        <v>3896</v>
      </c>
      <c r="I366" s="3" t="s">
        <v>1374</v>
      </c>
      <c r="J366" s="3">
        <f t="shared" si="40"/>
        <v>39</v>
      </c>
      <c r="K366" s="3">
        <f>IF(ISNUMBER(SEARCH("selesai",Sheet2!D366)-1),1,"")</f>
        <v>1</v>
      </c>
      <c r="L366" s="3" t="str">
        <f t="shared" si="41"/>
        <v>Rp. 11.707.000.000</v>
      </c>
      <c r="M366" s="3" t="str">
        <f t="shared" si="42"/>
        <v>Rp. 11.706.900.202</v>
      </c>
      <c r="N366" s="3" t="str">
        <f t="shared" si="43"/>
        <v> 11.707.000.000</v>
      </c>
      <c r="O366" s="3" t="str">
        <f t="shared" si="44"/>
        <v> 11.706.900.202</v>
      </c>
      <c r="P366" s="3">
        <f t="shared" si="45"/>
        <v>11707000000</v>
      </c>
      <c r="Q366" s="3">
        <f t="shared" si="46"/>
        <v>11706900202</v>
      </c>
      <c r="R366" s="3">
        <f t="shared" si="47"/>
        <v>99798</v>
      </c>
    </row>
    <row r="367" spans="1:18">
      <c r="A367" s="2">
        <v>4921097</v>
      </c>
      <c r="B367" s="3" t="s">
        <v>673</v>
      </c>
      <c r="C367" s="3" t="s">
        <v>1</v>
      </c>
      <c r="D367" s="3" t="s">
        <v>2</v>
      </c>
      <c r="E367" s="3" t="s">
        <v>876</v>
      </c>
      <c r="F367" s="3" t="s">
        <v>919</v>
      </c>
      <c r="G367" s="3" t="s">
        <v>3003</v>
      </c>
      <c r="H367" s="3" t="s">
        <v>3897</v>
      </c>
      <c r="I367" s="3" t="s">
        <v>1430</v>
      </c>
      <c r="J367" s="3">
        <f t="shared" si="40"/>
        <v>56</v>
      </c>
      <c r="K367" s="3">
        <f>IF(ISNUMBER(SEARCH("selesai",Sheet2!D367)-1),1,"")</f>
        <v>1</v>
      </c>
      <c r="L367" s="3" t="str">
        <f t="shared" si="41"/>
        <v>Rp. 14.279.000.000</v>
      </c>
      <c r="M367" s="3" t="str">
        <f t="shared" si="42"/>
        <v>Rp. 14.278.850.671</v>
      </c>
      <c r="N367" s="3" t="str">
        <f t="shared" si="43"/>
        <v> 14.279.000.000</v>
      </c>
      <c r="O367" s="3" t="str">
        <f t="shared" si="44"/>
        <v> 14.278.850.671</v>
      </c>
      <c r="P367" s="3">
        <f t="shared" si="45"/>
        <v>14279000000</v>
      </c>
      <c r="Q367" s="3">
        <f t="shared" si="46"/>
        <v>14278850671</v>
      </c>
      <c r="R367" s="3">
        <f t="shared" si="47"/>
        <v>149329</v>
      </c>
    </row>
    <row r="368" spans="1:18">
      <c r="A368" s="2">
        <v>4919097</v>
      </c>
      <c r="B368" s="3" t="s">
        <v>676</v>
      </c>
      <c r="C368" s="3" t="s">
        <v>1</v>
      </c>
      <c r="D368" s="3" t="s">
        <v>2</v>
      </c>
      <c r="E368" s="3" t="s">
        <v>2985</v>
      </c>
      <c r="F368" s="3" t="s">
        <v>875</v>
      </c>
      <c r="G368" s="3" t="s">
        <v>3009</v>
      </c>
      <c r="H368" s="3" t="s">
        <v>3898</v>
      </c>
      <c r="I368" s="3" t="s">
        <v>1235</v>
      </c>
      <c r="J368" s="3">
        <f t="shared" si="40"/>
        <v>14</v>
      </c>
      <c r="K368" s="3">
        <f>IF(ISNUMBER(SEARCH("selesai",Sheet2!D368)-1),1,"")</f>
        <v>1</v>
      </c>
      <c r="L368" s="3" t="str">
        <f t="shared" si="41"/>
        <v>Rp. 1.275.000.000</v>
      </c>
      <c r="M368" s="3" t="str">
        <f t="shared" si="42"/>
        <v>Rp. 1.245.000.000</v>
      </c>
      <c r="N368" s="3" t="str">
        <f t="shared" si="43"/>
        <v> 1.275.000.000</v>
      </c>
      <c r="O368" s="3" t="str">
        <f t="shared" si="44"/>
        <v> 1.245.000.000</v>
      </c>
      <c r="P368" s="3">
        <f t="shared" si="45"/>
        <v>1275000000</v>
      </c>
      <c r="Q368" s="3">
        <f t="shared" si="46"/>
        <v>1245000000</v>
      </c>
      <c r="R368" s="3">
        <f t="shared" si="47"/>
        <v>30000000</v>
      </c>
    </row>
    <row r="369" spans="1:18">
      <c r="A369" s="2">
        <v>4915097</v>
      </c>
      <c r="B369" s="3" t="s">
        <v>677</v>
      </c>
      <c r="C369" s="3" t="s">
        <v>1</v>
      </c>
      <c r="D369" s="3" t="s">
        <v>2</v>
      </c>
      <c r="E369" s="3" t="s">
        <v>876</v>
      </c>
      <c r="F369" s="3" t="s">
        <v>1097</v>
      </c>
      <c r="G369" s="3" t="s">
        <v>1157</v>
      </c>
      <c r="H369" s="3" t="s">
        <v>3899</v>
      </c>
      <c r="I369" s="3" t="s">
        <v>1158</v>
      </c>
      <c r="J369" s="3">
        <f t="shared" si="40"/>
        <v>20</v>
      </c>
      <c r="K369" s="3">
        <f>IF(ISNUMBER(SEARCH("selesai",Sheet2!D369)-1),1,"")</f>
        <v>1</v>
      </c>
      <c r="L369" s="3" t="str">
        <f t="shared" si="41"/>
        <v>Rp. 500.000.000</v>
      </c>
      <c r="M369" s="3" t="str">
        <f t="shared" si="42"/>
        <v>Rp. 499.510.000</v>
      </c>
      <c r="N369" s="3" t="str">
        <f t="shared" si="43"/>
        <v> 500.000.000</v>
      </c>
      <c r="O369" s="3" t="str">
        <f t="shared" si="44"/>
        <v> 499.510.000</v>
      </c>
      <c r="P369" s="3">
        <f t="shared" si="45"/>
        <v>500000000</v>
      </c>
      <c r="Q369" s="3">
        <f t="shared" si="46"/>
        <v>499510000</v>
      </c>
      <c r="R369" s="3">
        <f t="shared" si="47"/>
        <v>490000</v>
      </c>
    </row>
    <row r="370" spans="1:18">
      <c r="A370" s="2">
        <v>4914097</v>
      </c>
      <c r="B370" s="3" t="s">
        <v>680</v>
      </c>
      <c r="C370" s="3" t="s">
        <v>1</v>
      </c>
      <c r="D370" s="3" t="s">
        <v>2</v>
      </c>
      <c r="E370" s="3" t="s">
        <v>876</v>
      </c>
      <c r="F370" s="3" t="s">
        <v>1097</v>
      </c>
      <c r="G370" s="3" t="s">
        <v>2867</v>
      </c>
      <c r="H370" s="3" t="s">
        <v>3900</v>
      </c>
      <c r="I370" s="3" t="s">
        <v>1158</v>
      </c>
      <c r="J370" s="3">
        <f t="shared" si="40"/>
        <v>20</v>
      </c>
      <c r="K370" s="3">
        <f>IF(ISNUMBER(SEARCH("selesai",Sheet2!D370)-1),1,"")</f>
        <v>1</v>
      </c>
      <c r="L370" s="3" t="str">
        <f t="shared" si="41"/>
        <v>Rp. 375.000.000</v>
      </c>
      <c r="M370" s="3" t="str">
        <f t="shared" si="42"/>
        <v>Rp. 374.550.000</v>
      </c>
      <c r="N370" s="3" t="str">
        <f t="shared" si="43"/>
        <v> 375.000.000</v>
      </c>
      <c r="O370" s="3" t="str">
        <f t="shared" si="44"/>
        <v> 374.550.000</v>
      </c>
      <c r="P370" s="3">
        <f t="shared" si="45"/>
        <v>375000000</v>
      </c>
      <c r="Q370" s="3">
        <f t="shared" si="46"/>
        <v>374550000</v>
      </c>
      <c r="R370" s="3">
        <f t="shared" si="47"/>
        <v>450000</v>
      </c>
    </row>
    <row r="371" spans="1:18">
      <c r="A371" s="2">
        <v>4913097</v>
      </c>
      <c r="B371" s="3" t="s">
        <v>682</v>
      </c>
      <c r="C371" s="3" t="s">
        <v>1</v>
      </c>
      <c r="D371" s="3" t="s">
        <v>76</v>
      </c>
      <c r="E371" s="3" t="s">
        <v>876</v>
      </c>
      <c r="F371" s="3" t="s">
        <v>1097</v>
      </c>
      <c r="G371" s="3" t="s">
        <v>1779</v>
      </c>
      <c r="H371" s="3" t="s">
        <v>3756</v>
      </c>
      <c r="I371" s="3" t="s">
        <v>1177</v>
      </c>
      <c r="J371" s="3">
        <f t="shared" si="40"/>
        <v>24</v>
      </c>
      <c r="K371" s="3" t="str">
        <f>IF(ISNUMBER(SEARCH("selesai",Sheet2!D371)-1),1,"")</f>
        <v/>
      </c>
      <c r="L371" s="3" t="str">
        <f t="shared" si="41"/>
        <v>Rp. 135.000.000</v>
      </c>
      <c r="M371" s="3" t="str">
        <f t="shared" si="42"/>
        <v>Rp. 134.986.500</v>
      </c>
      <c r="N371" s="3" t="str">
        <f t="shared" si="43"/>
        <v> 135.000.000</v>
      </c>
      <c r="O371" s="3" t="str">
        <f t="shared" si="44"/>
        <v> 134.986.500</v>
      </c>
      <c r="P371" s="3">
        <f t="shared" si="45"/>
        <v>135000000</v>
      </c>
      <c r="Q371" s="3">
        <f t="shared" si="46"/>
        <v>134986500</v>
      </c>
      <c r="R371" s="3">
        <f t="shared" si="47"/>
        <v>13500</v>
      </c>
    </row>
    <row r="372" spans="1:18">
      <c r="A372" s="2">
        <v>4912097</v>
      </c>
      <c r="B372" s="3" t="s">
        <v>683</v>
      </c>
      <c r="C372" s="3" t="s">
        <v>1</v>
      </c>
      <c r="D372" s="3" t="s">
        <v>2</v>
      </c>
      <c r="E372" s="3" t="s">
        <v>876</v>
      </c>
      <c r="F372" s="3" t="s">
        <v>1097</v>
      </c>
      <c r="G372" s="3" t="s">
        <v>1095</v>
      </c>
      <c r="H372" s="3" t="s">
        <v>3901</v>
      </c>
      <c r="I372" s="3" t="s">
        <v>1672</v>
      </c>
      <c r="J372" s="3">
        <f t="shared" si="40"/>
        <v>16</v>
      </c>
      <c r="K372" s="3">
        <f>IF(ISNUMBER(SEARCH("selesai",Sheet2!D372)-1),1,"")</f>
        <v>1</v>
      </c>
      <c r="L372" s="3" t="str">
        <f t="shared" si="41"/>
        <v>Rp. 300.000.000</v>
      </c>
      <c r="M372" s="3" t="str">
        <f t="shared" si="42"/>
        <v>Rp. 299.035.000</v>
      </c>
      <c r="N372" s="3" t="str">
        <f t="shared" si="43"/>
        <v> 300.000.000</v>
      </c>
      <c r="O372" s="3" t="str">
        <f t="shared" si="44"/>
        <v> 299.035.000</v>
      </c>
      <c r="P372" s="3">
        <f t="shared" si="45"/>
        <v>300000000</v>
      </c>
      <c r="Q372" s="3">
        <f t="shared" si="46"/>
        <v>299035000</v>
      </c>
      <c r="R372" s="3">
        <f t="shared" si="47"/>
        <v>965000</v>
      </c>
    </row>
    <row r="373" spans="1:18">
      <c r="A373" s="2">
        <v>4910097</v>
      </c>
      <c r="B373" s="3" t="s">
        <v>685</v>
      </c>
      <c r="C373" s="3" t="s">
        <v>1</v>
      </c>
      <c r="D373" s="3" t="s">
        <v>2</v>
      </c>
      <c r="E373" s="3" t="s">
        <v>876</v>
      </c>
      <c r="F373" s="3" t="s">
        <v>1097</v>
      </c>
      <c r="G373" s="3" t="s">
        <v>1157</v>
      </c>
      <c r="H373" s="3" t="s">
        <v>3902</v>
      </c>
      <c r="I373" s="3" t="s">
        <v>918</v>
      </c>
      <c r="J373" s="3">
        <f t="shared" si="40"/>
        <v>19</v>
      </c>
      <c r="K373" s="3">
        <f>IF(ISNUMBER(SEARCH("selesai",Sheet2!D373)-1),1,"")</f>
        <v>1</v>
      </c>
      <c r="L373" s="3" t="str">
        <f t="shared" si="41"/>
        <v>Rp. 500.000.000</v>
      </c>
      <c r="M373" s="3" t="str">
        <f t="shared" si="42"/>
        <v>Rp. 499.998.950</v>
      </c>
      <c r="N373" s="3" t="str">
        <f t="shared" si="43"/>
        <v> 500.000.000</v>
      </c>
      <c r="O373" s="3" t="str">
        <f t="shared" si="44"/>
        <v> 499.998.950</v>
      </c>
      <c r="P373" s="3">
        <f t="shared" si="45"/>
        <v>500000000</v>
      </c>
      <c r="Q373" s="3">
        <f t="shared" si="46"/>
        <v>499998950</v>
      </c>
      <c r="R373" s="3">
        <f t="shared" si="47"/>
        <v>1050</v>
      </c>
    </row>
    <row r="374" spans="1:18">
      <c r="A374" s="2">
        <v>4909097</v>
      </c>
      <c r="B374" s="3" t="s">
        <v>686</v>
      </c>
      <c r="C374" s="3" t="s">
        <v>1</v>
      </c>
      <c r="D374" s="3" t="s">
        <v>2</v>
      </c>
      <c r="E374" s="3" t="s">
        <v>876</v>
      </c>
      <c r="F374" s="3" t="s">
        <v>1097</v>
      </c>
      <c r="G374" s="3" t="s">
        <v>897</v>
      </c>
      <c r="H374" s="3" t="s">
        <v>3903</v>
      </c>
      <c r="I374" s="3" t="s">
        <v>1158</v>
      </c>
      <c r="J374" s="3">
        <f t="shared" si="40"/>
        <v>20</v>
      </c>
      <c r="K374" s="3">
        <f>IF(ISNUMBER(SEARCH("selesai",Sheet2!D374)-1),1,"")</f>
        <v>1</v>
      </c>
      <c r="L374" s="3" t="str">
        <f t="shared" si="41"/>
        <v>Rp. 350.000.000</v>
      </c>
      <c r="M374" s="3" t="str">
        <f t="shared" si="42"/>
        <v>Rp. 349.998.550</v>
      </c>
      <c r="N374" s="3" t="str">
        <f t="shared" si="43"/>
        <v> 350.000.000</v>
      </c>
      <c r="O374" s="3" t="str">
        <f t="shared" si="44"/>
        <v> 349.998.550</v>
      </c>
      <c r="P374" s="3">
        <f t="shared" si="45"/>
        <v>350000000</v>
      </c>
      <c r="Q374" s="3">
        <f t="shared" si="46"/>
        <v>349998550</v>
      </c>
      <c r="R374" s="3">
        <f t="shared" si="47"/>
        <v>1450</v>
      </c>
    </row>
    <row r="375" spans="1:18">
      <c r="A375" s="2">
        <v>4903097</v>
      </c>
      <c r="B375" s="3" t="s">
        <v>687</v>
      </c>
      <c r="C375" s="3" t="s">
        <v>1</v>
      </c>
      <c r="D375" s="3" t="s">
        <v>7</v>
      </c>
      <c r="E375" s="3" t="s">
        <v>1033</v>
      </c>
      <c r="F375" s="3" t="s">
        <v>875</v>
      </c>
      <c r="G375" s="3" t="s">
        <v>2721</v>
      </c>
      <c r="H375" s="3" t="s">
        <v>3860</v>
      </c>
      <c r="I375" s="3" t="s">
        <v>966</v>
      </c>
      <c r="J375" s="3">
        <f t="shared" si="40"/>
        <v>25</v>
      </c>
      <c r="K375" s="3" t="str">
        <f>IF(ISNUMBER(SEARCH("selesai",Sheet2!D375)-1),1,"")</f>
        <v/>
      </c>
      <c r="L375" s="3" t="str">
        <f t="shared" si="41"/>
        <v>Rp. 695.250.000</v>
      </c>
      <c r="M375" s="3" t="str">
        <f t="shared" si="42"/>
        <v>Rp. 673.120.250</v>
      </c>
      <c r="N375" s="3" t="str">
        <f t="shared" si="43"/>
        <v> 695.250.000</v>
      </c>
      <c r="O375" s="3" t="str">
        <f t="shared" si="44"/>
        <v> 673.120.250</v>
      </c>
      <c r="P375" s="3">
        <f t="shared" si="45"/>
        <v>695250000</v>
      </c>
      <c r="Q375" s="3">
        <f t="shared" si="46"/>
        <v>673120250</v>
      </c>
      <c r="R375" s="3">
        <f t="shared" si="47"/>
        <v>22129750</v>
      </c>
    </row>
    <row r="376" spans="1:18">
      <c r="A376" s="2">
        <v>4901097</v>
      </c>
      <c r="B376" s="3" t="s">
        <v>688</v>
      </c>
      <c r="C376" s="3" t="s">
        <v>1</v>
      </c>
      <c r="D376" s="3" t="s">
        <v>76</v>
      </c>
      <c r="E376" s="3" t="s">
        <v>876</v>
      </c>
      <c r="F376" s="3" t="s">
        <v>1097</v>
      </c>
      <c r="G376" s="3" t="s">
        <v>1103</v>
      </c>
      <c r="H376" s="3" t="s">
        <v>3755</v>
      </c>
      <c r="I376" s="3" t="s">
        <v>911</v>
      </c>
      <c r="J376" s="3">
        <f t="shared" si="40"/>
        <v>4</v>
      </c>
      <c r="K376" s="3" t="str">
        <f>IF(ISNUMBER(SEARCH("selesai",Sheet2!D376)-1),1,"")</f>
        <v/>
      </c>
      <c r="L376" s="3" t="str">
        <f t="shared" si="41"/>
        <v>Rp. 200.000.000</v>
      </c>
      <c r="M376" s="3" t="str">
        <f t="shared" si="42"/>
        <v>Rp. 199.210.000</v>
      </c>
      <c r="N376" s="3" t="str">
        <f t="shared" si="43"/>
        <v> 200.000.000</v>
      </c>
      <c r="O376" s="3" t="str">
        <f t="shared" si="44"/>
        <v> 199.210.000</v>
      </c>
      <c r="P376" s="3">
        <f t="shared" si="45"/>
        <v>200000000</v>
      </c>
      <c r="Q376" s="3">
        <f t="shared" si="46"/>
        <v>199210000</v>
      </c>
      <c r="R376" s="3">
        <f t="shared" si="47"/>
        <v>790000</v>
      </c>
    </row>
    <row r="377" spans="1:18">
      <c r="A377" s="2">
        <v>4900097</v>
      </c>
      <c r="B377" s="3" t="s">
        <v>689</v>
      </c>
      <c r="C377" s="3" t="s">
        <v>1</v>
      </c>
      <c r="D377" s="3" t="s">
        <v>2</v>
      </c>
      <c r="E377" s="3" t="s">
        <v>876</v>
      </c>
      <c r="F377" s="3" t="s">
        <v>1097</v>
      </c>
      <c r="G377" s="3" t="s">
        <v>1114</v>
      </c>
      <c r="H377" s="3" t="s">
        <v>3904</v>
      </c>
      <c r="I377" s="3" t="s">
        <v>1229</v>
      </c>
      <c r="J377" s="3">
        <f t="shared" si="40"/>
        <v>18</v>
      </c>
      <c r="K377" s="3">
        <f>IF(ISNUMBER(SEARCH("selesai",Sheet2!D377)-1),1,"")</f>
        <v>1</v>
      </c>
      <c r="L377" s="3" t="str">
        <f t="shared" si="41"/>
        <v>Rp. 250.000.000</v>
      </c>
      <c r="M377" s="3" t="str">
        <f t="shared" si="42"/>
        <v>Rp. 249.018.000</v>
      </c>
      <c r="N377" s="3" t="str">
        <f t="shared" si="43"/>
        <v> 250.000.000</v>
      </c>
      <c r="O377" s="3" t="str">
        <f t="shared" si="44"/>
        <v> 249.018.000</v>
      </c>
      <c r="P377" s="3">
        <f t="shared" si="45"/>
        <v>250000000</v>
      </c>
      <c r="Q377" s="3">
        <f t="shared" si="46"/>
        <v>249018000</v>
      </c>
      <c r="R377" s="3">
        <f t="shared" si="47"/>
        <v>982000</v>
      </c>
    </row>
    <row r="378" spans="1:18">
      <c r="A378" s="2">
        <v>4898097</v>
      </c>
      <c r="B378" s="3" t="s">
        <v>691</v>
      </c>
      <c r="C378" s="3" t="s">
        <v>1</v>
      </c>
      <c r="D378" s="3" t="s">
        <v>2</v>
      </c>
      <c r="E378" s="3" t="s">
        <v>876</v>
      </c>
      <c r="F378" s="3" t="s">
        <v>1097</v>
      </c>
      <c r="G378" s="3" t="s">
        <v>2038</v>
      </c>
      <c r="H378" s="3" t="s">
        <v>3905</v>
      </c>
      <c r="I378" s="3" t="s">
        <v>1672</v>
      </c>
      <c r="J378" s="3">
        <f t="shared" si="40"/>
        <v>16</v>
      </c>
      <c r="K378" s="3">
        <f>IF(ISNUMBER(SEARCH("selesai",Sheet2!D378)-1),1,"")</f>
        <v>1</v>
      </c>
      <c r="L378" s="3" t="str">
        <f t="shared" si="41"/>
        <v>Rp. 475.000.000</v>
      </c>
      <c r="M378" s="3" t="str">
        <f t="shared" si="42"/>
        <v>Rp. 471.350.000</v>
      </c>
      <c r="N378" s="3" t="str">
        <f t="shared" si="43"/>
        <v> 475.000.000</v>
      </c>
      <c r="O378" s="3" t="str">
        <f t="shared" si="44"/>
        <v> 471.350.000</v>
      </c>
      <c r="P378" s="3">
        <f t="shared" si="45"/>
        <v>475000000</v>
      </c>
      <c r="Q378" s="3">
        <f t="shared" si="46"/>
        <v>471350000</v>
      </c>
      <c r="R378" s="3">
        <f t="shared" si="47"/>
        <v>3650000</v>
      </c>
    </row>
    <row r="379" spans="1:18">
      <c r="A379" s="2">
        <v>4897097</v>
      </c>
      <c r="B379" s="3" t="s">
        <v>693</v>
      </c>
      <c r="C379" s="3" t="s">
        <v>1</v>
      </c>
      <c r="D379" s="3" t="s">
        <v>2</v>
      </c>
      <c r="E379" s="3" t="s">
        <v>876</v>
      </c>
      <c r="F379" s="3" t="s">
        <v>1097</v>
      </c>
      <c r="G379" s="3" t="s">
        <v>3065</v>
      </c>
      <c r="H379" s="3" t="s">
        <v>3906</v>
      </c>
      <c r="I379" s="3" t="s">
        <v>1235</v>
      </c>
      <c r="J379" s="3">
        <f t="shared" si="40"/>
        <v>14</v>
      </c>
      <c r="K379" s="3">
        <f>IF(ISNUMBER(SEARCH("selesai",Sheet2!D379)-1),1,"")</f>
        <v>1</v>
      </c>
      <c r="L379" s="3" t="str">
        <f t="shared" si="41"/>
        <v>Rp. 315.000.000</v>
      </c>
      <c r="M379" s="3" t="str">
        <f t="shared" si="42"/>
        <v>Rp. 314.930.000</v>
      </c>
      <c r="N379" s="3" t="str">
        <f t="shared" si="43"/>
        <v> 315.000.000</v>
      </c>
      <c r="O379" s="3" t="str">
        <f t="shared" si="44"/>
        <v> 314.930.000</v>
      </c>
      <c r="P379" s="3">
        <f t="shared" si="45"/>
        <v>315000000</v>
      </c>
      <c r="Q379" s="3">
        <f t="shared" si="46"/>
        <v>314930000</v>
      </c>
      <c r="R379" s="3">
        <f t="shared" si="47"/>
        <v>70000</v>
      </c>
    </row>
    <row r="380" spans="1:18">
      <c r="A380" s="2">
        <v>4895097</v>
      </c>
      <c r="B380" s="3" t="s">
        <v>695</v>
      </c>
      <c r="C380" s="3" t="s">
        <v>1</v>
      </c>
      <c r="D380" s="3" t="s">
        <v>7</v>
      </c>
      <c r="E380" s="3" t="s">
        <v>876</v>
      </c>
      <c r="F380" s="3" t="s">
        <v>875</v>
      </c>
      <c r="G380" s="3" t="s">
        <v>3071</v>
      </c>
      <c r="H380" s="3" t="s">
        <v>3907</v>
      </c>
      <c r="I380" s="3" t="s">
        <v>1025</v>
      </c>
      <c r="J380" s="3">
        <f t="shared" si="40"/>
        <v>2</v>
      </c>
      <c r="K380" s="3" t="str">
        <f>IF(ISNUMBER(SEARCH("selesai",Sheet2!D380)-1),1,"")</f>
        <v/>
      </c>
      <c r="L380" s="3" t="str">
        <f t="shared" si="41"/>
        <v>Rp. 6.150.000.000</v>
      </c>
      <c r="M380" s="3" t="str">
        <f t="shared" si="42"/>
        <v>Rp. 5.493.000.000</v>
      </c>
      <c r="N380" s="3" t="str">
        <f t="shared" si="43"/>
        <v> 6.150.000.000</v>
      </c>
      <c r="O380" s="3" t="str">
        <f t="shared" si="44"/>
        <v> 5.493.000.000</v>
      </c>
      <c r="P380" s="3">
        <f t="shared" si="45"/>
        <v>6150000000</v>
      </c>
      <c r="Q380" s="3">
        <f t="shared" si="46"/>
        <v>5493000000</v>
      </c>
      <c r="R380" s="3">
        <f t="shared" si="47"/>
        <v>657000000</v>
      </c>
    </row>
    <row r="381" spans="1:18">
      <c r="A381" s="2">
        <v>4892097</v>
      </c>
      <c r="B381" s="3" t="s">
        <v>697</v>
      </c>
      <c r="C381" s="3" t="s">
        <v>1</v>
      </c>
      <c r="D381" s="3" t="s">
        <v>7</v>
      </c>
      <c r="E381" s="3" t="s">
        <v>876</v>
      </c>
      <c r="F381" s="3" t="s">
        <v>919</v>
      </c>
      <c r="G381" s="3" t="s">
        <v>1032</v>
      </c>
      <c r="H381" s="3" t="s">
        <v>3864</v>
      </c>
      <c r="I381" s="3" t="s">
        <v>1914</v>
      </c>
      <c r="J381" s="3">
        <f t="shared" si="40"/>
        <v>72</v>
      </c>
      <c r="K381" s="3" t="str">
        <f>IF(ISNUMBER(SEARCH("selesai",Sheet2!D381)-1),1,"")</f>
        <v/>
      </c>
      <c r="L381" s="3" t="str">
        <f t="shared" si="41"/>
        <v>Rp. 800.000.000</v>
      </c>
      <c r="M381" s="3" t="str">
        <f t="shared" si="42"/>
        <v>Rp. 799.799.683</v>
      </c>
      <c r="N381" s="3" t="str">
        <f t="shared" si="43"/>
        <v> 800.000.000</v>
      </c>
      <c r="O381" s="3" t="str">
        <f t="shared" si="44"/>
        <v> 799.799.683</v>
      </c>
      <c r="P381" s="3">
        <f t="shared" si="45"/>
        <v>800000000</v>
      </c>
      <c r="Q381" s="3">
        <f t="shared" si="46"/>
        <v>799799683</v>
      </c>
      <c r="R381" s="3">
        <f t="shared" si="47"/>
        <v>200317</v>
      </c>
    </row>
    <row r="382" spans="1:18">
      <c r="A382" s="2">
        <v>4890097</v>
      </c>
      <c r="B382" s="3" t="s">
        <v>698</v>
      </c>
      <c r="C382" s="3" t="s">
        <v>1</v>
      </c>
      <c r="D382" s="3" t="s">
        <v>2</v>
      </c>
      <c r="E382" s="3" t="s">
        <v>876</v>
      </c>
      <c r="F382" s="3" t="s">
        <v>1097</v>
      </c>
      <c r="G382" s="3" t="s">
        <v>3082</v>
      </c>
      <c r="H382" s="3" t="s">
        <v>3908</v>
      </c>
      <c r="I382" s="3" t="s">
        <v>1056</v>
      </c>
      <c r="J382" s="3">
        <f t="shared" si="40"/>
        <v>11</v>
      </c>
      <c r="K382" s="3">
        <f>IF(ISNUMBER(SEARCH("selesai",Sheet2!D382)-1),1,"")</f>
        <v>1</v>
      </c>
      <c r="L382" s="3" t="str">
        <f t="shared" si="41"/>
        <v>Rp. 175.000.000</v>
      </c>
      <c r="M382" s="3" t="str">
        <f t="shared" si="42"/>
        <v>Rp. 173.690.000</v>
      </c>
      <c r="N382" s="3" t="str">
        <f t="shared" si="43"/>
        <v> 175.000.000</v>
      </c>
      <c r="O382" s="3" t="str">
        <f t="shared" si="44"/>
        <v> 173.690.000</v>
      </c>
      <c r="P382" s="3">
        <f t="shared" si="45"/>
        <v>175000000</v>
      </c>
      <c r="Q382" s="3">
        <f t="shared" si="46"/>
        <v>173690000</v>
      </c>
      <c r="R382" s="3">
        <f t="shared" si="47"/>
        <v>1310000</v>
      </c>
    </row>
    <row r="383" spans="1:18">
      <c r="A383" s="2">
        <v>4889097</v>
      </c>
      <c r="B383" s="3" t="s">
        <v>700</v>
      </c>
      <c r="C383" s="3" t="s">
        <v>1</v>
      </c>
      <c r="D383" s="3" t="s">
        <v>2</v>
      </c>
      <c r="E383" s="3" t="s">
        <v>876</v>
      </c>
      <c r="F383" s="3" t="s">
        <v>1097</v>
      </c>
      <c r="G383" s="3" t="s">
        <v>1095</v>
      </c>
      <c r="H383" s="3" t="s">
        <v>3909</v>
      </c>
      <c r="I383" s="3" t="s">
        <v>918</v>
      </c>
      <c r="J383" s="3">
        <f t="shared" si="40"/>
        <v>19</v>
      </c>
      <c r="K383" s="3">
        <f>IF(ISNUMBER(SEARCH("selesai",Sheet2!D383)-1),1,"")</f>
        <v>1</v>
      </c>
      <c r="L383" s="3" t="str">
        <f t="shared" si="41"/>
        <v>Rp. 300.000.000</v>
      </c>
      <c r="M383" s="3" t="str">
        <f t="shared" si="42"/>
        <v>Rp. 296.945.000</v>
      </c>
      <c r="N383" s="3" t="str">
        <f t="shared" si="43"/>
        <v> 300.000.000</v>
      </c>
      <c r="O383" s="3" t="str">
        <f t="shared" si="44"/>
        <v> 296.945.000</v>
      </c>
      <c r="P383" s="3">
        <f t="shared" si="45"/>
        <v>300000000</v>
      </c>
      <c r="Q383" s="3">
        <f t="shared" si="46"/>
        <v>296945000</v>
      </c>
      <c r="R383" s="3">
        <f t="shared" si="47"/>
        <v>3055000</v>
      </c>
    </row>
    <row r="384" spans="1:18">
      <c r="A384" s="2">
        <v>4888097</v>
      </c>
      <c r="B384" s="3" t="s">
        <v>702</v>
      </c>
      <c r="C384" s="3" t="s">
        <v>1</v>
      </c>
      <c r="D384" s="3" t="s">
        <v>76</v>
      </c>
      <c r="E384" s="3" t="s">
        <v>876</v>
      </c>
      <c r="F384" s="3" t="s">
        <v>1097</v>
      </c>
      <c r="G384" s="3" t="s">
        <v>1157</v>
      </c>
      <c r="H384" s="3" t="s">
        <v>3910</v>
      </c>
      <c r="I384" s="3" t="s">
        <v>1672</v>
      </c>
      <c r="J384" s="3">
        <f t="shared" si="40"/>
        <v>16</v>
      </c>
      <c r="K384" s="3" t="str">
        <f>IF(ISNUMBER(SEARCH("selesai",Sheet2!D384)-1),1,"")</f>
        <v/>
      </c>
      <c r="L384" s="3" t="str">
        <f t="shared" si="41"/>
        <v>Rp. 500.000.000</v>
      </c>
      <c r="M384" s="3" t="str">
        <f t="shared" si="42"/>
        <v>Rp. 492.690.000</v>
      </c>
      <c r="N384" s="3" t="str">
        <f t="shared" si="43"/>
        <v> 500.000.000</v>
      </c>
      <c r="O384" s="3" t="str">
        <f t="shared" si="44"/>
        <v> 492.690.000</v>
      </c>
      <c r="P384" s="3">
        <f t="shared" si="45"/>
        <v>500000000</v>
      </c>
      <c r="Q384" s="3">
        <f t="shared" si="46"/>
        <v>492690000</v>
      </c>
      <c r="R384" s="3">
        <f t="shared" si="47"/>
        <v>7310000</v>
      </c>
    </row>
    <row r="385" spans="1:18">
      <c r="A385" s="2">
        <v>4887097</v>
      </c>
      <c r="B385" s="3" t="s">
        <v>704</v>
      </c>
      <c r="C385" s="3" t="s">
        <v>1</v>
      </c>
      <c r="D385" s="3" t="s">
        <v>2</v>
      </c>
      <c r="E385" s="3" t="s">
        <v>876</v>
      </c>
      <c r="F385" s="3" t="s">
        <v>875</v>
      </c>
      <c r="G385" s="3" t="s">
        <v>3098</v>
      </c>
      <c r="H385" s="3" t="s">
        <v>3911</v>
      </c>
      <c r="I385" s="3" t="s">
        <v>1268</v>
      </c>
      <c r="J385" s="3">
        <f t="shared" si="40"/>
        <v>17</v>
      </c>
      <c r="K385" s="3">
        <f>IF(ISNUMBER(SEARCH("selesai",Sheet2!D385)-1),1,"")</f>
        <v>1</v>
      </c>
      <c r="L385" s="3" t="str">
        <f t="shared" si="41"/>
        <v>Rp. 1.430.000.000</v>
      </c>
      <c r="M385" s="3" t="str">
        <f t="shared" si="42"/>
        <v>Rp. 1.397.500.000</v>
      </c>
      <c r="N385" s="3" t="str">
        <f t="shared" si="43"/>
        <v> 1.430.000.000</v>
      </c>
      <c r="O385" s="3" t="str">
        <f t="shared" si="44"/>
        <v> 1.397.500.000</v>
      </c>
      <c r="P385" s="3">
        <f t="shared" si="45"/>
        <v>1430000000</v>
      </c>
      <c r="Q385" s="3">
        <f t="shared" si="46"/>
        <v>1397500000</v>
      </c>
      <c r="R385" s="3">
        <f t="shared" si="47"/>
        <v>32500000</v>
      </c>
    </row>
    <row r="386" spans="1:18">
      <c r="A386" s="2">
        <v>4886097</v>
      </c>
      <c r="B386" s="3" t="s">
        <v>706</v>
      </c>
      <c r="C386" s="3" t="s">
        <v>1</v>
      </c>
      <c r="D386" s="3" t="s">
        <v>76</v>
      </c>
      <c r="E386" s="3" t="s">
        <v>876</v>
      </c>
      <c r="F386" s="3" t="s">
        <v>1097</v>
      </c>
      <c r="G386" s="3" t="s">
        <v>2873</v>
      </c>
      <c r="H386" s="3" t="s">
        <v>3876</v>
      </c>
      <c r="I386" s="3" t="s">
        <v>932</v>
      </c>
      <c r="J386" s="3">
        <f t="shared" si="40"/>
        <v>30</v>
      </c>
      <c r="K386" s="3" t="str">
        <f>IF(ISNUMBER(SEARCH("selesai",Sheet2!D386)-1),1,"")</f>
        <v/>
      </c>
      <c r="L386" s="3" t="str">
        <f t="shared" si="41"/>
        <v>Rp. 700.000.000</v>
      </c>
      <c r="M386" s="3" t="str">
        <f t="shared" si="42"/>
        <v>Rp. 699.050.000</v>
      </c>
      <c r="N386" s="3" t="str">
        <f t="shared" si="43"/>
        <v> 700.000.000</v>
      </c>
      <c r="O386" s="3" t="str">
        <f t="shared" si="44"/>
        <v> 699.050.000</v>
      </c>
      <c r="P386" s="3">
        <f t="shared" si="45"/>
        <v>700000000</v>
      </c>
      <c r="Q386" s="3">
        <f t="shared" si="46"/>
        <v>699050000</v>
      </c>
      <c r="R386" s="3">
        <f t="shared" si="47"/>
        <v>950000</v>
      </c>
    </row>
    <row r="387" spans="1:18">
      <c r="A387" s="2">
        <v>4885097</v>
      </c>
      <c r="B387" s="3" t="s">
        <v>707</v>
      </c>
      <c r="C387" s="3" t="s">
        <v>1</v>
      </c>
      <c r="D387" s="3" t="s">
        <v>76</v>
      </c>
      <c r="E387" s="3" t="s">
        <v>876</v>
      </c>
      <c r="F387" s="3" t="s">
        <v>1097</v>
      </c>
      <c r="G387" s="3" t="s">
        <v>2168</v>
      </c>
      <c r="H387" s="3" t="s">
        <v>3877</v>
      </c>
      <c r="I387" s="3" t="s">
        <v>966</v>
      </c>
      <c r="J387" s="3">
        <f t="shared" ref="J387:J450" si="48">VALUE(SUBSTITUTE(I387,"peserta",""))</f>
        <v>25</v>
      </c>
      <c r="K387" s="3" t="str">
        <f>IF(ISNUMBER(SEARCH("selesai",Sheet2!D387)-1),1,"")</f>
        <v/>
      </c>
      <c r="L387" s="3" t="str">
        <f t="shared" ref="L387:L450" si="49">LEFT(G387,SEARCH(",",G387)-1)</f>
        <v>Rp. 600.000.000</v>
      </c>
      <c r="M387" s="3" t="str">
        <f t="shared" ref="M387:M450" si="50">LEFT(H387,SEARCH(",",H387)-1)</f>
        <v>Rp. 598.840.000</v>
      </c>
      <c r="N387" s="3" t="str">
        <f t="shared" ref="N387:N450" si="51">SUBSTITUTE(L387,"Rp.","")</f>
        <v> 600.000.000</v>
      </c>
      <c r="O387" s="3" t="str">
        <f t="shared" ref="O387:O450" si="52">SUBSTITUTE(M387,"Rp.","")</f>
        <v> 598.840.000</v>
      </c>
      <c r="P387" s="3">
        <f t="shared" ref="P387:P450" si="53">VALUE(SUBSTITUTE(N387,".",""))</f>
        <v>600000000</v>
      </c>
      <c r="Q387" s="3">
        <f t="shared" ref="Q387:Q450" si="54">VALUE(SUBSTITUTE(O387,".",""))</f>
        <v>598840000</v>
      </c>
      <c r="R387" s="3">
        <f t="shared" ref="R387:R450" si="55">ABS(P387-Q387)</f>
        <v>1160000</v>
      </c>
    </row>
    <row r="388" spans="1:18">
      <c r="A388" s="2">
        <v>4884097</v>
      </c>
      <c r="B388" s="3" t="s">
        <v>708</v>
      </c>
      <c r="C388" s="3" t="s">
        <v>1</v>
      </c>
      <c r="D388" s="3" t="s">
        <v>76</v>
      </c>
      <c r="E388" s="3" t="s">
        <v>876</v>
      </c>
      <c r="F388" s="3" t="s">
        <v>1097</v>
      </c>
      <c r="G388" s="3" t="s">
        <v>1157</v>
      </c>
      <c r="H388" s="3" t="s">
        <v>3878</v>
      </c>
      <c r="I388" s="3" t="s">
        <v>932</v>
      </c>
      <c r="J388" s="3">
        <f t="shared" si="48"/>
        <v>30</v>
      </c>
      <c r="K388" s="3" t="str">
        <f>IF(ISNUMBER(SEARCH("selesai",Sheet2!D388)-1),1,"")</f>
        <v/>
      </c>
      <c r="L388" s="3" t="str">
        <f t="shared" si="49"/>
        <v>Rp. 500.000.000</v>
      </c>
      <c r="M388" s="3" t="str">
        <f t="shared" si="50"/>
        <v>Rp. 498.553.000</v>
      </c>
      <c r="N388" s="3" t="str">
        <f t="shared" si="51"/>
        <v> 500.000.000</v>
      </c>
      <c r="O388" s="3" t="str">
        <f t="shared" si="52"/>
        <v> 498.553.000</v>
      </c>
      <c r="P388" s="3">
        <f t="shared" si="53"/>
        <v>500000000</v>
      </c>
      <c r="Q388" s="3">
        <f t="shared" si="54"/>
        <v>498553000</v>
      </c>
      <c r="R388" s="3">
        <f t="shared" si="55"/>
        <v>1447000</v>
      </c>
    </row>
    <row r="389" spans="1:18">
      <c r="A389" s="2">
        <v>4883097</v>
      </c>
      <c r="B389" s="3" t="s">
        <v>709</v>
      </c>
      <c r="C389" s="3" t="s">
        <v>1</v>
      </c>
      <c r="D389" s="3" t="s">
        <v>2</v>
      </c>
      <c r="E389" s="3" t="s">
        <v>876</v>
      </c>
      <c r="F389" s="3" t="s">
        <v>1097</v>
      </c>
      <c r="G389" s="3" t="s">
        <v>3119</v>
      </c>
      <c r="H389" s="3" t="s">
        <v>3912</v>
      </c>
      <c r="I389" s="3" t="s">
        <v>925</v>
      </c>
      <c r="J389" s="3">
        <f t="shared" si="48"/>
        <v>38</v>
      </c>
      <c r="K389" s="3">
        <f>IF(ISNUMBER(SEARCH("selesai",Sheet2!D389)-1),1,"")</f>
        <v>1</v>
      </c>
      <c r="L389" s="3" t="str">
        <f t="shared" si="49"/>
        <v>Rp. 511.400.000</v>
      </c>
      <c r="M389" s="3" t="str">
        <f t="shared" si="50"/>
        <v>Rp. 510.015.000</v>
      </c>
      <c r="N389" s="3" t="str">
        <f t="shared" si="51"/>
        <v> 511.400.000</v>
      </c>
      <c r="O389" s="3" t="str">
        <f t="shared" si="52"/>
        <v> 510.015.000</v>
      </c>
      <c r="P389" s="3">
        <f t="shared" si="53"/>
        <v>511400000</v>
      </c>
      <c r="Q389" s="3">
        <f t="shared" si="54"/>
        <v>510015000</v>
      </c>
      <c r="R389" s="3">
        <f t="shared" si="55"/>
        <v>1385000</v>
      </c>
    </row>
    <row r="390" spans="1:18">
      <c r="A390" s="2">
        <v>4882097</v>
      </c>
      <c r="B390" s="3" t="s">
        <v>711</v>
      </c>
      <c r="C390" s="3" t="s">
        <v>1</v>
      </c>
      <c r="D390" s="3" t="s">
        <v>7</v>
      </c>
      <c r="E390" s="3" t="s">
        <v>876</v>
      </c>
      <c r="F390" s="3" t="s">
        <v>875</v>
      </c>
      <c r="G390" s="3" t="s">
        <v>2780</v>
      </c>
      <c r="H390" s="3" t="s">
        <v>3865</v>
      </c>
      <c r="I390" s="3" t="s">
        <v>972</v>
      </c>
      <c r="J390" s="3">
        <f t="shared" si="48"/>
        <v>9</v>
      </c>
      <c r="K390" s="3" t="str">
        <f>IF(ISNUMBER(SEARCH("selesai",Sheet2!D390)-1),1,"")</f>
        <v/>
      </c>
      <c r="L390" s="3" t="str">
        <f t="shared" si="49"/>
        <v>Rp. 1.882.351.600</v>
      </c>
      <c r="M390" s="3" t="str">
        <f t="shared" si="50"/>
        <v>Rp. 1.882.351.200</v>
      </c>
      <c r="N390" s="3" t="str">
        <f t="shared" si="51"/>
        <v> 1.882.351.600</v>
      </c>
      <c r="O390" s="3" t="str">
        <f t="shared" si="52"/>
        <v> 1.882.351.200</v>
      </c>
      <c r="P390" s="3">
        <f t="shared" si="53"/>
        <v>1882351600</v>
      </c>
      <c r="Q390" s="3">
        <f t="shared" si="54"/>
        <v>1882351200</v>
      </c>
      <c r="R390" s="3">
        <f t="shared" si="55"/>
        <v>400</v>
      </c>
    </row>
    <row r="391" spans="1:18">
      <c r="A391" s="2">
        <v>4881097</v>
      </c>
      <c r="B391" s="3" t="s">
        <v>712</v>
      </c>
      <c r="C391" s="3" t="s">
        <v>1</v>
      </c>
      <c r="D391" s="3" t="s">
        <v>76</v>
      </c>
      <c r="E391" s="3" t="s">
        <v>876</v>
      </c>
      <c r="F391" s="3" t="s">
        <v>1097</v>
      </c>
      <c r="G391" s="3" t="s">
        <v>2867</v>
      </c>
      <c r="H391" s="3" t="s">
        <v>3875</v>
      </c>
      <c r="I391" s="3" t="s">
        <v>1132</v>
      </c>
      <c r="J391" s="3">
        <f t="shared" si="48"/>
        <v>29</v>
      </c>
      <c r="K391" s="3" t="str">
        <f>IF(ISNUMBER(SEARCH("selesai",Sheet2!D391)-1),1,"")</f>
        <v/>
      </c>
      <c r="L391" s="3" t="str">
        <f t="shared" si="49"/>
        <v>Rp. 375.000.000</v>
      </c>
      <c r="M391" s="3" t="str">
        <f t="shared" si="50"/>
        <v>Rp. 324.115.000</v>
      </c>
      <c r="N391" s="3" t="str">
        <f t="shared" si="51"/>
        <v> 375.000.000</v>
      </c>
      <c r="O391" s="3" t="str">
        <f t="shared" si="52"/>
        <v> 324.115.000</v>
      </c>
      <c r="P391" s="3">
        <f t="shared" si="53"/>
        <v>375000000</v>
      </c>
      <c r="Q391" s="3">
        <f t="shared" si="54"/>
        <v>324115000</v>
      </c>
      <c r="R391" s="3">
        <f t="shared" si="55"/>
        <v>50885000</v>
      </c>
    </row>
    <row r="392" spans="1:18">
      <c r="A392" s="2">
        <v>4879097</v>
      </c>
      <c r="B392" s="3" t="s">
        <v>713</v>
      </c>
      <c r="C392" s="3" t="s">
        <v>1</v>
      </c>
      <c r="D392" s="3" t="s">
        <v>2</v>
      </c>
      <c r="E392" s="3" t="s">
        <v>876</v>
      </c>
      <c r="F392" s="3" t="s">
        <v>875</v>
      </c>
      <c r="G392" s="3" t="s">
        <v>3135</v>
      </c>
      <c r="H392" s="3" t="s">
        <v>3913</v>
      </c>
      <c r="I392" s="3" t="s">
        <v>1305</v>
      </c>
      <c r="J392" s="3">
        <f t="shared" si="48"/>
        <v>15</v>
      </c>
      <c r="K392" s="3">
        <f>IF(ISNUMBER(SEARCH("selesai",Sheet2!D392)-1),1,"")</f>
        <v>1</v>
      </c>
      <c r="L392" s="3" t="str">
        <f t="shared" si="49"/>
        <v>Rp. 401.625.000</v>
      </c>
      <c r="M392" s="3" t="str">
        <f t="shared" si="50"/>
        <v>Rp. 304.243.500</v>
      </c>
      <c r="N392" s="3" t="str">
        <f t="shared" si="51"/>
        <v> 401.625.000</v>
      </c>
      <c r="O392" s="3" t="str">
        <f t="shared" si="52"/>
        <v> 304.243.500</v>
      </c>
      <c r="P392" s="3">
        <f t="shared" si="53"/>
        <v>401625000</v>
      </c>
      <c r="Q392" s="3">
        <f t="shared" si="54"/>
        <v>304243500</v>
      </c>
      <c r="R392" s="3">
        <f t="shared" si="55"/>
        <v>97381500</v>
      </c>
    </row>
    <row r="393" spans="1:18">
      <c r="A393" s="2">
        <v>4875097</v>
      </c>
      <c r="B393" s="3" t="s">
        <v>715</v>
      </c>
      <c r="C393" s="3" t="s">
        <v>1</v>
      </c>
      <c r="D393" s="3" t="s">
        <v>76</v>
      </c>
      <c r="E393" s="3" t="s">
        <v>876</v>
      </c>
      <c r="F393" s="3" t="s">
        <v>1097</v>
      </c>
      <c r="G393" s="3" t="s">
        <v>1164</v>
      </c>
      <c r="H393" s="3" t="s">
        <v>3845</v>
      </c>
      <c r="I393" s="3" t="s">
        <v>966</v>
      </c>
      <c r="J393" s="3">
        <f t="shared" si="48"/>
        <v>25</v>
      </c>
      <c r="K393" s="3" t="str">
        <f>IF(ISNUMBER(SEARCH("selesai",Sheet2!D393)-1),1,"")</f>
        <v/>
      </c>
      <c r="L393" s="3" t="str">
        <f t="shared" si="49"/>
        <v>Rp. 1.000.000.000</v>
      </c>
      <c r="M393" s="3" t="str">
        <f t="shared" si="50"/>
        <v>Rp. 998.074.000</v>
      </c>
      <c r="N393" s="3" t="str">
        <f t="shared" si="51"/>
        <v> 1.000.000.000</v>
      </c>
      <c r="O393" s="3" t="str">
        <f t="shared" si="52"/>
        <v> 998.074.000</v>
      </c>
      <c r="P393" s="3">
        <f t="shared" si="53"/>
        <v>1000000000</v>
      </c>
      <c r="Q393" s="3">
        <f t="shared" si="54"/>
        <v>998074000</v>
      </c>
      <c r="R393" s="3">
        <f t="shared" si="55"/>
        <v>1926000</v>
      </c>
    </row>
    <row r="394" spans="1:18">
      <c r="A394" s="2">
        <v>4874097</v>
      </c>
      <c r="B394" s="3" t="s">
        <v>716</v>
      </c>
      <c r="C394" s="3" t="s">
        <v>1</v>
      </c>
      <c r="D394" s="3" t="s">
        <v>76</v>
      </c>
      <c r="E394" s="3" t="s">
        <v>876</v>
      </c>
      <c r="F394" s="3" t="s">
        <v>1097</v>
      </c>
      <c r="G394" s="3" t="s">
        <v>1164</v>
      </c>
      <c r="H394" s="3" t="s">
        <v>3845</v>
      </c>
      <c r="I394" s="3" t="s">
        <v>1138</v>
      </c>
      <c r="J394" s="3">
        <f t="shared" si="48"/>
        <v>22</v>
      </c>
      <c r="K394" s="3" t="str">
        <f>IF(ISNUMBER(SEARCH("selesai",Sheet2!D394)-1),1,"")</f>
        <v/>
      </c>
      <c r="L394" s="3" t="str">
        <f t="shared" si="49"/>
        <v>Rp. 1.000.000.000</v>
      </c>
      <c r="M394" s="3" t="str">
        <f t="shared" si="50"/>
        <v>Rp. 998.074.000</v>
      </c>
      <c r="N394" s="3" t="str">
        <f t="shared" si="51"/>
        <v> 1.000.000.000</v>
      </c>
      <c r="O394" s="3" t="str">
        <f t="shared" si="52"/>
        <v> 998.074.000</v>
      </c>
      <c r="P394" s="3">
        <f t="shared" si="53"/>
        <v>1000000000</v>
      </c>
      <c r="Q394" s="3">
        <f t="shared" si="54"/>
        <v>998074000</v>
      </c>
      <c r="R394" s="3">
        <f t="shared" si="55"/>
        <v>1926000</v>
      </c>
    </row>
    <row r="395" spans="1:18">
      <c r="A395" s="2">
        <v>4872097</v>
      </c>
      <c r="B395" s="3" t="s">
        <v>717</v>
      </c>
      <c r="C395" s="3" t="s">
        <v>1</v>
      </c>
      <c r="D395" s="3" t="s">
        <v>2</v>
      </c>
      <c r="E395" s="3" t="s">
        <v>876</v>
      </c>
      <c r="F395" s="3" t="s">
        <v>1097</v>
      </c>
      <c r="G395" s="3" t="s">
        <v>3151</v>
      </c>
      <c r="H395" s="3" t="s">
        <v>3914</v>
      </c>
      <c r="I395" s="3" t="s">
        <v>966</v>
      </c>
      <c r="J395" s="3">
        <f t="shared" si="48"/>
        <v>25</v>
      </c>
      <c r="K395" s="3">
        <f>IF(ISNUMBER(SEARCH("selesai",Sheet2!D395)-1),1,"")</f>
        <v>1</v>
      </c>
      <c r="L395" s="3" t="str">
        <f t="shared" si="49"/>
        <v>Rp. 705.300.000</v>
      </c>
      <c r="M395" s="3" t="str">
        <f t="shared" si="50"/>
        <v>Rp. 696.685.000</v>
      </c>
      <c r="N395" s="3" t="str">
        <f t="shared" si="51"/>
        <v> 705.300.000</v>
      </c>
      <c r="O395" s="3" t="str">
        <f t="shared" si="52"/>
        <v> 696.685.000</v>
      </c>
      <c r="P395" s="3">
        <f t="shared" si="53"/>
        <v>705300000</v>
      </c>
      <c r="Q395" s="3">
        <f t="shared" si="54"/>
        <v>696685000</v>
      </c>
      <c r="R395" s="3">
        <f t="shared" si="55"/>
        <v>8615000</v>
      </c>
    </row>
    <row r="396" spans="1:18">
      <c r="A396" s="2">
        <v>4870097</v>
      </c>
      <c r="B396" s="3" t="s">
        <v>719</v>
      </c>
      <c r="C396" s="3" t="s">
        <v>1</v>
      </c>
      <c r="D396" s="3" t="s">
        <v>2</v>
      </c>
      <c r="E396" s="3" t="s">
        <v>876</v>
      </c>
      <c r="F396" s="3" t="s">
        <v>1097</v>
      </c>
      <c r="G396" s="3" t="s">
        <v>2651</v>
      </c>
      <c r="H396" s="3" t="s">
        <v>3915</v>
      </c>
      <c r="I396" s="3" t="s">
        <v>1177</v>
      </c>
      <c r="J396" s="3">
        <f t="shared" si="48"/>
        <v>24</v>
      </c>
      <c r="K396" s="3">
        <f>IF(ISNUMBER(SEARCH("selesai",Sheet2!D396)-1),1,"")</f>
        <v>1</v>
      </c>
      <c r="L396" s="3" t="str">
        <f t="shared" si="49"/>
        <v>Rp. 508.400.000</v>
      </c>
      <c r="M396" s="3" t="str">
        <f t="shared" si="50"/>
        <v>Rp. 506.220.000</v>
      </c>
      <c r="N396" s="3" t="str">
        <f t="shared" si="51"/>
        <v> 508.400.000</v>
      </c>
      <c r="O396" s="3" t="str">
        <f t="shared" si="52"/>
        <v> 506.220.000</v>
      </c>
      <c r="P396" s="3">
        <f t="shared" si="53"/>
        <v>508400000</v>
      </c>
      <c r="Q396" s="3">
        <f t="shared" si="54"/>
        <v>506220000</v>
      </c>
      <c r="R396" s="3">
        <f t="shared" si="55"/>
        <v>2180000</v>
      </c>
    </row>
    <row r="397" spans="1:18">
      <c r="A397" s="2">
        <v>4868097</v>
      </c>
      <c r="B397" s="3" t="s">
        <v>721</v>
      </c>
      <c r="C397" s="3" t="s">
        <v>1</v>
      </c>
      <c r="D397" s="3" t="s">
        <v>2</v>
      </c>
      <c r="E397" s="3" t="s">
        <v>876</v>
      </c>
      <c r="F397" s="3" t="s">
        <v>1097</v>
      </c>
      <c r="G397" s="3" t="s">
        <v>3162</v>
      </c>
      <c r="H397" s="3" t="s">
        <v>3916</v>
      </c>
      <c r="I397" s="3" t="s">
        <v>1138</v>
      </c>
      <c r="J397" s="3">
        <f t="shared" si="48"/>
        <v>22</v>
      </c>
      <c r="K397" s="3">
        <f>IF(ISNUMBER(SEARCH("selesai",Sheet2!D397)-1),1,"")</f>
        <v>1</v>
      </c>
      <c r="L397" s="3" t="str">
        <f t="shared" si="49"/>
        <v>Rp. 517.500.000</v>
      </c>
      <c r="M397" s="3" t="str">
        <f t="shared" si="50"/>
        <v>Rp. 512.875.000</v>
      </c>
      <c r="N397" s="3" t="str">
        <f t="shared" si="51"/>
        <v> 517.500.000</v>
      </c>
      <c r="O397" s="3" t="str">
        <f t="shared" si="52"/>
        <v> 512.875.000</v>
      </c>
      <c r="P397" s="3">
        <f t="shared" si="53"/>
        <v>517500000</v>
      </c>
      <c r="Q397" s="3">
        <f t="shared" si="54"/>
        <v>512875000</v>
      </c>
      <c r="R397" s="3">
        <f t="shared" si="55"/>
        <v>4625000</v>
      </c>
    </row>
    <row r="398" spans="1:18">
      <c r="A398" s="2">
        <v>4866097</v>
      </c>
      <c r="B398" s="3" t="s">
        <v>723</v>
      </c>
      <c r="C398" s="3" t="s">
        <v>1</v>
      </c>
      <c r="D398" s="3" t="s">
        <v>2</v>
      </c>
      <c r="E398" s="3" t="s">
        <v>876</v>
      </c>
      <c r="F398" s="3" t="s">
        <v>1097</v>
      </c>
      <c r="G398" s="3" t="s">
        <v>2651</v>
      </c>
      <c r="H398" s="3" t="s">
        <v>3915</v>
      </c>
      <c r="I398" s="3" t="s">
        <v>1177</v>
      </c>
      <c r="J398" s="3">
        <f t="shared" si="48"/>
        <v>24</v>
      </c>
      <c r="K398" s="3">
        <f>IF(ISNUMBER(SEARCH("selesai",Sheet2!D398)-1),1,"")</f>
        <v>1</v>
      </c>
      <c r="L398" s="3" t="str">
        <f t="shared" si="49"/>
        <v>Rp. 508.400.000</v>
      </c>
      <c r="M398" s="3" t="str">
        <f t="shared" si="50"/>
        <v>Rp. 506.220.000</v>
      </c>
      <c r="N398" s="3" t="str">
        <f t="shared" si="51"/>
        <v> 508.400.000</v>
      </c>
      <c r="O398" s="3" t="str">
        <f t="shared" si="52"/>
        <v> 506.220.000</v>
      </c>
      <c r="P398" s="3">
        <f t="shared" si="53"/>
        <v>508400000</v>
      </c>
      <c r="Q398" s="3">
        <f t="shared" si="54"/>
        <v>506220000</v>
      </c>
      <c r="R398" s="3">
        <f t="shared" si="55"/>
        <v>2180000</v>
      </c>
    </row>
    <row r="399" spans="1:18">
      <c r="A399" s="2">
        <v>4864097</v>
      </c>
      <c r="B399" s="3" t="s">
        <v>724</v>
      </c>
      <c r="C399" s="3" t="s">
        <v>1</v>
      </c>
      <c r="D399" s="3" t="s">
        <v>2</v>
      </c>
      <c r="E399" s="3" t="s">
        <v>876</v>
      </c>
      <c r="F399" s="3" t="s">
        <v>1097</v>
      </c>
      <c r="G399" s="3" t="s">
        <v>3173</v>
      </c>
      <c r="H399" s="3" t="s">
        <v>3917</v>
      </c>
      <c r="I399" s="3" t="s">
        <v>1126</v>
      </c>
      <c r="J399" s="3">
        <f t="shared" si="48"/>
        <v>23</v>
      </c>
      <c r="K399" s="3">
        <f>IF(ISNUMBER(SEARCH("selesai",Sheet2!D399)-1),1,"")</f>
        <v>1</v>
      </c>
      <c r="L399" s="3" t="str">
        <f t="shared" si="49"/>
        <v>Rp. 500.500.000</v>
      </c>
      <c r="M399" s="3" t="str">
        <f t="shared" si="50"/>
        <v>Rp. 499.565.000</v>
      </c>
      <c r="N399" s="3" t="str">
        <f t="shared" si="51"/>
        <v> 500.500.000</v>
      </c>
      <c r="O399" s="3" t="str">
        <f t="shared" si="52"/>
        <v> 499.565.000</v>
      </c>
      <c r="P399" s="3">
        <f t="shared" si="53"/>
        <v>500500000</v>
      </c>
      <c r="Q399" s="3">
        <f t="shared" si="54"/>
        <v>499565000</v>
      </c>
      <c r="R399" s="3">
        <f t="shared" si="55"/>
        <v>935000</v>
      </c>
    </row>
    <row r="400" spans="1:18">
      <c r="A400" s="2">
        <v>4862097</v>
      </c>
      <c r="B400" s="3" t="s">
        <v>726</v>
      </c>
      <c r="C400" s="3" t="s">
        <v>1</v>
      </c>
      <c r="D400" s="3" t="s">
        <v>2</v>
      </c>
      <c r="E400" s="3" t="s">
        <v>876</v>
      </c>
      <c r="F400" s="3" t="s">
        <v>1097</v>
      </c>
      <c r="G400" s="3" t="s">
        <v>3179</v>
      </c>
      <c r="H400" s="3" t="s">
        <v>3918</v>
      </c>
      <c r="I400" s="3" t="s">
        <v>1063</v>
      </c>
      <c r="J400" s="3">
        <f t="shared" si="48"/>
        <v>36</v>
      </c>
      <c r="K400" s="3">
        <f>IF(ISNUMBER(SEARCH("selesai",Sheet2!D400)-1),1,"")</f>
        <v>1</v>
      </c>
      <c r="L400" s="3" t="str">
        <f t="shared" si="49"/>
        <v>Rp. 522.900.000</v>
      </c>
      <c r="M400" s="3" t="str">
        <f t="shared" si="50"/>
        <v>Rp. 522.225.000</v>
      </c>
      <c r="N400" s="3" t="str">
        <f t="shared" si="51"/>
        <v> 522.900.000</v>
      </c>
      <c r="O400" s="3" t="str">
        <f t="shared" si="52"/>
        <v> 522.225.000</v>
      </c>
      <c r="P400" s="3">
        <f t="shared" si="53"/>
        <v>522900000</v>
      </c>
      <c r="Q400" s="3">
        <f t="shared" si="54"/>
        <v>522225000</v>
      </c>
      <c r="R400" s="3">
        <f t="shared" si="55"/>
        <v>675000</v>
      </c>
    </row>
    <row r="401" spans="1:18">
      <c r="A401" s="2">
        <v>4860097</v>
      </c>
      <c r="B401" s="3" t="s">
        <v>728</v>
      </c>
      <c r="C401" s="3" t="s">
        <v>1</v>
      </c>
      <c r="D401" s="3" t="s">
        <v>2</v>
      </c>
      <c r="E401" s="3" t="s">
        <v>876</v>
      </c>
      <c r="F401" s="3" t="s">
        <v>1097</v>
      </c>
      <c r="G401" s="3" t="s">
        <v>3185</v>
      </c>
      <c r="H401" s="3" t="s">
        <v>3919</v>
      </c>
      <c r="I401" s="3" t="s">
        <v>1063</v>
      </c>
      <c r="J401" s="3">
        <f t="shared" si="48"/>
        <v>36</v>
      </c>
      <c r="K401" s="3">
        <f>IF(ISNUMBER(SEARCH("selesai",Sheet2!D401)-1),1,"")</f>
        <v>1</v>
      </c>
      <c r="L401" s="3" t="str">
        <f t="shared" si="49"/>
        <v>Rp. 514.250.000</v>
      </c>
      <c r="M401" s="3" t="str">
        <f t="shared" si="50"/>
        <v>Rp. 513.865.000</v>
      </c>
      <c r="N401" s="3" t="str">
        <f t="shared" si="51"/>
        <v> 514.250.000</v>
      </c>
      <c r="O401" s="3" t="str">
        <f t="shared" si="52"/>
        <v> 513.865.000</v>
      </c>
      <c r="P401" s="3">
        <f t="shared" si="53"/>
        <v>514250000</v>
      </c>
      <c r="Q401" s="3">
        <f t="shared" si="54"/>
        <v>513865000</v>
      </c>
      <c r="R401" s="3">
        <f t="shared" si="55"/>
        <v>385000</v>
      </c>
    </row>
    <row r="402" spans="1:18">
      <c r="A402" s="2">
        <v>4858097</v>
      </c>
      <c r="B402" s="3" t="s">
        <v>730</v>
      </c>
      <c r="C402" s="3" t="s">
        <v>1</v>
      </c>
      <c r="D402" s="3" t="s">
        <v>2</v>
      </c>
      <c r="E402" s="3" t="s">
        <v>876</v>
      </c>
      <c r="F402" s="3" t="s">
        <v>1097</v>
      </c>
      <c r="G402" s="3" t="s">
        <v>3191</v>
      </c>
      <c r="H402" s="3" t="s">
        <v>3920</v>
      </c>
      <c r="I402" s="3" t="s">
        <v>1126</v>
      </c>
      <c r="J402" s="3">
        <f t="shared" si="48"/>
        <v>23</v>
      </c>
      <c r="K402" s="3">
        <f>IF(ISNUMBER(SEARCH("selesai",Sheet2!D402)-1),1,"")</f>
        <v>1</v>
      </c>
      <c r="L402" s="3" t="str">
        <f t="shared" si="49"/>
        <v>Rp. 521.900.000</v>
      </c>
      <c r="M402" s="3" t="str">
        <f t="shared" si="50"/>
        <v>Rp. 504.955.000</v>
      </c>
      <c r="N402" s="3" t="str">
        <f t="shared" si="51"/>
        <v> 521.900.000</v>
      </c>
      <c r="O402" s="3" t="str">
        <f t="shared" si="52"/>
        <v> 504.955.000</v>
      </c>
      <c r="P402" s="3">
        <f t="shared" si="53"/>
        <v>521900000</v>
      </c>
      <c r="Q402" s="3">
        <f t="shared" si="54"/>
        <v>504955000</v>
      </c>
      <c r="R402" s="3">
        <f t="shared" si="55"/>
        <v>16945000</v>
      </c>
    </row>
    <row r="403" spans="1:18">
      <c r="A403" s="2">
        <v>4856097</v>
      </c>
      <c r="B403" s="3" t="s">
        <v>732</v>
      </c>
      <c r="C403" s="3" t="s">
        <v>1</v>
      </c>
      <c r="D403" s="3" t="s">
        <v>2</v>
      </c>
      <c r="E403" s="3" t="s">
        <v>876</v>
      </c>
      <c r="F403" s="3" t="s">
        <v>1097</v>
      </c>
      <c r="G403" s="3" t="s">
        <v>3197</v>
      </c>
      <c r="H403" s="3" t="s">
        <v>3921</v>
      </c>
      <c r="I403" s="3" t="s">
        <v>1177</v>
      </c>
      <c r="J403" s="3">
        <f t="shared" si="48"/>
        <v>24</v>
      </c>
      <c r="K403" s="3">
        <f>IF(ISNUMBER(SEARCH("selesai",Sheet2!D403)-1),1,"")</f>
        <v>1</v>
      </c>
      <c r="L403" s="3" t="str">
        <f t="shared" si="49"/>
        <v>Rp. 472.400.000</v>
      </c>
      <c r="M403" s="3" t="str">
        <f t="shared" si="50"/>
        <v>Rp. 472.230.000</v>
      </c>
      <c r="N403" s="3" t="str">
        <f t="shared" si="51"/>
        <v> 472.400.000</v>
      </c>
      <c r="O403" s="3" t="str">
        <f t="shared" si="52"/>
        <v> 472.230.000</v>
      </c>
      <c r="P403" s="3">
        <f t="shared" si="53"/>
        <v>472400000</v>
      </c>
      <c r="Q403" s="3">
        <f t="shared" si="54"/>
        <v>472230000</v>
      </c>
      <c r="R403" s="3">
        <f t="shared" si="55"/>
        <v>170000</v>
      </c>
    </row>
    <row r="404" spans="1:18">
      <c r="A404" s="2">
        <v>4854097</v>
      </c>
      <c r="B404" s="3" t="s">
        <v>734</v>
      </c>
      <c r="C404" s="3" t="s">
        <v>1</v>
      </c>
      <c r="D404" s="3" t="s">
        <v>2</v>
      </c>
      <c r="E404" s="3" t="s">
        <v>876</v>
      </c>
      <c r="F404" s="3" t="s">
        <v>1097</v>
      </c>
      <c r="G404" s="3" t="s">
        <v>3203</v>
      </c>
      <c r="H404" s="3" t="s">
        <v>3922</v>
      </c>
      <c r="I404" s="3" t="s">
        <v>1205</v>
      </c>
      <c r="J404" s="3">
        <f t="shared" si="48"/>
        <v>34</v>
      </c>
      <c r="K404" s="3">
        <f>IF(ISNUMBER(SEARCH("selesai",Sheet2!D404)-1),1,"")</f>
        <v>1</v>
      </c>
      <c r="L404" s="3" t="str">
        <f t="shared" si="49"/>
        <v>Rp. 510.200.000</v>
      </c>
      <c r="M404" s="3" t="str">
        <f t="shared" si="50"/>
        <v>Rp. 509.520.000</v>
      </c>
      <c r="N404" s="3" t="str">
        <f t="shared" si="51"/>
        <v> 510.200.000</v>
      </c>
      <c r="O404" s="3" t="str">
        <f t="shared" si="52"/>
        <v> 509.520.000</v>
      </c>
      <c r="P404" s="3">
        <f t="shared" si="53"/>
        <v>510200000</v>
      </c>
      <c r="Q404" s="3">
        <f t="shared" si="54"/>
        <v>509520000</v>
      </c>
      <c r="R404" s="3">
        <f t="shared" si="55"/>
        <v>680000</v>
      </c>
    </row>
    <row r="405" spans="1:18">
      <c r="A405" s="2">
        <v>4852097</v>
      </c>
      <c r="B405" s="3" t="s">
        <v>736</v>
      </c>
      <c r="C405" s="3" t="s">
        <v>1</v>
      </c>
      <c r="D405" s="3" t="s">
        <v>2</v>
      </c>
      <c r="E405" s="3" t="s">
        <v>876</v>
      </c>
      <c r="F405" s="3" t="s">
        <v>1097</v>
      </c>
      <c r="G405" s="3" t="s">
        <v>2651</v>
      </c>
      <c r="H405" s="3" t="s">
        <v>3915</v>
      </c>
      <c r="I405" s="3" t="s">
        <v>1138</v>
      </c>
      <c r="J405" s="3">
        <f t="shared" si="48"/>
        <v>22</v>
      </c>
      <c r="K405" s="3">
        <f>IF(ISNUMBER(SEARCH("selesai",Sheet2!D405)-1),1,"")</f>
        <v>1</v>
      </c>
      <c r="L405" s="3" t="str">
        <f t="shared" si="49"/>
        <v>Rp. 508.400.000</v>
      </c>
      <c r="M405" s="3" t="str">
        <f t="shared" si="50"/>
        <v>Rp. 506.220.000</v>
      </c>
      <c r="N405" s="3" t="str">
        <f t="shared" si="51"/>
        <v> 508.400.000</v>
      </c>
      <c r="O405" s="3" t="str">
        <f t="shared" si="52"/>
        <v> 506.220.000</v>
      </c>
      <c r="P405" s="3">
        <f t="shared" si="53"/>
        <v>508400000</v>
      </c>
      <c r="Q405" s="3">
        <f t="shared" si="54"/>
        <v>506220000</v>
      </c>
      <c r="R405" s="3">
        <f t="shared" si="55"/>
        <v>2180000</v>
      </c>
    </row>
    <row r="406" spans="1:18">
      <c r="A406" s="2">
        <v>4850097</v>
      </c>
      <c r="B406" s="3" t="s">
        <v>737</v>
      </c>
      <c r="C406" s="3" t="s">
        <v>1</v>
      </c>
      <c r="D406" s="3" t="s">
        <v>2</v>
      </c>
      <c r="E406" s="3" t="s">
        <v>876</v>
      </c>
      <c r="F406" s="3" t="s">
        <v>1097</v>
      </c>
      <c r="G406" s="3" t="s">
        <v>3214</v>
      </c>
      <c r="H406" s="3" t="s">
        <v>3923</v>
      </c>
      <c r="I406" s="3" t="s">
        <v>1205</v>
      </c>
      <c r="J406" s="3">
        <f t="shared" si="48"/>
        <v>34</v>
      </c>
      <c r="K406" s="3">
        <f>IF(ISNUMBER(SEARCH("selesai",Sheet2!D406)-1),1,"")</f>
        <v>1</v>
      </c>
      <c r="L406" s="3" t="str">
        <f t="shared" si="49"/>
        <v>Rp. 507.800.000</v>
      </c>
      <c r="M406" s="3" t="str">
        <f t="shared" si="50"/>
        <v>Rp. 506.770.000</v>
      </c>
      <c r="N406" s="3" t="str">
        <f t="shared" si="51"/>
        <v> 507.800.000</v>
      </c>
      <c r="O406" s="3" t="str">
        <f t="shared" si="52"/>
        <v> 506.770.000</v>
      </c>
      <c r="P406" s="3">
        <f t="shared" si="53"/>
        <v>507800000</v>
      </c>
      <c r="Q406" s="3">
        <f t="shared" si="54"/>
        <v>506770000</v>
      </c>
      <c r="R406" s="3">
        <f t="shared" si="55"/>
        <v>1030000</v>
      </c>
    </row>
    <row r="407" spans="1:18">
      <c r="A407" s="2">
        <v>4848097</v>
      </c>
      <c r="B407" s="3" t="s">
        <v>739</v>
      </c>
      <c r="C407" s="3" t="s">
        <v>1</v>
      </c>
      <c r="D407" s="3" t="s">
        <v>2</v>
      </c>
      <c r="E407" s="3" t="s">
        <v>876</v>
      </c>
      <c r="F407" s="3" t="s">
        <v>1097</v>
      </c>
      <c r="G407" s="3" t="s">
        <v>3220</v>
      </c>
      <c r="H407" s="3" t="s">
        <v>3924</v>
      </c>
      <c r="I407" s="3" t="s">
        <v>1205</v>
      </c>
      <c r="J407" s="3">
        <f t="shared" si="48"/>
        <v>34</v>
      </c>
      <c r="K407" s="3">
        <f>IF(ISNUMBER(SEARCH("selesai",Sheet2!D407)-1),1,"")</f>
        <v>1</v>
      </c>
      <c r="L407" s="3" t="str">
        <f t="shared" si="49"/>
        <v>Rp. 506.300.000</v>
      </c>
      <c r="M407" s="3" t="str">
        <f t="shared" si="50"/>
        <v>Rp. 505.670.000</v>
      </c>
      <c r="N407" s="3" t="str">
        <f t="shared" si="51"/>
        <v> 506.300.000</v>
      </c>
      <c r="O407" s="3" t="str">
        <f t="shared" si="52"/>
        <v> 505.670.000</v>
      </c>
      <c r="P407" s="3">
        <f t="shared" si="53"/>
        <v>506300000</v>
      </c>
      <c r="Q407" s="3">
        <f t="shared" si="54"/>
        <v>505670000</v>
      </c>
      <c r="R407" s="3">
        <f t="shared" si="55"/>
        <v>630000</v>
      </c>
    </row>
    <row r="408" spans="1:18">
      <c r="A408" s="2">
        <v>4846097</v>
      </c>
      <c r="B408" s="3" t="s">
        <v>741</v>
      </c>
      <c r="C408" s="3" t="s">
        <v>1</v>
      </c>
      <c r="D408" s="3" t="s">
        <v>2</v>
      </c>
      <c r="E408" s="3" t="s">
        <v>876</v>
      </c>
      <c r="F408" s="3" t="s">
        <v>1097</v>
      </c>
      <c r="G408" s="3" t="s">
        <v>3226</v>
      </c>
      <c r="H408" s="3" t="s">
        <v>3925</v>
      </c>
      <c r="I408" s="3" t="s">
        <v>1138</v>
      </c>
      <c r="J408" s="3">
        <f t="shared" si="48"/>
        <v>22</v>
      </c>
      <c r="K408" s="3">
        <f>IF(ISNUMBER(SEARCH("selesai",Sheet2!D408)-1),1,"")</f>
        <v>1</v>
      </c>
      <c r="L408" s="3" t="str">
        <f t="shared" si="49"/>
        <v>Rp. 513.900.000</v>
      </c>
      <c r="M408" s="3" t="str">
        <f t="shared" si="50"/>
        <v>Rp. 513.315.000</v>
      </c>
      <c r="N408" s="3" t="str">
        <f t="shared" si="51"/>
        <v> 513.900.000</v>
      </c>
      <c r="O408" s="3" t="str">
        <f t="shared" si="52"/>
        <v> 513.315.000</v>
      </c>
      <c r="P408" s="3">
        <f t="shared" si="53"/>
        <v>513900000</v>
      </c>
      <c r="Q408" s="3">
        <f t="shared" si="54"/>
        <v>513315000</v>
      </c>
      <c r="R408" s="3">
        <f t="shared" si="55"/>
        <v>585000</v>
      </c>
    </row>
    <row r="409" spans="1:18">
      <c r="A409" s="2">
        <v>4844097</v>
      </c>
      <c r="B409" s="3" t="s">
        <v>743</v>
      </c>
      <c r="C409" s="3" t="s">
        <v>1</v>
      </c>
      <c r="D409" s="3" t="s">
        <v>2</v>
      </c>
      <c r="E409" s="3" t="s">
        <v>876</v>
      </c>
      <c r="F409" s="3" t="s">
        <v>1097</v>
      </c>
      <c r="G409" s="3" t="s">
        <v>3232</v>
      </c>
      <c r="H409" s="3" t="s">
        <v>3926</v>
      </c>
      <c r="I409" s="3" t="s">
        <v>1474</v>
      </c>
      <c r="J409" s="3">
        <f t="shared" si="48"/>
        <v>33</v>
      </c>
      <c r="K409" s="3">
        <f>IF(ISNUMBER(SEARCH("selesai",Sheet2!D409)-1),1,"")</f>
        <v>1</v>
      </c>
      <c r="L409" s="3" t="str">
        <f t="shared" si="49"/>
        <v>Rp. 513.800.000</v>
      </c>
      <c r="M409" s="3" t="str">
        <f t="shared" si="50"/>
        <v>Rp. 513.139.000</v>
      </c>
      <c r="N409" s="3" t="str">
        <f t="shared" si="51"/>
        <v> 513.800.000</v>
      </c>
      <c r="O409" s="3" t="str">
        <f t="shared" si="52"/>
        <v> 513.139.000</v>
      </c>
      <c r="P409" s="3">
        <f t="shared" si="53"/>
        <v>513800000</v>
      </c>
      <c r="Q409" s="3">
        <f t="shared" si="54"/>
        <v>513139000</v>
      </c>
      <c r="R409" s="3">
        <f t="shared" si="55"/>
        <v>661000</v>
      </c>
    </row>
    <row r="410" spans="1:18">
      <c r="A410" s="2">
        <v>4842097</v>
      </c>
      <c r="B410" s="3" t="s">
        <v>745</v>
      </c>
      <c r="C410" s="3" t="s">
        <v>1</v>
      </c>
      <c r="D410" s="3" t="s">
        <v>2</v>
      </c>
      <c r="E410" s="3" t="s">
        <v>876</v>
      </c>
      <c r="F410" s="3" t="s">
        <v>1097</v>
      </c>
      <c r="G410" s="3" t="s">
        <v>3238</v>
      </c>
      <c r="H410" s="3" t="s">
        <v>3927</v>
      </c>
      <c r="I410" s="3" t="s">
        <v>1205</v>
      </c>
      <c r="J410" s="3">
        <f t="shared" si="48"/>
        <v>34</v>
      </c>
      <c r="K410" s="3">
        <f>IF(ISNUMBER(SEARCH("selesai",Sheet2!D410)-1),1,"")</f>
        <v>1</v>
      </c>
      <c r="L410" s="3" t="str">
        <f t="shared" si="49"/>
        <v>Rp. 517.700.000</v>
      </c>
      <c r="M410" s="3" t="str">
        <f t="shared" si="50"/>
        <v>Rp. 517.220.000</v>
      </c>
      <c r="N410" s="3" t="str">
        <f t="shared" si="51"/>
        <v> 517.700.000</v>
      </c>
      <c r="O410" s="3" t="str">
        <f t="shared" si="52"/>
        <v> 517.220.000</v>
      </c>
      <c r="P410" s="3">
        <f t="shared" si="53"/>
        <v>517700000</v>
      </c>
      <c r="Q410" s="3">
        <f t="shared" si="54"/>
        <v>517220000</v>
      </c>
      <c r="R410" s="3">
        <f t="shared" si="55"/>
        <v>480000</v>
      </c>
    </row>
    <row r="411" spans="1:18">
      <c r="A411" s="2">
        <v>4840097</v>
      </c>
      <c r="B411" s="3" t="s">
        <v>747</v>
      </c>
      <c r="C411" s="3" t="s">
        <v>1</v>
      </c>
      <c r="D411" s="3" t="s">
        <v>2</v>
      </c>
      <c r="E411" s="3" t="s">
        <v>876</v>
      </c>
      <c r="F411" s="3" t="s">
        <v>1097</v>
      </c>
      <c r="G411" s="3" t="s">
        <v>3244</v>
      </c>
      <c r="H411" s="3" t="s">
        <v>3928</v>
      </c>
      <c r="I411" s="3" t="s">
        <v>1177</v>
      </c>
      <c r="J411" s="3">
        <f t="shared" si="48"/>
        <v>24</v>
      </c>
      <c r="K411" s="3">
        <f>IF(ISNUMBER(SEARCH("selesai",Sheet2!D411)-1),1,"")</f>
        <v>1</v>
      </c>
      <c r="L411" s="3" t="str">
        <f t="shared" si="49"/>
        <v>Rp. 507.700.000</v>
      </c>
      <c r="M411" s="3" t="str">
        <f t="shared" si="50"/>
        <v>Rp. 506.385.000</v>
      </c>
      <c r="N411" s="3" t="str">
        <f t="shared" si="51"/>
        <v> 507.700.000</v>
      </c>
      <c r="O411" s="3" t="str">
        <f t="shared" si="52"/>
        <v> 506.385.000</v>
      </c>
      <c r="P411" s="3">
        <f t="shared" si="53"/>
        <v>507700000</v>
      </c>
      <c r="Q411" s="3">
        <f t="shared" si="54"/>
        <v>506385000</v>
      </c>
      <c r="R411" s="3">
        <f t="shared" si="55"/>
        <v>1315000</v>
      </c>
    </row>
    <row r="412" spans="1:18">
      <c r="A412" s="2">
        <v>4838097</v>
      </c>
      <c r="B412" s="3" t="s">
        <v>749</v>
      </c>
      <c r="C412" s="3" t="s">
        <v>1</v>
      </c>
      <c r="D412" s="3" t="s">
        <v>2</v>
      </c>
      <c r="E412" s="3" t="s">
        <v>876</v>
      </c>
      <c r="F412" s="3" t="s">
        <v>1097</v>
      </c>
      <c r="G412" s="3" t="s">
        <v>3250</v>
      </c>
      <c r="H412" s="3" t="s">
        <v>3929</v>
      </c>
      <c r="I412" s="3" t="s">
        <v>1151</v>
      </c>
      <c r="J412" s="3">
        <f t="shared" si="48"/>
        <v>21</v>
      </c>
      <c r="K412" s="3">
        <f>IF(ISNUMBER(SEARCH("selesai",Sheet2!D412)-1),1,"")</f>
        <v>1</v>
      </c>
      <c r="L412" s="3" t="str">
        <f t="shared" si="49"/>
        <v>Rp. 608.872.000</v>
      </c>
      <c r="M412" s="3" t="str">
        <f t="shared" si="50"/>
        <v>Rp. 601.865.000</v>
      </c>
      <c r="N412" s="3" t="str">
        <f t="shared" si="51"/>
        <v> 608.872.000</v>
      </c>
      <c r="O412" s="3" t="str">
        <f t="shared" si="52"/>
        <v> 601.865.000</v>
      </c>
      <c r="P412" s="3">
        <f t="shared" si="53"/>
        <v>608872000</v>
      </c>
      <c r="Q412" s="3">
        <f t="shared" si="54"/>
        <v>601865000</v>
      </c>
      <c r="R412" s="3">
        <f t="shared" si="55"/>
        <v>7007000</v>
      </c>
    </row>
    <row r="413" spans="1:18">
      <c r="A413" s="2">
        <v>4836097</v>
      </c>
      <c r="B413" s="3" t="s">
        <v>751</v>
      </c>
      <c r="C413" s="3" t="s">
        <v>1</v>
      </c>
      <c r="D413" s="3" t="s">
        <v>2</v>
      </c>
      <c r="E413" s="3" t="s">
        <v>876</v>
      </c>
      <c r="F413" s="3" t="s">
        <v>1097</v>
      </c>
      <c r="G413" s="3" t="s">
        <v>3185</v>
      </c>
      <c r="H413" s="3" t="s">
        <v>3930</v>
      </c>
      <c r="I413" s="3" t="s">
        <v>1205</v>
      </c>
      <c r="J413" s="3">
        <f t="shared" si="48"/>
        <v>34</v>
      </c>
      <c r="K413" s="3">
        <f>IF(ISNUMBER(SEARCH("selesai",Sheet2!D413)-1),1,"")</f>
        <v>1</v>
      </c>
      <c r="L413" s="3" t="str">
        <f t="shared" si="49"/>
        <v>Rp. 514.250.000</v>
      </c>
      <c r="M413" s="3" t="str">
        <f t="shared" si="50"/>
        <v>Rp. 513.645.000</v>
      </c>
      <c r="N413" s="3" t="str">
        <f t="shared" si="51"/>
        <v> 514.250.000</v>
      </c>
      <c r="O413" s="3" t="str">
        <f t="shared" si="52"/>
        <v> 513.645.000</v>
      </c>
      <c r="P413" s="3">
        <f t="shared" si="53"/>
        <v>514250000</v>
      </c>
      <c r="Q413" s="3">
        <f t="shared" si="54"/>
        <v>513645000</v>
      </c>
      <c r="R413" s="3">
        <f t="shared" si="55"/>
        <v>605000</v>
      </c>
    </row>
    <row r="414" spans="1:18">
      <c r="A414" s="2">
        <v>4835097</v>
      </c>
      <c r="B414" s="3" t="s">
        <v>753</v>
      </c>
      <c r="C414" s="3" t="s">
        <v>1</v>
      </c>
      <c r="D414" s="3" t="s">
        <v>2</v>
      </c>
      <c r="E414" s="3" t="s">
        <v>876</v>
      </c>
      <c r="F414" s="3" t="s">
        <v>919</v>
      </c>
      <c r="G414" s="3" t="s">
        <v>3261</v>
      </c>
      <c r="H414" s="3" t="s">
        <v>3931</v>
      </c>
      <c r="I414" s="3" t="s">
        <v>1462</v>
      </c>
      <c r="J414" s="3">
        <f t="shared" si="48"/>
        <v>41</v>
      </c>
      <c r="K414" s="3">
        <f>IF(ISNUMBER(SEARCH("selesai",Sheet2!D414)-1),1,"")</f>
        <v>1</v>
      </c>
      <c r="L414" s="3" t="str">
        <f t="shared" si="49"/>
        <v>Rp. 226.037.500</v>
      </c>
      <c r="M414" s="3" t="str">
        <f t="shared" si="50"/>
        <v>Rp. 226.037.496</v>
      </c>
      <c r="N414" s="3" t="str">
        <f t="shared" si="51"/>
        <v> 226.037.500</v>
      </c>
      <c r="O414" s="3" t="str">
        <f t="shared" si="52"/>
        <v> 226.037.496</v>
      </c>
      <c r="P414" s="3">
        <f t="shared" si="53"/>
        <v>226037500</v>
      </c>
      <c r="Q414" s="3">
        <f t="shared" si="54"/>
        <v>226037496</v>
      </c>
      <c r="R414" s="3">
        <f t="shared" si="55"/>
        <v>4</v>
      </c>
    </row>
    <row r="415" spans="1:18">
      <c r="A415" s="2">
        <v>4826097</v>
      </c>
      <c r="B415" s="3" t="s">
        <v>756</v>
      </c>
      <c r="C415" s="3" t="s">
        <v>1</v>
      </c>
      <c r="D415" s="3" t="s">
        <v>2</v>
      </c>
      <c r="E415" s="3" t="s">
        <v>876</v>
      </c>
      <c r="F415" s="3" t="s">
        <v>1097</v>
      </c>
      <c r="G415" s="3" t="s">
        <v>3267</v>
      </c>
      <c r="H415" s="3" t="s">
        <v>3932</v>
      </c>
      <c r="I415" s="3" t="s">
        <v>1474</v>
      </c>
      <c r="J415" s="3">
        <f t="shared" si="48"/>
        <v>33</v>
      </c>
      <c r="K415" s="3">
        <f>IF(ISNUMBER(SEARCH("selesai",Sheet2!D415)-1),1,"")</f>
        <v>1</v>
      </c>
      <c r="L415" s="3" t="str">
        <f t="shared" si="49"/>
        <v>Rp. 515.570.000</v>
      </c>
      <c r="M415" s="3" t="str">
        <f t="shared" si="50"/>
        <v>Rp. 515.405.000</v>
      </c>
      <c r="N415" s="3" t="str">
        <f t="shared" si="51"/>
        <v> 515.570.000</v>
      </c>
      <c r="O415" s="3" t="str">
        <f t="shared" si="52"/>
        <v> 515.405.000</v>
      </c>
      <c r="P415" s="3">
        <f t="shared" si="53"/>
        <v>515570000</v>
      </c>
      <c r="Q415" s="3">
        <f t="shared" si="54"/>
        <v>515405000</v>
      </c>
      <c r="R415" s="3">
        <f t="shared" si="55"/>
        <v>165000</v>
      </c>
    </row>
    <row r="416" spans="1:18">
      <c r="A416" s="2">
        <v>4822097</v>
      </c>
      <c r="B416" s="3" t="s">
        <v>758</v>
      </c>
      <c r="C416" s="3" t="s">
        <v>1</v>
      </c>
      <c r="D416" s="3" t="s">
        <v>2</v>
      </c>
      <c r="E416" s="3" t="s">
        <v>876</v>
      </c>
      <c r="F416" s="3" t="s">
        <v>1097</v>
      </c>
      <c r="G416" s="3" t="s">
        <v>2651</v>
      </c>
      <c r="H416" s="3" t="s">
        <v>3915</v>
      </c>
      <c r="I416" s="3" t="s">
        <v>1126</v>
      </c>
      <c r="J416" s="3">
        <f t="shared" si="48"/>
        <v>23</v>
      </c>
      <c r="K416" s="3">
        <f>IF(ISNUMBER(SEARCH("selesai",Sheet2!D416)-1),1,"")</f>
        <v>1</v>
      </c>
      <c r="L416" s="3" t="str">
        <f t="shared" si="49"/>
        <v>Rp. 508.400.000</v>
      </c>
      <c r="M416" s="3" t="str">
        <f t="shared" si="50"/>
        <v>Rp. 506.220.000</v>
      </c>
      <c r="N416" s="3" t="str">
        <f t="shared" si="51"/>
        <v> 508.400.000</v>
      </c>
      <c r="O416" s="3" t="str">
        <f t="shared" si="52"/>
        <v> 506.220.000</v>
      </c>
      <c r="P416" s="3">
        <f t="shared" si="53"/>
        <v>508400000</v>
      </c>
      <c r="Q416" s="3">
        <f t="shared" si="54"/>
        <v>506220000</v>
      </c>
      <c r="R416" s="3">
        <f t="shared" si="55"/>
        <v>2180000</v>
      </c>
    </row>
    <row r="417" spans="1:18">
      <c r="A417" s="2">
        <v>4821097</v>
      </c>
      <c r="B417" s="3" t="s">
        <v>759</v>
      </c>
      <c r="C417" s="3" t="s">
        <v>1</v>
      </c>
      <c r="D417" s="3" t="s">
        <v>2</v>
      </c>
      <c r="E417" s="3" t="s">
        <v>876</v>
      </c>
      <c r="F417" s="3" t="s">
        <v>1097</v>
      </c>
      <c r="G417" s="3" t="s">
        <v>3278</v>
      </c>
      <c r="H417" s="3" t="s">
        <v>3932</v>
      </c>
      <c r="I417" s="3" t="s">
        <v>1158</v>
      </c>
      <c r="J417" s="3">
        <f t="shared" si="48"/>
        <v>20</v>
      </c>
      <c r="K417" s="3">
        <f>IF(ISNUMBER(SEARCH("selesai",Sheet2!D417)-1),1,"")</f>
        <v>1</v>
      </c>
      <c r="L417" s="3" t="str">
        <f t="shared" si="49"/>
        <v>Rp. 516.000.000</v>
      </c>
      <c r="M417" s="3" t="str">
        <f t="shared" si="50"/>
        <v>Rp. 515.405.000</v>
      </c>
      <c r="N417" s="3" t="str">
        <f t="shared" si="51"/>
        <v> 516.000.000</v>
      </c>
      <c r="O417" s="3" t="str">
        <f t="shared" si="52"/>
        <v> 515.405.000</v>
      </c>
      <c r="P417" s="3">
        <f t="shared" si="53"/>
        <v>516000000</v>
      </c>
      <c r="Q417" s="3">
        <f t="shared" si="54"/>
        <v>515405000</v>
      </c>
      <c r="R417" s="3">
        <f t="shared" si="55"/>
        <v>595000</v>
      </c>
    </row>
    <row r="418" spans="1:18">
      <c r="A418" s="2">
        <v>4816097</v>
      </c>
      <c r="B418" s="3" t="s">
        <v>760</v>
      </c>
      <c r="C418" s="3" t="s">
        <v>1</v>
      </c>
      <c r="D418" s="3" t="s">
        <v>2</v>
      </c>
      <c r="E418" s="3" t="s">
        <v>876</v>
      </c>
      <c r="F418" s="3" t="s">
        <v>919</v>
      </c>
      <c r="G418" s="3" t="s">
        <v>3284</v>
      </c>
      <c r="H418" s="3" t="s">
        <v>3933</v>
      </c>
      <c r="I418" s="3" t="s">
        <v>1342</v>
      </c>
      <c r="J418" s="3">
        <f t="shared" si="48"/>
        <v>44</v>
      </c>
      <c r="K418" s="3">
        <f>IF(ISNUMBER(SEARCH("selesai",Sheet2!D418)-1),1,"")</f>
        <v>1</v>
      </c>
      <c r="L418" s="3" t="str">
        <f t="shared" si="49"/>
        <v>Rp. 342.400.000</v>
      </c>
      <c r="M418" s="3" t="str">
        <f t="shared" si="50"/>
        <v>Rp. 342.398.704</v>
      </c>
      <c r="N418" s="3" t="str">
        <f t="shared" si="51"/>
        <v> 342.400.000</v>
      </c>
      <c r="O418" s="3" t="str">
        <f t="shared" si="52"/>
        <v> 342.398.704</v>
      </c>
      <c r="P418" s="3">
        <f t="shared" si="53"/>
        <v>342400000</v>
      </c>
      <c r="Q418" s="3">
        <f t="shared" si="54"/>
        <v>342398704</v>
      </c>
      <c r="R418" s="3">
        <f t="shared" si="55"/>
        <v>1296</v>
      </c>
    </row>
    <row r="419" spans="1:18">
      <c r="A419" s="2">
        <v>4811097</v>
      </c>
      <c r="B419" s="3" t="s">
        <v>762</v>
      </c>
      <c r="C419" s="3" t="s">
        <v>1</v>
      </c>
      <c r="D419" s="3" t="s">
        <v>2</v>
      </c>
      <c r="E419" s="3" t="s">
        <v>876</v>
      </c>
      <c r="F419" s="3" t="s">
        <v>1097</v>
      </c>
      <c r="G419" s="3" t="s">
        <v>3173</v>
      </c>
      <c r="H419" s="3" t="s">
        <v>3917</v>
      </c>
      <c r="I419" s="3" t="s">
        <v>1177</v>
      </c>
      <c r="J419" s="3">
        <f t="shared" si="48"/>
        <v>24</v>
      </c>
      <c r="K419" s="3">
        <f>IF(ISNUMBER(SEARCH("selesai",Sheet2!D419)-1),1,"")</f>
        <v>1</v>
      </c>
      <c r="L419" s="3" t="str">
        <f t="shared" si="49"/>
        <v>Rp. 500.500.000</v>
      </c>
      <c r="M419" s="3" t="str">
        <f t="shared" si="50"/>
        <v>Rp. 499.565.000</v>
      </c>
      <c r="N419" s="3" t="str">
        <f t="shared" si="51"/>
        <v> 500.500.000</v>
      </c>
      <c r="O419" s="3" t="str">
        <f t="shared" si="52"/>
        <v> 499.565.000</v>
      </c>
      <c r="P419" s="3">
        <f t="shared" si="53"/>
        <v>500500000</v>
      </c>
      <c r="Q419" s="3">
        <f t="shared" si="54"/>
        <v>499565000</v>
      </c>
      <c r="R419" s="3">
        <f t="shared" si="55"/>
        <v>935000</v>
      </c>
    </row>
    <row r="420" spans="1:18">
      <c r="A420" s="2">
        <v>4807097</v>
      </c>
      <c r="B420" s="3" t="s">
        <v>763</v>
      </c>
      <c r="C420" s="3" t="s">
        <v>1</v>
      </c>
      <c r="D420" s="3" t="s">
        <v>2</v>
      </c>
      <c r="E420" s="3" t="s">
        <v>876</v>
      </c>
      <c r="F420" s="3" t="s">
        <v>919</v>
      </c>
      <c r="G420" s="3" t="s">
        <v>3295</v>
      </c>
      <c r="H420" s="3" t="s">
        <v>3934</v>
      </c>
      <c r="I420" s="3" t="s">
        <v>3296</v>
      </c>
      <c r="J420" s="3">
        <f t="shared" si="48"/>
        <v>78</v>
      </c>
      <c r="K420" s="3">
        <f>IF(ISNUMBER(SEARCH("selesai",Sheet2!D420)-1),1,"")</f>
        <v>1</v>
      </c>
      <c r="L420" s="3" t="str">
        <f t="shared" si="49"/>
        <v>Rp. 3.960.863.000</v>
      </c>
      <c r="M420" s="3" t="str">
        <f t="shared" si="50"/>
        <v>Rp. 3.960.855.084</v>
      </c>
      <c r="N420" s="3" t="str">
        <f t="shared" si="51"/>
        <v> 3.960.863.000</v>
      </c>
      <c r="O420" s="3" t="str">
        <f t="shared" si="52"/>
        <v> 3.960.855.084</v>
      </c>
      <c r="P420" s="3">
        <f t="shared" si="53"/>
        <v>3960863000</v>
      </c>
      <c r="Q420" s="3">
        <f t="shared" si="54"/>
        <v>3960855084</v>
      </c>
      <c r="R420" s="3">
        <f t="shared" si="55"/>
        <v>7916</v>
      </c>
    </row>
    <row r="421" spans="1:18">
      <c r="A421" s="2">
        <v>4806097</v>
      </c>
      <c r="B421" s="3" t="s">
        <v>764</v>
      </c>
      <c r="C421" s="3" t="s">
        <v>1</v>
      </c>
      <c r="D421" s="3" t="s">
        <v>2</v>
      </c>
      <c r="E421" s="3" t="s">
        <v>3304</v>
      </c>
      <c r="F421" s="3" t="s">
        <v>919</v>
      </c>
      <c r="G421" s="3" t="s">
        <v>3302</v>
      </c>
      <c r="H421" s="3" t="s">
        <v>3935</v>
      </c>
      <c r="I421" s="3" t="s">
        <v>3303</v>
      </c>
      <c r="J421" s="3">
        <f t="shared" si="48"/>
        <v>64</v>
      </c>
      <c r="K421" s="3">
        <f>IF(ISNUMBER(SEARCH("selesai",Sheet2!D421)-1),1,"")</f>
        <v>1</v>
      </c>
      <c r="L421" s="3" t="str">
        <f t="shared" si="49"/>
        <v>Rp. 5.683.167.000</v>
      </c>
      <c r="M421" s="3" t="str">
        <f t="shared" si="50"/>
        <v>Rp. 1.894.367.688</v>
      </c>
      <c r="N421" s="3" t="str">
        <f t="shared" si="51"/>
        <v> 5.683.167.000</v>
      </c>
      <c r="O421" s="3" t="str">
        <f t="shared" si="52"/>
        <v> 1.894.367.688</v>
      </c>
      <c r="P421" s="3">
        <f t="shared" si="53"/>
        <v>5683167000</v>
      </c>
      <c r="Q421" s="3">
        <f t="shared" si="54"/>
        <v>1894367688</v>
      </c>
      <c r="R421" s="3">
        <f t="shared" si="55"/>
        <v>3788799312</v>
      </c>
    </row>
    <row r="422" spans="1:18">
      <c r="A422" s="2">
        <v>4803097</v>
      </c>
      <c r="B422" s="3" t="s">
        <v>433</v>
      </c>
      <c r="C422" s="3" t="s">
        <v>1</v>
      </c>
      <c r="D422" s="3" t="s">
        <v>76</v>
      </c>
      <c r="E422" s="3" t="s">
        <v>876</v>
      </c>
      <c r="F422" s="3" t="s">
        <v>1097</v>
      </c>
      <c r="G422" s="3" t="s">
        <v>1274</v>
      </c>
      <c r="H422" s="3" t="s">
        <v>3867</v>
      </c>
      <c r="I422" s="3" t="s">
        <v>905</v>
      </c>
      <c r="J422" s="3">
        <f t="shared" si="48"/>
        <v>31</v>
      </c>
      <c r="K422" s="3" t="str">
        <f>IF(ISNUMBER(SEARCH("selesai",Sheet2!D422)-1),1,"")</f>
        <v/>
      </c>
      <c r="L422" s="3" t="str">
        <f t="shared" si="49"/>
        <v>Rp. 750.000.000</v>
      </c>
      <c r="M422" s="3" t="str">
        <f t="shared" si="50"/>
        <v>Rp. 747.945.000</v>
      </c>
      <c r="N422" s="3" t="str">
        <f t="shared" si="51"/>
        <v> 750.000.000</v>
      </c>
      <c r="O422" s="3" t="str">
        <f t="shared" si="52"/>
        <v> 747.945.000</v>
      </c>
      <c r="P422" s="3">
        <f t="shared" si="53"/>
        <v>750000000</v>
      </c>
      <c r="Q422" s="3">
        <f t="shared" si="54"/>
        <v>747945000</v>
      </c>
      <c r="R422" s="3">
        <f t="shared" si="55"/>
        <v>2055000</v>
      </c>
    </row>
    <row r="423" spans="1:18">
      <c r="A423" s="2">
        <v>4801097</v>
      </c>
      <c r="B423" s="3" t="s">
        <v>765</v>
      </c>
      <c r="C423" s="3" t="s">
        <v>1</v>
      </c>
      <c r="D423" s="3" t="s">
        <v>76</v>
      </c>
      <c r="E423" s="3" t="s">
        <v>876</v>
      </c>
      <c r="F423" s="3" t="s">
        <v>1097</v>
      </c>
      <c r="G423" s="3" t="s">
        <v>1779</v>
      </c>
      <c r="H423" s="3" t="s">
        <v>3756</v>
      </c>
      <c r="I423" s="3" t="s">
        <v>1132</v>
      </c>
      <c r="J423" s="3">
        <f t="shared" si="48"/>
        <v>29</v>
      </c>
      <c r="K423" s="3" t="str">
        <f>IF(ISNUMBER(SEARCH("selesai",Sheet2!D423)-1),1,"")</f>
        <v/>
      </c>
      <c r="L423" s="3" t="str">
        <f t="shared" si="49"/>
        <v>Rp. 135.000.000</v>
      </c>
      <c r="M423" s="3" t="str">
        <f t="shared" si="50"/>
        <v>Rp. 134.986.500</v>
      </c>
      <c r="N423" s="3" t="str">
        <f t="shared" si="51"/>
        <v> 135.000.000</v>
      </c>
      <c r="O423" s="3" t="str">
        <f t="shared" si="52"/>
        <v> 134.986.500</v>
      </c>
      <c r="P423" s="3">
        <f t="shared" si="53"/>
        <v>135000000</v>
      </c>
      <c r="Q423" s="3">
        <f t="shared" si="54"/>
        <v>134986500</v>
      </c>
      <c r="R423" s="3">
        <f t="shared" si="55"/>
        <v>13500</v>
      </c>
    </row>
    <row r="424" spans="1:18">
      <c r="A424" s="2">
        <v>4799097</v>
      </c>
      <c r="B424" s="3" t="s">
        <v>766</v>
      </c>
      <c r="C424" s="3" t="s">
        <v>1</v>
      </c>
      <c r="D424" s="3" t="s">
        <v>2</v>
      </c>
      <c r="E424" s="3" t="s">
        <v>876</v>
      </c>
      <c r="F424" s="3" t="s">
        <v>1097</v>
      </c>
      <c r="G424" s="3" t="s">
        <v>1114</v>
      </c>
      <c r="H424" s="3" t="s">
        <v>3936</v>
      </c>
      <c r="I424" s="3" t="s">
        <v>1126</v>
      </c>
      <c r="J424" s="3">
        <f t="shared" si="48"/>
        <v>23</v>
      </c>
      <c r="K424" s="3">
        <f>IF(ISNUMBER(SEARCH("selesai",Sheet2!D424)-1),1,"")</f>
        <v>1</v>
      </c>
      <c r="L424" s="3" t="str">
        <f t="shared" si="49"/>
        <v>Rp. 250.000.000</v>
      </c>
      <c r="M424" s="3" t="str">
        <f t="shared" si="50"/>
        <v>Rp. 249.810.000</v>
      </c>
      <c r="N424" s="3" t="str">
        <f t="shared" si="51"/>
        <v> 250.000.000</v>
      </c>
      <c r="O424" s="3" t="str">
        <f t="shared" si="52"/>
        <v> 249.810.000</v>
      </c>
      <c r="P424" s="3">
        <f t="shared" si="53"/>
        <v>250000000</v>
      </c>
      <c r="Q424" s="3">
        <f t="shared" si="54"/>
        <v>249810000</v>
      </c>
      <c r="R424" s="3">
        <f t="shared" si="55"/>
        <v>190000</v>
      </c>
    </row>
    <row r="425" spans="1:18">
      <c r="A425" s="2">
        <v>4797097</v>
      </c>
      <c r="B425" s="3" t="s">
        <v>768</v>
      </c>
      <c r="C425" s="3" t="s">
        <v>1</v>
      </c>
      <c r="D425" s="3" t="s">
        <v>76</v>
      </c>
      <c r="E425" s="3" t="s">
        <v>876</v>
      </c>
      <c r="F425" s="3" t="s">
        <v>1097</v>
      </c>
      <c r="G425" s="3" t="s">
        <v>1032</v>
      </c>
      <c r="H425" s="3" t="s">
        <v>3868</v>
      </c>
      <c r="I425" s="3" t="s">
        <v>994</v>
      </c>
      <c r="J425" s="3">
        <f t="shared" si="48"/>
        <v>26</v>
      </c>
      <c r="K425" s="3" t="str">
        <f>IF(ISNUMBER(SEARCH("selesai",Sheet2!D425)-1),1,"")</f>
        <v/>
      </c>
      <c r="L425" s="3" t="str">
        <f t="shared" si="49"/>
        <v>Rp. 800.000.000</v>
      </c>
      <c r="M425" s="3" t="str">
        <f t="shared" si="50"/>
        <v>Rp. 795.602.500</v>
      </c>
      <c r="N425" s="3" t="str">
        <f t="shared" si="51"/>
        <v> 800.000.000</v>
      </c>
      <c r="O425" s="3" t="str">
        <f t="shared" si="52"/>
        <v> 795.602.500</v>
      </c>
      <c r="P425" s="3">
        <f t="shared" si="53"/>
        <v>800000000</v>
      </c>
      <c r="Q425" s="3">
        <f t="shared" si="54"/>
        <v>795602500</v>
      </c>
      <c r="R425" s="3">
        <f t="shared" si="55"/>
        <v>4397500</v>
      </c>
    </row>
    <row r="426" spans="1:18">
      <c r="A426" s="2">
        <v>4795097</v>
      </c>
      <c r="B426" s="3" t="s">
        <v>769</v>
      </c>
      <c r="C426" s="3" t="s">
        <v>1</v>
      </c>
      <c r="D426" s="3" t="s">
        <v>7</v>
      </c>
      <c r="E426" s="3" t="s">
        <v>2511</v>
      </c>
      <c r="F426" s="3" t="s">
        <v>875</v>
      </c>
      <c r="G426" s="3" t="s">
        <v>2510</v>
      </c>
      <c r="H426" s="3" t="s">
        <v>3838</v>
      </c>
      <c r="I426" s="3" t="s">
        <v>1082</v>
      </c>
      <c r="J426" s="3">
        <f t="shared" si="48"/>
        <v>10</v>
      </c>
      <c r="K426" s="3" t="str">
        <f>IF(ISNUMBER(SEARCH("selesai",Sheet2!D426)-1),1,"")</f>
        <v/>
      </c>
      <c r="L426" s="3" t="str">
        <f t="shared" si="49"/>
        <v>Rp. 1.250.000.000</v>
      </c>
      <c r="M426" s="3" t="str">
        <f t="shared" si="50"/>
        <v>Rp. 489.500.000</v>
      </c>
      <c r="N426" s="3" t="str">
        <f t="shared" si="51"/>
        <v> 1.250.000.000</v>
      </c>
      <c r="O426" s="3" t="str">
        <f t="shared" si="52"/>
        <v> 489.500.000</v>
      </c>
      <c r="P426" s="3">
        <f t="shared" si="53"/>
        <v>1250000000</v>
      </c>
      <c r="Q426" s="3">
        <f t="shared" si="54"/>
        <v>489500000</v>
      </c>
      <c r="R426" s="3">
        <f t="shared" si="55"/>
        <v>760500000</v>
      </c>
    </row>
    <row r="427" spans="1:18">
      <c r="A427" s="2">
        <v>4794097</v>
      </c>
      <c r="B427" s="3" t="s">
        <v>770</v>
      </c>
      <c r="C427" s="3" t="s">
        <v>1</v>
      </c>
      <c r="D427" s="3" t="s">
        <v>2</v>
      </c>
      <c r="E427" s="3" t="s">
        <v>876</v>
      </c>
      <c r="F427" s="3" t="s">
        <v>1097</v>
      </c>
      <c r="G427" s="3" t="s">
        <v>3335</v>
      </c>
      <c r="H427" s="3" t="s">
        <v>3937</v>
      </c>
      <c r="I427" s="3" t="s">
        <v>1474</v>
      </c>
      <c r="J427" s="3">
        <f t="shared" si="48"/>
        <v>33</v>
      </c>
      <c r="K427" s="3">
        <f>IF(ISNUMBER(SEARCH("selesai",Sheet2!D427)-1),1,"")</f>
        <v>1</v>
      </c>
      <c r="L427" s="3" t="str">
        <f t="shared" si="49"/>
        <v>Rp. 125.000.000</v>
      </c>
      <c r="M427" s="3" t="str">
        <f t="shared" si="50"/>
        <v>Rp. 124.399.000</v>
      </c>
      <c r="N427" s="3" t="str">
        <f t="shared" si="51"/>
        <v> 125.000.000</v>
      </c>
      <c r="O427" s="3" t="str">
        <f t="shared" si="52"/>
        <v> 124.399.000</v>
      </c>
      <c r="P427" s="3">
        <f t="shared" si="53"/>
        <v>125000000</v>
      </c>
      <c r="Q427" s="3">
        <f t="shared" si="54"/>
        <v>124399000</v>
      </c>
      <c r="R427" s="3">
        <f t="shared" si="55"/>
        <v>601000</v>
      </c>
    </row>
    <row r="428" spans="1:18">
      <c r="A428" s="2">
        <v>4792097</v>
      </c>
      <c r="B428" s="3" t="s">
        <v>772</v>
      </c>
      <c r="C428" s="3" t="s">
        <v>1</v>
      </c>
      <c r="D428" s="3" t="s">
        <v>7</v>
      </c>
      <c r="E428" s="3" t="s">
        <v>876</v>
      </c>
      <c r="F428" s="3" t="s">
        <v>919</v>
      </c>
      <c r="G428" s="3" t="s">
        <v>2861</v>
      </c>
      <c r="H428" s="3" t="s">
        <v>3874</v>
      </c>
      <c r="I428" s="3" t="s">
        <v>3341</v>
      </c>
      <c r="J428" s="3">
        <f t="shared" si="48"/>
        <v>124</v>
      </c>
      <c r="K428" s="3" t="str">
        <f>IF(ISNUMBER(SEARCH("selesai",Sheet2!D428)-1),1,"")</f>
        <v/>
      </c>
      <c r="L428" s="3" t="str">
        <f t="shared" si="49"/>
        <v>Rp. 2.645.180.800</v>
      </c>
      <c r="M428" s="3" t="str">
        <f t="shared" si="50"/>
        <v>Rp. 2.645.180.783</v>
      </c>
      <c r="N428" s="3" t="str">
        <f t="shared" si="51"/>
        <v> 2.645.180.800</v>
      </c>
      <c r="O428" s="3" t="str">
        <f t="shared" si="52"/>
        <v> 2.645.180.783</v>
      </c>
      <c r="P428" s="3">
        <f t="shared" si="53"/>
        <v>2645180800</v>
      </c>
      <c r="Q428" s="3">
        <f t="shared" si="54"/>
        <v>2645180783</v>
      </c>
      <c r="R428" s="3">
        <f t="shared" si="55"/>
        <v>17</v>
      </c>
    </row>
    <row r="429" spans="1:18">
      <c r="A429" s="2">
        <v>4789097</v>
      </c>
      <c r="B429" s="3" t="s">
        <v>773</v>
      </c>
      <c r="C429" s="3" t="s">
        <v>1</v>
      </c>
      <c r="D429" s="3" t="s">
        <v>2</v>
      </c>
      <c r="E429" s="3" t="s">
        <v>876</v>
      </c>
      <c r="F429" s="3" t="s">
        <v>1097</v>
      </c>
      <c r="G429" s="3" t="s">
        <v>3347</v>
      </c>
      <c r="H429" s="3" t="s">
        <v>3938</v>
      </c>
      <c r="I429" s="3" t="s">
        <v>1342</v>
      </c>
      <c r="J429" s="3">
        <f t="shared" si="48"/>
        <v>44</v>
      </c>
      <c r="K429" s="3">
        <f>IF(ISNUMBER(SEARCH("selesai",Sheet2!D429)-1),1,"")</f>
        <v>1</v>
      </c>
      <c r="L429" s="3" t="str">
        <f t="shared" si="49"/>
        <v>Rp. 835.000.000</v>
      </c>
      <c r="M429" s="3" t="str">
        <f t="shared" si="50"/>
        <v>Rp. 806.492.500</v>
      </c>
      <c r="N429" s="3" t="str">
        <f t="shared" si="51"/>
        <v> 835.000.000</v>
      </c>
      <c r="O429" s="3" t="str">
        <f t="shared" si="52"/>
        <v> 806.492.500</v>
      </c>
      <c r="P429" s="3">
        <f t="shared" si="53"/>
        <v>835000000</v>
      </c>
      <c r="Q429" s="3">
        <f t="shared" si="54"/>
        <v>806492500</v>
      </c>
      <c r="R429" s="3">
        <f t="shared" si="55"/>
        <v>28507500</v>
      </c>
    </row>
    <row r="430" spans="1:18">
      <c r="A430" s="2">
        <v>4787097</v>
      </c>
      <c r="B430" s="3" t="s">
        <v>775</v>
      </c>
      <c r="C430" s="3" t="s">
        <v>1</v>
      </c>
      <c r="D430" s="3" t="s">
        <v>2</v>
      </c>
      <c r="E430" s="3" t="s">
        <v>876</v>
      </c>
      <c r="F430" s="3" t="s">
        <v>1097</v>
      </c>
      <c r="G430" s="3" t="s">
        <v>1252</v>
      </c>
      <c r="H430" s="3" t="s">
        <v>3939</v>
      </c>
      <c r="I430" s="3" t="s">
        <v>1462</v>
      </c>
      <c r="J430" s="3">
        <f t="shared" si="48"/>
        <v>41</v>
      </c>
      <c r="K430" s="3">
        <f>IF(ISNUMBER(SEARCH("selesai",Sheet2!D430)-1),1,"")</f>
        <v>1</v>
      </c>
      <c r="L430" s="3" t="str">
        <f t="shared" si="49"/>
        <v>Rp. 900.000.000</v>
      </c>
      <c r="M430" s="3" t="str">
        <f t="shared" si="50"/>
        <v>Rp. 897.864.000</v>
      </c>
      <c r="N430" s="3" t="str">
        <f t="shared" si="51"/>
        <v> 900.000.000</v>
      </c>
      <c r="O430" s="3" t="str">
        <f t="shared" si="52"/>
        <v> 897.864.000</v>
      </c>
      <c r="P430" s="3">
        <f t="shared" si="53"/>
        <v>900000000</v>
      </c>
      <c r="Q430" s="3">
        <f t="shared" si="54"/>
        <v>897864000</v>
      </c>
      <c r="R430" s="3">
        <f t="shared" si="55"/>
        <v>2136000</v>
      </c>
    </row>
    <row r="431" spans="1:18">
      <c r="A431" s="2">
        <v>4785097</v>
      </c>
      <c r="B431" s="3" t="s">
        <v>695</v>
      </c>
      <c r="C431" s="3" t="s">
        <v>1</v>
      </c>
      <c r="D431" s="3" t="s">
        <v>7</v>
      </c>
      <c r="E431" s="3" t="s">
        <v>876</v>
      </c>
      <c r="F431" s="3" t="s">
        <v>875</v>
      </c>
      <c r="G431" s="3" t="s">
        <v>3071</v>
      </c>
      <c r="H431" s="3" t="s">
        <v>3907</v>
      </c>
      <c r="I431" s="3" t="s">
        <v>2320</v>
      </c>
      <c r="J431" s="3">
        <f t="shared" si="48"/>
        <v>5</v>
      </c>
      <c r="K431" s="3" t="str">
        <f>IF(ISNUMBER(SEARCH("selesai",Sheet2!D431)-1),1,"")</f>
        <v/>
      </c>
      <c r="L431" s="3" t="str">
        <f t="shared" si="49"/>
        <v>Rp. 6.150.000.000</v>
      </c>
      <c r="M431" s="3" t="str">
        <f t="shared" si="50"/>
        <v>Rp. 5.493.000.000</v>
      </c>
      <c r="N431" s="3" t="str">
        <f t="shared" si="51"/>
        <v> 6.150.000.000</v>
      </c>
      <c r="O431" s="3" t="str">
        <f t="shared" si="52"/>
        <v> 5.493.000.000</v>
      </c>
      <c r="P431" s="3">
        <f t="shared" si="53"/>
        <v>6150000000</v>
      </c>
      <c r="Q431" s="3">
        <f t="shared" si="54"/>
        <v>5493000000</v>
      </c>
      <c r="R431" s="3">
        <f t="shared" si="55"/>
        <v>657000000</v>
      </c>
    </row>
    <row r="432" spans="1:18">
      <c r="A432" s="2">
        <v>4784097</v>
      </c>
      <c r="B432" s="3" t="s">
        <v>777</v>
      </c>
      <c r="C432" s="3" t="s">
        <v>1</v>
      </c>
      <c r="D432" s="3" t="s">
        <v>2</v>
      </c>
      <c r="E432" s="3" t="s">
        <v>876</v>
      </c>
      <c r="F432" s="3" t="s">
        <v>1026</v>
      </c>
      <c r="G432" s="3" t="s">
        <v>3363</v>
      </c>
      <c r="H432" s="3" t="s">
        <v>3940</v>
      </c>
      <c r="I432" s="3" t="s">
        <v>1920</v>
      </c>
      <c r="J432" s="3">
        <f t="shared" si="48"/>
        <v>3</v>
      </c>
      <c r="K432" s="3">
        <f>IF(ISNUMBER(SEARCH("selesai",Sheet2!D432)-1),1,"")</f>
        <v>1</v>
      </c>
      <c r="L432" s="3" t="str">
        <f t="shared" si="49"/>
        <v>Rp. 1.313.470.000</v>
      </c>
      <c r="M432" s="3" t="str">
        <f t="shared" si="50"/>
        <v>Rp. 1.312.200.750</v>
      </c>
      <c r="N432" s="3" t="str">
        <f t="shared" si="51"/>
        <v> 1.313.470.000</v>
      </c>
      <c r="O432" s="3" t="str">
        <f t="shared" si="52"/>
        <v> 1.312.200.750</v>
      </c>
      <c r="P432" s="3">
        <f t="shared" si="53"/>
        <v>1313470000</v>
      </c>
      <c r="Q432" s="3">
        <f t="shared" si="54"/>
        <v>1312200750</v>
      </c>
      <c r="R432" s="3">
        <f t="shared" si="55"/>
        <v>1269250</v>
      </c>
    </row>
    <row r="433" spans="1:18">
      <c r="A433" s="2">
        <v>4783097</v>
      </c>
      <c r="B433" s="3" t="s">
        <v>779</v>
      </c>
      <c r="C433" s="3" t="s">
        <v>1</v>
      </c>
      <c r="D433" s="3" t="s">
        <v>7</v>
      </c>
      <c r="E433" s="3" t="s">
        <v>876</v>
      </c>
      <c r="F433" s="3" t="s">
        <v>875</v>
      </c>
      <c r="G433" s="3" t="s">
        <v>2709</v>
      </c>
      <c r="H433" s="3" t="s">
        <v>3858</v>
      </c>
      <c r="I433" s="3" t="s">
        <v>1901</v>
      </c>
      <c r="J433" s="3">
        <f t="shared" si="48"/>
        <v>46</v>
      </c>
      <c r="K433" s="3" t="str">
        <f>IF(ISNUMBER(SEARCH("selesai",Sheet2!D433)-1),1,"")</f>
        <v/>
      </c>
      <c r="L433" s="3" t="str">
        <f t="shared" si="49"/>
        <v>Rp. 280.000.000</v>
      </c>
      <c r="M433" s="3" t="str">
        <f t="shared" si="50"/>
        <v>Rp. 278.300.000</v>
      </c>
      <c r="N433" s="3" t="str">
        <f t="shared" si="51"/>
        <v> 280.000.000</v>
      </c>
      <c r="O433" s="3" t="str">
        <f t="shared" si="52"/>
        <v> 278.300.000</v>
      </c>
      <c r="P433" s="3">
        <f t="shared" si="53"/>
        <v>280000000</v>
      </c>
      <c r="Q433" s="3">
        <f t="shared" si="54"/>
        <v>278300000</v>
      </c>
      <c r="R433" s="3">
        <f t="shared" si="55"/>
        <v>1700000</v>
      </c>
    </row>
    <row r="434" spans="1:18">
      <c r="A434" s="2">
        <v>4782097</v>
      </c>
      <c r="B434" s="3" t="s">
        <v>780</v>
      </c>
      <c r="C434" s="3" t="s">
        <v>1</v>
      </c>
      <c r="D434" s="3" t="s">
        <v>2</v>
      </c>
      <c r="E434" s="3" t="s">
        <v>876</v>
      </c>
      <c r="F434" s="3" t="s">
        <v>1097</v>
      </c>
      <c r="G434" s="3" t="s">
        <v>1157</v>
      </c>
      <c r="H434" s="3" t="s">
        <v>3941</v>
      </c>
      <c r="I434" s="3" t="s">
        <v>932</v>
      </c>
      <c r="J434" s="3">
        <f t="shared" si="48"/>
        <v>30</v>
      </c>
      <c r="K434" s="3">
        <f>IF(ISNUMBER(SEARCH("selesai",Sheet2!D434)-1),1,"")</f>
        <v>1</v>
      </c>
      <c r="L434" s="3" t="str">
        <f t="shared" si="49"/>
        <v>Rp. 500.000.000</v>
      </c>
      <c r="M434" s="3" t="str">
        <f t="shared" si="50"/>
        <v>Rp. 499.922.500</v>
      </c>
      <c r="N434" s="3" t="str">
        <f t="shared" si="51"/>
        <v> 500.000.000</v>
      </c>
      <c r="O434" s="3" t="str">
        <f t="shared" si="52"/>
        <v> 499.922.500</v>
      </c>
      <c r="P434" s="3">
        <f t="shared" si="53"/>
        <v>500000000</v>
      </c>
      <c r="Q434" s="3">
        <f t="shared" si="54"/>
        <v>499922500</v>
      </c>
      <c r="R434" s="3">
        <f t="shared" si="55"/>
        <v>77500</v>
      </c>
    </row>
    <row r="435" spans="1:18">
      <c r="A435" s="2">
        <v>4781097</v>
      </c>
      <c r="B435" s="3" t="s">
        <v>781</v>
      </c>
      <c r="C435" s="3" t="s">
        <v>1</v>
      </c>
      <c r="D435" s="3" t="s">
        <v>2</v>
      </c>
      <c r="E435" s="3" t="s">
        <v>876</v>
      </c>
      <c r="F435" s="3" t="s">
        <v>1097</v>
      </c>
      <c r="G435" s="3" t="s">
        <v>1032</v>
      </c>
      <c r="H435" s="3" t="s">
        <v>3942</v>
      </c>
      <c r="I435" s="3" t="s">
        <v>994</v>
      </c>
      <c r="J435" s="3">
        <f t="shared" si="48"/>
        <v>26</v>
      </c>
      <c r="K435" s="3">
        <f>IF(ISNUMBER(SEARCH("selesai",Sheet2!D435)-1),1,"")</f>
        <v>1</v>
      </c>
      <c r="L435" s="3" t="str">
        <f t="shared" si="49"/>
        <v>Rp. 800.000.000</v>
      </c>
      <c r="M435" s="3" t="str">
        <f t="shared" si="50"/>
        <v>Rp. 799.975.000</v>
      </c>
      <c r="N435" s="3" t="str">
        <f t="shared" si="51"/>
        <v> 800.000.000</v>
      </c>
      <c r="O435" s="3" t="str">
        <f t="shared" si="52"/>
        <v> 799.975.000</v>
      </c>
      <c r="P435" s="3">
        <f t="shared" si="53"/>
        <v>800000000</v>
      </c>
      <c r="Q435" s="3">
        <f t="shared" si="54"/>
        <v>799975000</v>
      </c>
      <c r="R435" s="3">
        <f t="shared" si="55"/>
        <v>25000</v>
      </c>
    </row>
    <row r="436" spans="1:18">
      <c r="A436" s="2">
        <v>4780097</v>
      </c>
      <c r="B436" s="3" t="s">
        <v>783</v>
      </c>
      <c r="C436" s="3" t="s">
        <v>1</v>
      </c>
      <c r="D436" s="3" t="s">
        <v>2</v>
      </c>
      <c r="E436" s="3" t="s">
        <v>876</v>
      </c>
      <c r="F436" s="3" t="s">
        <v>1097</v>
      </c>
      <c r="G436" s="3" t="s">
        <v>1032</v>
      </c>
      <c r="H436" s="3" t="s">
        <v>3943</v>
      </c>
      <c r="I436" s="3" t="s">
        <v>994</v>
      </c>
      <c r="J436" s="3">
        <f t="shared" si="48"/>
        <v>26</v>
      </c>
      <c r="K436" s="3">
        <f>IF(ISNUMBER(SEARCH("selesai",Sheet2!D436)-1),1,"")</f>
        <v>1</v>
      </c>
      <c r="L436" s="3" t="str">
        <f t="shared" si="49"/>
        <v>Rp. 800.000.000</v>
      </c>
      <c r="M436" s="3" t="str">
        <f t="shared" si="50"/>
        <v>Rp. 799.980.500</v>
      </c>
      <c r="N436" s="3" t="str">
        <f t="shared" si="51"/>
        <v> 800.000.000</v>
      </c>
      <c r="O436" s="3" t="str">
        <f t="shared" si="52"/>
        <v> 799.980.500</v>
      </c>
      <c r="P436" s="3">
        <f t="shared" si="53"/>
        <v>800000000</v>
      </c>
      <c r="Q436" s="3">
        <f t="shared" si="54"/>
        <v>799980500</v>
      </c>
      <c r="R436" s="3">
        <f t="shared" si="55"/>
        <v>19500</v>
      </c>
    </row>
    <row r="437" spans="1:18">
      <c r="A437" s="2">
        <v>4779097</v>
      </c>
      <c r="B437" s="3" t="s">
        <v>784</v>
      </c>
      <c r="C437" s="3" t="s">
        <v>1</v>
      </c>
      <c r="D437" s="3" t="s">
        <v>2</v>
      </c>
      <c r="E437" s="3" t="s">
        <v>876</v>
      </c>
      <c r="F437" s="3" t="s">
        <v>1097</v>
      </c>
      <c r="G437" s="3" t="s">
        <v>1095</v>
      </c>
      <c r="H437" s="3" t="s">
        <v>3944</v>
      </c>
      <c r="I437" s="3" t="s">
        <v>1177</v>
      </c>
      <c r="J437" s="3">
        <f t="shared" si="48"/>
        <v>24</v>
      </c>
      <c r="K437" s="3">
        <f>IF(ISNUMBER(SEARCH("selesai",Sheet2!D437)-1),1,"")</f>
        <v>1</v>
      </c>
      <c r="L437" s="3" t="str">
        <f t="shared" si="49"/>
        <v>Rp. 300.000.000</v>
      </c>
      <c r="M437" s="3" t="str">
        <f t="shared" si="50"/>
        <v>Rp. 299.953.500</v>
      </c>
      <c r="N437" s="3" t="str">
        <f t="shared" si="51"/>
        <v> 300.000.000</v>
      </c>
      <c r="O437" s="3" t="str">
        <f t="shared" si="52"/>
        <v> 299.953.500</v>
      </c>
      <c r="P437" s="3">
        <f t="shared" si="53"/>
        <v>300000000</v>
      </c>
      <c r="Q437" s="3">
        <f t="shared" si="54"/>
        <v>299953500</v>
      </c>
      <c r="R437" s="3">
        <f t="shared" si="55"/>
        <v>46500</v>
      </c>
    </row>
    <row r="438" spans="1:18">
      <c r="A438" s="2">
        <v>4778097</v>
      </c>
      <c r="B438" s="3" t="s">
        <v>785</v>
      </c>
      <c r="C438" s="3" t="s">
        <v>1</v>
      </c>
      <c r="D438" s="3" t="s">
        <v>2</v>
      </c>
      <c r="E438" s="3" t="s">
        <v>876</v>
      </c>
      <c r="F438" s="3" t="s">
        <v>1097</v>
      </c>
      <c r="G438" s="3" t="s">
        <v>2302</v>
      </c>
      <c r="H438" s="3" t="s">
        <v>3945</v>
      </c>
      <c r="I438" s="3" t="s">
        <v>918</v>
      </c>
      <c r="J438" s="3">
        <f t="shared" si="48"/>
        <v>19</v>
      </c>
      <c r="K438" s="3">
        <f>IF(ISNUMBER(SEARCH("selesai",Sheet2!D438)-1),1,"")</f>
        <v>1</v>
      </c>
      <c r="L438" s="3" t="str">
        <f t="shared" si="49"/>
        <v>Rp. 400.000.000</v>
      </c>
      <c r="M438" s="3" t="str">
        <f t="shared" si="50"/>
        <v>Rp. 399.999.600</v>
      </c>
      <c r="N438" s="3" t="str">
        <f t="shared" si="51"/>
        <v> 400.000.000</v>
      </c>
      <c r="O438" s="3" t="str">
        <f t="shared" si="52"/>
        <v> 399.999.600</v>
      </c>
      <c r="P438" s="3">
        <f t="shared" si="53"/>
        <v>400000000</v>
      </c>
      <c r="Q438" s="3">
        <f t="shared" si="54"/>
        <v>399999600</v>
      </c>
      <c r="R438" s="3">
        <f t="shared" si="55"/>
        <v>400</v>
      </c>
    </row>
    <row r="439" spans="1:18">
      <c r="A439" s="2">
        <v>4777097</v>
      </c>
      <c r="B439" s="3" t="s">
        <v>787</v>
      </c>
      <c r="C439" s="3" t="s">
        <v>1</v>
      </c>
      <c r="D439" s="3" t="s">
        <v>2</v>
      </c>
      <c r="E439" s="3" t="s">
        <v>876</v>
      </c>
      <c r="F439" s="3" t="s">
        <v>1097</v>
      </c>
      <c r="G439" s="3" t="s">
        <v>1515</v>
      </c>
      <c r="H439" s="3" t="s">
        <v>3946</v>
      </c>
      <c r="I439" s="3" t="s">
        <v>1001</v>
      </c>
      <c r="J439" s="3">
        <f t="shared" si="48"/>
        <v>27</v>
      </c>
      <c r="K439" s="3">
        <f>IF(ISNUMBER(SEARCH("selesai",Sheet2!D439)-1),1,"")</f>
        <v>1</v>
      </c>
      <c r="L439" s="3" t="str">
        <f t="shared" si="49"/>
        <v>Rp. 1.500.000.000</v>
      </c>
      <c r="M439" s="3" t="str">
        <f t="shared" si="50"/>
        <v>Rp. 1.499.481.500</v>
      </c>
      <c r="N439" s="3" t="str">
        <f t="shared" si="51"/>
        <v> 1.500.000.000</v>
      </c>
      <c r="O439" s="3" t="str">
        <f t="shared" si="52"/>
        <v> 1.499.481.500</v>
      </c>
      <c r="P439" s="3">
        <f t="shared" si="53"/>
        <v>1500000000</v>
      </c>
      <c r="Q439" s="3">
        <f t="shared" si="54"/>
        <v>1499481500</v>
      </c>
      <c r="R439" s="3">
        <f t="shared" si="55"/>
        <v>518500</v>
      </c>
    </row>
    <row r="440" spans="1:18">
      <c r="A440" s="2">
        <v>4776097</v>
      </c>
      <c r="B440" s="3" t="s">
        <v>788</v>
      </c>
      <c r="C440" s="3" t="s">
        <v>1</v>
      </c>
      <c r="D440" s="3" t="s">
        <v>2</v>
      </c>
      <c r="E440" s="3" t="s">
        <v>876</v>
      </c>
      <c r="F440" s="3" t="s">
        <v>1026</v>
      </c>
      <c r="G440" s="3" t="s">
        <v>3404</v>
      </c>
      <c r="H440" s="3" t="s">
        <v>3947</v>
      </c>
      <c r="I440" s="3" t="s">
        <v>1082</v>
      </c>
      <c r="J440" s="3">
        <f t="shared" si="48"/>
        <v>10</v>
      </c>
      <c r="K440" s="3">
        <f>IF(ISNUMBER(SEARCH("selesai",Sheet2!D440)-1),1,"")</f>
        <v>1</v>
      </c>
      <c r="L440" s="3" t="str">
        <f t="shared" si="49"/>
        <v>Rp. 499.341.000</v>
      </c>
      <c r="M440" s="3" t="str">
        <f t="shared" si="50"/>
        <v>Rp. 417.765.043</v>
      </c>
      <c r="N440" s="3" t="str">
        <f t="shared" si="51"/>
        <v> 499.341.000</v>
      </c>
      <c r="O440" s="3" t="str">
        <f t="shared" si="52"/>
        <v> 417.765.043</v>
      </c>
      <c r="P440" s="3">
        <f t="shared" si="53"/>
        <v>499341000</v>
      </c>
      <c r="Q440" s="3">
        <f t="shared" si="54"/>
        <v>417765043</v>
      </c>
      <c r="R440" s="3">
        <f t="shared" si="55"/>
        <v>81575957</v>
      </c>
    </row>
    <row r="441" spans="1:18">
      <c r="A441" s="2">
        <v>4775097</v>
      </c>
      <c r="B441" s="3" t="s">
        <v>790</v>
      </c>
      <c r="C441" s="3" t="s">
        <v>1</v>
      </c>
      <c r="D441" s="3" t="s">
        <v>2</v>
      </c>
      <c r="E441" s="3" t="s">
        <v>876</v>
      </c>
      <c r="F441" s="3" t="s">
        <v>1097</v>
      </c>
      <c r="G441" s="3" t="s">
        <v>3410</v>
      </c>
      <c r="H441" s="3" t="s">
        <v>3948</v>
      </c>
      <c r="I441" s="3" t="s">
        <v>1096</v>
      </c>
      <c r="J441" s="3">
        <f t="shared" si="48"/>
        <v>28</v>
      </c>
      <c r="K441" s="3">
        <f>IF(ISNUMBER(SEARCH("selesai",Sheet2!D441)-1),1,"")</f>
        <v>1</v>
      </c>
      <c r="L441" s="3" t="str">
        <f t="shared" si="49"/>
        <v>Rp. 448.425.000</v>
      </c>
      <c r="M441" s="3" t="str">
        <f t="shared" si="50"/>
        <v>Rp. 448.415.000</v>
      </c>
      <c r="N441" s="3" t="str">
        <f t="shared" si="51"/>
        <v> 448.425.000</v>
      </c>
      <c r="O441" s="3" t="str">
        <f t="shared" si="52"/>
        <v> 448.415.000</v>
      </c>
      <c r="P441" s="3">
        <f t="shared" si="53"/>
        <v>448425000</v>
      </c>
      <c r="Q441" s="3">
        <f t="shared" si="54"/>
        <v>448415000</v>
      </c>
      <c r="R441" s="3">
        <f t="shared" si="55"/>
        <v>10000</v>
      </c>
    </row>
    <row r="442" spans="1:18">
      <c r="A442" s="2">
        <v>4774097</v>
      </c>
      <c r="B442" s="3" t="s">
        <v>792</v>
      </c>
      <c r="C442" s="3" t="s">
        <v>1</v>
      </c>
      <c r="D442" s="3" t="s">
        <v>2</v>
      </c>
      <c r="E442" s="3" t="s">
        <v>876</v>
      </c>
      <c r="F442" s="3" t="s">
        <v>1026</v>
      </c>
      <c r="G442" s="3" t="s">
        <v>3416</v>
      </c>
      <c r="H442" s="3" t="s">
        <v>3949</v>
      </c>
      <c r="I442" s="3" t="s">
        <v>1845</v>
      </c>
      <c r="J442" s="3">
        <f t="shared" si="48"/>
        <v>6</v>
      </c>
      <c r="K442" s="3">
        <f>IF(ISNUMBER(SEARCH("selesai",Sheet2!D442)-1),1,"")</f>
        <v>1</v>
      </c>
      <c r="L442" s="3" t="str">
        <f t="shared" si="49"/>
        <v>Rp. 288.076.900</v>
      </c>
      <c r="M442" s="3" t="str">
        <f t="shared" si="50"/>
        <v>Rp. 214.290.000</v>
      </c>
      <c r="N442" s="3" t="str">
        <f t="shared" si="51"/>
        <v> 288.076.900</v>
      </c>
      <c r="O442" s="3" t="str">
        <f t="shared" si="52"/>
        <v> 214.290.000</v>
      </c>
      <c r="P442" s="3">
        <f t="shared" si="53"/>
        <v>288076900</v>
      </c>
      <c r="Q442" s="3">
        <f t="shared" si="54"/>
        <v>214290000</v>
      </c>
      <c r="R442" s="3">
        <f t="shared" si="55"/>
        <v>73786900</v>
      </c>
    </row>
    <row r="443" spans="1:18">
      <c r="A443" s="2">
        <v>4773097</v>
      </c>
      <c r="B443" s="3" t="s">
        <v>794</v>
      </c>
      <c r="C443" s="3" t="s">
        <v>1</v>
      </c>
      <c r="D443" s="3" t="s">
        <v>2</v>
      </c>
      <c r="E443" s="3" t="s">
        <v>876</v>
      </c>
      <c r="F443" s="3" t="s">
        <v>875</v>
      </c>
      <c r="G443" s="3" t="s">
        <v>3422</v>
      </c>
      <c r="H443" s="3" t="s">
        <v>3950</v>
      </c>
      <c r="I443" s="3" t="s">
        <v>1474</v>
      </c>
      <c r="J443" s="3">
        <f t="shared" si="48"/>
        <v>33</v>
      </c>
      <c r="K443" s="3">
        <f>IF(ISNUMBER(SEARCH("selesai",Sheet2!D443)-1),1,"")</f>
        <v>1</v>
      </c>
      <c r="L443" s="3" t="str">
        <f t="shared" si="49"/>
        <v>Rp. 3.355.260.000</v>
      </c>
      <c r="M443" s="3" t="str">
        <f t="shared" si="50"/>
        <v>Rp. 3.332.603.890</v>
      </c>
      <c r="N443" s="3" t="str">
        <f t="shared" si="51"/>
        <v> 3.355.260.000</v>
      </c>
      <c r="O443" s="3" t="str">
        <f t="shared" si="52"/>
        <v> 3.332.603.890</v>
      </c>
      <c r="P443" s="3">
        <f t="shared" si="53"/>
        <v>3355260000</v>
      </c>
      <c r="Q443" s="3">
        <f t="shared" si="54"/>
        <v>3332603890</v>
      </c>
      <c r="R443" s="3">
        <f t="shared" si="55"/>
        <v>22656110</v>
      </c>
    </row>
    <row r="444" spans="1:18">
      <c r="A444" s="2">
        <v>4769097</v>
      </c>
      <c r="B444" s="3" t="s">
        <v>797</v>
      </c>
      <c r="C444" s="3" t="s">
        <v>1</v>
      </c>
      <c r="D444" s="3" t="s">
        <v>2</v>
      </c>
      <c r="E444" s="3" t="s">
        <v>876</v>
      </c>
      <c r="F444" s="3" t="s">
        <v>875</v>
      </c>
      <c r="G444" s="3" t="s">
        <v>3428</v>
      </c>
      <c r="H444" s="3" t="s">
        <v>3951</v>
      </c>
      <c r="I444" s="3" t="s">
        <v>1374</v>
      </c>
      <c r="J444" s="3">
        <f t="shared" si="48"/>
        <v>39</v>
      </c>
      <c r="K444" s="3">
        <f>IF(ISNUMBER(SEARCH("selesai",Sheet2!D444)-1),1,"")</f>
        <v>1</v>
      </c>
      <c r="L444" s="3" t="str">
        <f t="shared" si="49"/>
        <v>Rp. 288.000.000</v>
      </c>
      <c r="M444" s="3" t="str">
        <f t="shared" si="50"/>
        <v>Rp. 273.240.000</v>
      </c>
      <c r="N444" s="3" t="str">
        <f t="shared" si="51"/>
        <v> 288.000.000</v>
      </c>
      <c r="O444" s="3" t="str">
        <f t="shared" si="52"/>
        <v> 273.240.000</v>
      </c>
      <c r="P444" s="3">
        <f t="shared" si="53"/>
        <v>288000000</v>
      </c>
      <c r="Q444" s="3">
        <f t="shared" si="54"/>
        <v>273240000</v>
      </c>
      <c r="R444" s="3">
        <f t="shared" si="55"/>
        <v>14760000</v>
      </c>
    </row>
    <row r="445" spans="1:18">
      <c r="A445" s="2">
        <v>4768097</v>
      </c>
      <c r="B445" s="3" t="s">
        <v>800</v>
      </c>
      <c r="C445" s="3" t="s">
        <v>1</v>
      </c>
      <c r="D445" s="3" t="s">
        <v>2</v>
      </c>
      <c r="E445" s="3" t="s">
        <v>876</v>
      </c>
      <c r="F445" s="3" t="s">
        <v>875</v>
      </c>
      <c r="G445" s="3" t="s">
        <v>3434</v>
      </c>
      <c r="H445" s="3" t="s">
        <v>3952</v>
      </c>
      <c r="I445" s="3" t="s">
        <v>911</v>
      </c>
      <c r="J445" s="3">
        <f t="shared" si="48"/>
        <v>4</v>
      </c>
      <c r="K445" s="3">
        <f>IF(ISNUMBER(SEARCH("selesai",Sheet2!D445)-1),1,"")</f>
        <v>1</v>
      </c>
      <c r="L445" s="3" t="str">
        <f t="shared" si="49"/>
        <v>Rp. 674.701.600</v>
      </c>
      <c r="M445" s="3" t="str">
        <f t="shared" si="50"/>
        <v>Rp. 674.631.800</v>
      </c>
      <c r="N445" s="3" t="str">
        <f t="shared" si="51"/>
        <v> 674.701.600</v>
      </c>
      <c r="O445" s="3" t="str">
        <f t="shared" si="52"/>
        <v> 674.631.800</v>
      </c>
      <c r="P445" s="3">
        <f t="shared" si="53"/>
        <v>674701600</v>
      </c>
      <c r="Q445" s="3">
        <f t="shared" si="54"/>
        <v>674631800</v>
      </c>
      <c r="R445" s="3">
        <f t="shared" si="55"/>
        <v>69800</v>
      </c>
    </row>
    <row r="446" spans="1:18">
      <c r="A446" s="2">
        <v>4766097</v>
      </c>
      <c r="B446" s="3" t="s">
        <v>802</v>
      </c>
      <c r="C446" s="3" t="s">
        <v>1</v>
      </c>
      <c r="D446" s="3" t="s">
        <v>2</v>
      </c>
      <c r="E446" s="3" t="s">
        <v>876</v>
      </c>
      <c r="F446" s="3" t="s">
        <v>875</v>
      </c>
      <c r="G446" s="3" t="s">
        <v>3440</v>
      </c>
      <c r="H446" s="3" t="s">
        <v>3953</v>
      </c>
      <c r="I446" s="3" t="s">
        <v>874</v>
      </c>
      <c r="J446" s="3">
        <f t="shared" si="48"/>
        <v>8</v>
      </c>
      <c r="K446" s="3">
        <f>IF(ISNUMBER(SEARCH("selesai",Sheet2!D446)-1),1,"")</f>
        <v>1</v>
      </c>
      <c r="L446" s="3" t="str">
        <f t="shared" si="49"/>
        <v>Rp. 551.412.680</v>
      </c>
      <c r="M446" s="3" t="str">
        <f t="shared" si="50"/>
        <v>Rp. 504.983.196</v>
      </c>
      <c r="N446" s="3" t="str">
        <f t="shared" si="51"/>
        <v> 551.412.680</v>
      </c>
      <c r="O446" s="3" t="str">
        <f t="shared" si="52"/>
        <v> 504.983.196</v>
      </c>
      <c r="P446" s="3">
        <f t="shared" si="53"/>
        <v>551412680</v>
      </c>
      <c r="Q446" s="3">
        <f t="shared" si="54"/>
        <v>504983196</v>
      </c>
      <c r="R446" s="3">
        <f t="shared" si="55"/>
        <v>46429484</v>
      </c>
    </row>
    <row r="447" spans="1:18">
      <c r="A447" s="2">
        <v>4760097</v>
      </c>
      <c r="B447" s="3" t="s">
        <v>803</v>
      </c>
      <c r="C447" s="3" t="s">
        <v>1</v>
      </c>
      <c r="D447" s="3" t="s">
        <v>2</v>
      </c>
      <c r="E447" s="3" t="s">
        <v>876</v>
      </c>
      <c r="F447" s="3" t="s">
        <v>1097</v>
      </c>
      <c r="G447" s="3" t="s">
        <v>1164</v>
      </c>
      <c r="H447" s="3" t="s">
        <v>3954</v>
      </c>
      <c r="I447" s="3" t="s">
        <v>1063</v>
      </c>
      <c r="J447" s="3">
        <f t="shared" si="48"/>
        <v>36</v>
      </c>
      <c r="K447" s="3">
        <f>IF(ISNUMBER(SEARCH("selesai",Sheet2!D447)-1),1,"")</f>
        <v>1</v>
      </c>
      <c r="L447" s="3" t="str">
        <f t="shared" si="49"/>
        <v>Rp. 1.000.000.000</v>
      </c>
      <c r="M447" s="3" t="str">
        <f t="shared" si="50"/>
        <v>Rp. 999.955.000</v>
      </c>
      <c r="N447" s="3" t="str">
        <f t="shared" si="51"/>
        <v> 1.000.000.000</v>
      </c>
      <c r="O447" s="3" t="str">
        <f t="shared" si="52"/>
        <v> 999.955.000</v>
      </c>
      <c r="P447" s="3">
        <f t="shared" si="53"/>
        <v>1000000000</v>
      </c>
      <c r="Q447" s="3">
        <f t="shared" si="54"/>
        <v>999955000</v>
      </c>
      <c r="R447" s="3">
        <f t="shared" si="55"/>
        <v>45000</v>
      </c>
    </row>
    <row r="448" spans="1:18">
      <c r="A448" s="2">
        <v>4759097</v>
      </c>
      <c r="B448" s="3" t="s">
        <v>804</v>
      </c>
      <c r="C448" s="3" t="s">
        <v>1</v>
      </c>
      <c r="D448" s="3" t="s">
        <v>2</v>
      </c>
      <c r="E448" s="3" t="s">
        <v>876</v>
      </c>
      <c r="F448" s="3" t="s">
        <v>1097</v>
      </c>
      <c r="G448" s="3" t="s">
        <v>1164</v>
      </c>
      <c r="H448" s="3" t="s">
        <v>3954</v>
      </c>
      <c r="I448" s="3" t="s">
        <v>898</v>
      </c>
      <c r="J448" s="3">
        <f t="shared" si="48"/>
        <v>35</v>
      </c>
      <c r="K448" s="3">
        <f>IF(ISNUMBER(SEARCH("selesai",Sheet2!D448)-1),1,"")</f>
        <v>1</v>
      </c>
      <c r="L448" s="3" t="str">
        <f t="shared" si="49"/>
        <v>Rp. 1.000.000.000</v>
      </c>
      <c r="M448" s="3" t="str">
        <f t="shared" si="50"/>
        <v>Rp. 999.955.000</v>
      </c>
      <c r="N448" s="3" t="str">
        <f t="shared" si="51"/>
        <v> 1.000.000.000</v>
      </c>
      <c r="O448" s="3" t="str">
        <f t="shared" si="52"/>
        <v> 999.955.000</v>
      </c>
      <c r="P448" s="3">
        <f t="shared" si="53"/>
        <v>1000000000</v>
      </c>
      <c r="Q448" s="3">
        <f t="shared" si="54"/>
        <v>999955000</v>
      </c>
      <c r="R448" s="3">
        <f t="shared" si="55"/>
        <v>45000</v>
      </c>
    </row>
    <row r="449" spans="1:18">
      <c r="A449" s="2">
        <v>4758097</v>
      </c>
      <c r="B449" s="3" t="s">
        <v>805</v>
      </c>
      <c r="C449" s="3" t="s">
        <v>1</v>
      </c>
      <c r="D449" s="3" t="s">
        <v>2</v>
      </c>
      <c r="E449" s="3" t="s">
        <v>876</v>
      </c>
      <c r="F449" s="3" t="s">
        <v>1097</v>
      </c>
      <c r="G449" s="3" t="s">
        <v>1274</v>
      </c>
      <c r="H449" s="3" t="s">
        <v>3955</v>
      </c>
      <c r="I449" s="3" t="s">
        <v>1089</v>
      </c>
      <c r="J449" s="3">
        <f t="shared" si="48"/>
        <v>32</v>
      </c>
      <c r="K449" s="3">
        <f>IF(ISNUMBER(SEARCH("selesai",Sheet2!D449)-1),1,"")</f>
        <v>1</v>
      </c>
      <c r="L449" s="3" t="str">
        <f t="shared" si="49"/>
        <v>Rp. 750.000.000</v>
      </c>
      <c r="M449" s="3" t="str">
        <f t="shared" si="50"/>
        <v>Rp. 749.980.000</v>
      </c>
      <c r="N449" s="3" t="str">
        <f t="shared" si="51"/>
        <v> 750.000.000</v>
      </c>
      <c r="O449" s="3" t="str">
        <f t="shared" si="52"/>
        <v> 749.980.000</v>
      </c>
      <c r="P449" s="3">
        <f t="shared" si="53"/>
        <v>750000000</v>
      </c>
      <c r="Q449" s="3">
        <f t="shared" si="54"/>
        <v>749980000</v>
      </c>
      <c r="R449" s="3">
        <f t="shared" si="55"/>
        <v>20000</v>
      </c>
    </row>
    <row r="450" spans="1:18">
      <c r="A450" s="2">
        <v>4757097</v>
      </c>
      <c r="B450" s="3" t="s">
        <v>807</v>
      </c>
      <c r="C450" s="3" t="s">
        <v>1</v>
      </c>
      <c r="D450" s="3" t="s">
        <v>2</v>
      </c>
      <c r="E450" s="3" t="s">
        <v>876</v>
      </c>
      <c r="F450" s="3" t="s">
        <v>1097</v>
      </c>
      <c r="G450" s="3" t="s">
        <v>1274</v>
      </c>
      <c r="H450" s="3" t="s">
        <v>3955</v>
      </c>
      <c r="I450" s="3" t="s">
        <v>1205</v>
      </c>
      <c r="J450" s="3">
        <f t="shared" si="48"/>
        <v>34</v>
      </c>
      <c r="K450" s="3">
        <f>IF(ISNUMBER(SEARCH("selesai",Sheet2!D450)-1),1,"")</f>
        <v>1</v>
      </c>
      <c r="L450" s="3" t="str">
        <f t="shared" si="49"/>
        <v>Rp. 750.000.000</v>
      </c>
      <c r="M450" s="3" t="str">
        <f t="shared" si="50"/>
        <v>Rp. 749.980.000</v>
      </c>
      <c r="N450" s="3" t="str">
        <f t="shared" si="51"/>
        <v> 750.000.000</v>
      </c>
      <c r="O450" s="3" t="str">
        <f t="shared" si="52"/>
        <v> 749.980.000</v>
      </c>
      <c r="P450" s="3">
        <f t="shared" si="53"/>
        <v>750000000</v>
      </c>
      <c r="Q450" s="3">
        <f t="shared" si="54"/>
        <v>749980000</v>
      </c>
      <c r="R450" s="3">
        <f t="shared" si="55"/>
        <v>20000</v>
      </c>
    </row>
    <row r="451" spans="1:18">
      <c r="A451" s="2">
        <v>4756097</v>
      </c>
      <c r="B451" s="3" t="s">
        <v>808</v>
      </c>
      <c r="C451" s="3" t="s">
        <v>1</v>
      </c>
      <c r="D451" s="3" t="s">
        <v>2</v>
      </c>
      <c r="E451" s="3" t="s">
        <v>876</v>
      </c>
      <c r="F451" s="3" t="s">
        <v>1097</v>
      </c>
      <c r="G451" s="3" t="s">
        <v>3466</v>
      </c>
      <c r="H451" s="3" t="s">
        <v>3956</v>
      </c>
      <c r="I451" s="3" t="s">
        <v>1205</v>
      </c>
      <c r="J451" s="3">
        <f t="shared" ref="J451:J482" si="56">VALUE(SUBSTITUTE(I451,"peserta",""))</f>
        <v>34</v>
      </c>
      <c r="K451" s="3">
        <f>IF(ISNUMBER(SEARCH("selesai",Sheet2!D451)-1),1,"")</f>
        <v>1</v>
      </c>
      <c r="L451" s="3" t="str">
        <f t="shared" ref="L451:L482" si="57">LEFT(G451,SEARCH(",",G451)-1)</f>
        <v>Rp. 845.413.000</v>
      </c>
      <c r="M451" s="3" t="str">
        <f t="shared" ref="M451:M482" si="58">LEFT(H451,SEARCH(",",H451)-1)</f>
        <v>Rp. 835.285.000</v>
      </c>
      <c r="N451" s="3" t="str">
        <f t="shared" ref="N451:N482" si="59">SUBSTITUTE(L451,"Rp.","")</f>
        <v> 845.413.000</v>
      </c>
      <c r="O451" s="3" t="str">
        <f t="shared" ref="O451:O482" si="60">SUBSTITUTE(M451,"Rp.","")</f>
        <v> 835.285.000</v>
      </c>
      <c r="P451" s="3">
        <f t="shared" ref="P451:P482" si="61">VALUE(SUBSTITUTE(N451,".",""))</f>
        <v>845413000</v>
      </c>
      <c r="Q451" s="3">
        <f t="shared" ref="Q451:Q482" si="62">VALUE(SUBSTITUTE(O451,".",""))</f>
        <v>835285000</v>
      </c>
      <c r="R451" s="3">
        <f t="shared" ref="R451:R482" si="63">ABS(P451-Q451)</f>
        <v>10128000</v>
      </c>
    </row>
    <row r="452" spans="1:18">
      <c r="A452" s="2">
        <v>4755097</v>
      </c>
      <c r="B452" s="3" t="s">
        <v>810</v>
      </c>
      <c r="C452" s="3" t="s">
        <v>1</v>
      </c>
      <c r="D452" s="3" t="s">
        <v>2</v>
      </c>
      <c r="E452" s="3" t="s">
        <v>876</v>
      </c>
      <c r="F452" s="3" t="s">
        <v>875</v>
      </c>
      <c r="G452" s="3" t="s">
        <v>3472</v>
      </c>
      <c r="H452" s="3" t="s">
        <v>3957</v>
      </c>
      <c r="I452" s="3" t="s">
        <v>1126</v>
      </c>
      <c r="J452" s="3">
        <f t="shared" si="56"/>
        <v>23</v>
      </c>
      <c r="K452" s="3">
        <f>IF(ISNUMBER(SEARCH("selesai",Sheet2!D452)-1),1,"")</f>
        <v>1</v>
      </c>
      <c r="L452" s="3" t="str">
        <f t="shared" si="57"/>
        <v>Rp. 855.000.000</v>
      </c>
      <c r="M452" s="3" t="str">
        <f t="shared" si="58"/>
        <v>Rp. 851.400.000</v>
      </c>
      <c r="N452" s="3" t="str">
        <f t="shared" si="59"/>
        <v> 855.000.000</v>
      </c>
      <c r="O452" s="3" t="str">
        <f t="shared" si="60"/>
        <v> 851.400.000</v>
      </c>
      <c r="P452" s="3">
        <f t="shared" si="61"/>
        <v>855000000</v>
      </c>
      <c r="Q452" s="3">
        <f t="shared" si="62"/>
        <v>851400000</v>
      </c>
      <c r="R452" s="3">
        <f t="shared" si="63"/>
        <v>3600000</v>
      </c>
    </row>
    <row r="453" spans="1:18">
      <c r="A453" s="2">
        <v>4749097</v>
      </c>
      <c r="B453" s="3" t="s">
        <v>812</v>
      </c>
      <c r="C453" s="3" t="s">
        <v>1</v>
      </c>
      <c r="D453" s="3" t="s">
        <v>7</v>
      </c>
      <c r="E453" s="3" t="s">
        <v>876</v>
      </c>
      <c r="F453" s="3" t="s">
        <v>1026</v>
      </c>
      <c r="G453" s="3" t="s">
        <v>3363</v>
      </c>
      <c r="H453" s="3" t="s">
        <v>3940</v>
      </c>
      <c r="I453" s="3" t="s">
        <v>953</v>
      </c>
      <c r="J453" s="3">
        <f t="shared" si="56"/>
        <v>0</v>
      </c>
      <c r="K453" s="3" t="str">
        <f>IF(ISNUMBER(SEARCH("selesai",Sheet2!D453)-1),1,"")</f>
        <v/>
      </c>
      <c r="L453" s="3" t="str">
        <f t="shared" si="57"/>
        <v>Rp. 1.313.470.000</v>
      </c>
      <c r="M453" s="3" t="str">
        <f t="shared" si="58"/>
        <v>Rp. 1.312.200.750</v>
      </c>
      <c r="N453" s="3" t="str">
        <f t="shared" si="59"/>
        <v> 1.313.470.000</v>
      </c>
      <c r="O453" s="3" t="str">
        <f t="shared" si="60"/>
        <v> 1.312.200.750</v>
      </c>
      <c r="P453" s="3">
        <f t="shared" si="61"/>
        <v>1313470000</v>
      </c>
      <c r="Q453" s="3">
        <f t="shared" si="62"/>
        <v>1312200750</v>
      </c>
      <c r="R453" s="3">
        <f t="shared" si="63"/>
        <v>1269250</v>
      </c>
    </row>
    <row r="454" spans="1:18">
      <c r="A454" s="2">
        <v>4745097</v>
      </c>
      <c r="B454" s="3" t="s">
        <v>813</v>
      </c>
      <c r="C454" s="3" t="s">
        <v>1</v>
      </c>
      <c r="D454" s="3" t="s">
        <v>2</v>
      </c>
      <c r="E454" s="3" t="s">
        <v>933</v>
      </c>
      <c r="F454" s="3" t="s">
        <v>875</v>
      </c>
      <c r="G454" s="3" t="s">
        <v>3483</v>
      </c>
      <c r="H454" s="3" t="s">
        <v>3958</v>
      </c>
      <c r="I454" s="3" t="s">
        <v>1492</v>
      </c>
      <c r="J454" s="3">
        <f t="shared" si="56"/>
        <v>13</v>
      </c>
      <c r="K454" s="3">
        <f>IF(ISNUMBER(SEARCH("selesai",Sheet2!D454)-1),1,"")</f>
        <v>1</v>
      </c>
      <c r="L454" s="3" t="str">
        <f t="shared" si="57"/>
        <v>Rp. 3.125.000.000</v>
      </c>
      <c r="M454" s="3" t="str">
        <f t="shared" si="58"/>
        <v>Rp. 1.188.805.800</v>
      </c>
      <c r="N454" s="3" t="str">
        <f t="shared" si="59"/>
        <v> 3.125.000.000</v>
      </c>
      <c r="O454" s="3" t="str">
        <f t="shared" si="60"/>
        <v> 1.188.805.800</v>
      </c>
      <c r="P454" s="3">
        <f t="shared" si="61"/>
        <v>3125000000</v>
      </c>
      <c r="Q454" s="3">
        <f t="shared" si="62"/>
        <v>1188805800</v>
      </c>
      <c r="R454" s="3">
        <f t="shared" si="63"/>
        <v>1936194200</v>
      </c>
    </row>
    <row r="455" spans="1:18">
      <c r="A455" s="2">
        <v>4744097</v>
      </c>
      <c r="B455" s="3" t="s">
        <v>814</v>
      </c>
      <c r="C455" s="3" t="s">
        <v>1</v>
      </c>
      <c r="D455" s="3" t="s">
        <v>7</v>
      </c>
      <c r="E455" s="3" t="s">
        <v>3304</v>
      </c>
      <c r="F455" s="3" t="s">
        <v>919</v>
      </c>
      <c r="G455" s="3" t="s">
        <v>3302</v>
      </c>
      <c r="H455" s="3" t="s">
        <v>3935</v>
      </c>
      <c r="I455" s="3" t="s">
        <v>3489</v>
      </c>
      <c r="J455" s="3">
        <f t="shared" si="56"/>
        <v>120</v>
      </c>
      <c r="K455" s="3" t="str">
        <f>IF(ISNUMBER(SEARCH("selesai",Sheet2!D455)-1),1,"")</f>
        <v/>
      </c>
      <c r="L455" s="3" t="str">
        <f t="shared" si="57"/>
        <v>Rp. 5.683.167.000</v>
      </c>
      <c r="M455" s="3" t="str">
        <f t="shared" si="58"/>
        <v>Rp. 1.894.367.688</v>
      </c>
      <c r="N455" s="3" t="str">
        <f t="shared" si="59"/>
        <v> 5.683.167.000</v>
      </c>
      <c r="O455" s="3" t="str">
        <f t="shared" si="60"/>
        <v> 1.894.367.688</v>
      </c>
      <c r="P455" s="3">
        <f t="shared" si="61"/>
        <v>5683167000</v>
      </c>
      <c r="Q455" s="3">
        <f t="shared" si="62"/>
        <v>1894367688</v>
      </c>
      <c r="R455" s="3">
        <f t="shared" si="63"/>
        <v>3788799312</v>
      </c>
    </row>
    <row r="456" spans="1:18">
      <c r="A456" s="2">
        <v>4742097</v>
      </c>
      <c r="B456" s="3" t="s">
        <v>815</v>
      </c>
      <c r="C456" s="3" t="s">
        <v>1</v>
      </c>
      <c r="D456" s="3" t="s">
        <v>2</v>
      </c>
      <c r="E456" s="3" t="s">
        <v>876</v>
      </c>
      <c r="F456" s="3" t="s">
        <v>875</v>
      </c>
      <c r="G456" s="3" t="s">
        <v>3495</v>
      </c>
      <c r="H456" s="3" t="s">
        <v>3959</v>
      </c>
      <c r="I456" s="3" t="s">
        <v>972</v>
      </c>
      <c r="J456" s="3">
        <f t="shared" si="56"/>
        <v>9</v>
      </c>
      <c r="K456" s="3">
        <f>IF(ISNUMBER(SEARCH("selesai",Sheet2!D456)-1),1,"")</f>
        <v>1</v>
      </c>
      <c r="L456" s="3" t="str">
        <f t="shared" si="57"/>
        <v>Rp. 4.700.000.000</v>
      </c>
      <c r="M456" s="3" t="str">
        <f t="shared" si="58"/>
        <v>Rp. 4.654.500.000</v>
      </c>
      <c r="N456" s="3" t="str">
        <f t="shared" si="59"/>
        <v> 4.700.000.000</v>
      </c>
      <c r="O456" s="3" t="str">
        <f t="shared" si="60"/>
        <v> 4.654.500.000</v>
      </c>
      <c r="P456" s="3">
        <f t="shared" si="61"/>
        <v>4700000000</v>
      </c>
      <c r="Q456" s="3">
        <f t="shared" si="62"/>
        <v>4654500000</v>
      </c>
      <c r="R456" s="3">
        <f t="shared" si="63"/>
        <v>45500000</v>
      </c>
    </row>
    <row r="457" spans="1:18">
      <c r="A457" s="2">
        <v>4741097</v>
      </c>
      <c r="B457" s="3" t="s">
        <v>817</v>
      </c>
      <c r="C457" s="3" t="s">
        <v>361</v>
      </c>
      <c r="D457" s="3" t="s">
        <v>2</v>
      </c>
      <c r="E457" s="3" t="s">
        <v>1033</v>
      </c>
      <c r="F457" s="3" t="s">
        <v>875</v>
      </c>
      <c r="G457" s="3" t="s">
        <v>1970</v>
      </c>
      <c r="H457" s="3" t="s">
        <v>3960</v>
      </c>
      <c r="I457" s="3" t="s">
        <v>1096</v>
      </c>
      <c r="J457" s="3">
        <f t="shared" si="56"/>
        <v>28</v>
      </c>
      <c r="K457" s="3">
        <f>IF(ISNUMBER(SEARCH("selesai",Sheet2!D457)-1),1,"")</f>
        <v>1</v>
      </c>
      <c r="L457" s="3" t="str">
        <f t="shared" si="57"/>
        <v>Rp. 840.000.000</v>
      </c>
      <c r="M457" s="3" t="str">
        <f t="shared" si="58"/>
        <v>Rp. 632.449.339</v>
      </c>
      <c r="N457" s="3" t="str">
        <f t="shared" si="59"/>
        <v> 840.000.000</v>
      </c>
      <c r="O457" s="3" t="str">
        <f t="shared" si="60"/>
        <v> 632.449.339</v>
      </c>
      <c r="P457" s="3">
        <f t="shared" si="61"/>
        <v>840000000</v>
      </c>
      <c r="Q457" s="3">
        <f t="shared" si="62"/>
        <v>632449339</v>
      </c>
      <c r="R457" s="3">
        <f t="shared" si="63"/>
        <v>207550661</v>
      </c>
    </row>
    <row r="458" spans="1:18">
      <c r="A458" s="2">
        <v>4739097</v>
      </c>
      <c r="B458" s="3" t="s">
        <v>820</v>
      </c>
      <c r="C458" s="3" t="s">
        <v>1</v>
      </c>
      <c r="D458" s="3" t="s">
        <v>7</v>
      </c>
      <c r="E458" s="3" t="s">
        <v>876</v>
      </c>
      <c r="F458" s="3" t="s">
        <v>919</v>
      </c>
      <c r="G458" s="3" t="s">
        <v>3295</v>
      </c>
      <c r="H458" s="3" t="s">
        <v>3934</v>
      </c>
      <c r="I458" s="3" t="s">
        <v>3506</v>
      </c>
      <c r="J458" s="3">
        <f t="shared" si="56"/>
        <v>125</v>
      </c>
      <c r="K458" s="3" t="str">
        <f>IF(ISNUMBER(SEARCH("selesai",Sheet2!D458)-1),1,"")</f>
        <v/>
      </c>
      <c r="L458" s="3" t="str">
        <f t="shared" si="57"/>
        <v>Rp. 3.960.863.000</v>
      </c>
      <c r="M458" s="3" t="str">
        <f t="shared" si="58"/>
        <v>Rp. 3.960.855.084</v>
      </c>
      <c r="N458" s="3" t="str">
        <f t="shared" si="59"/>
        <v> 3.960.863.000</v>
      </c>
      <c r="O458" s="3" t="str">
        <f t="shared" si="60"/>
        <v> 3.960.855.084</v>
      </c>
      <c r="P458" s="3">
        <f t="shared" si="61"/>
        <v>3960863000</v>
      </c>
      <c r="Q458" s="3">
        <f t="shared" si="62"/>
        <v>3960855084</v>
      </c>
      <c r="R458" s="3">
        <f t="shared" si="63"/>
        <v>7916</v>
      </c>
    </row>
    <row r="459" spans="1:18">
      <c r="A459" s="2">
        <v>4738097</v>
      </c>
      <c r="B459" s="3" t="s">
        <v>821</v>
      </c>
      <c r="C459" s="3" t="s">
        <v>1</v>
      </c>
      <c r="D459" s="3" t="s">
        <v>7</v>
      </c>
      <c r="E459" s="3" t="s">
        <v>876</v>
      </c>
      <c r="F459" s="3" t="s">
        <v>875</v>
      </c>
      <c r="G459" s="3" t="s">
        <v>3512</v>
      </c>
      <c r="H459" s="3" t="s">
        <v>3961</v>
      </c>
      <c r="I459" s="3" t="s">
        <v>1920</v>
      </c>
      <c r="J459" s="3">
        <f t="shared" si="56"/>
        <v>3</v>
      </c>
      <c r="K459" s="3" t="str">
        <f>IF(ISNUMBER(SEARCH("selesai",Sheet2!D459)-1),1,"")</f>
        <v/>
      </c>
      <c r="L459" s="3" t="str">
        <f t="shared" si="57"/>
        <v>Rp. 693.500.000</v>
      </c>
      <c r="M459" s="3" t="str">
        <f t="shared" si="58"/>
        <v>Rp. 577.000.000</v>
      </c>
      <c r="N459" s="3" t="str">
        <f t="shared" si="59"/>
        <v> 693.500.000</v>
      </c>
      <c r="O459" s="3" t="str">
        <f t="shared" si="60"/>
        <v> 577.000.000</v>
      </c>
      <c r="P459" s="3">
        <f t="shared" si="61"/>
        <v>693500000</v>
      </c>
      <c r="Q459" s="3">
        <f t="shared" si="62"/>
        <v>577000000</v>
      </c>
      <c r="R459" s="3">
        <f t="shared" si="63"/>
        <v>116500000</v>
      </c>
    </row>
    <row r="460" spans="1:18">
      <c r="A460" s="2">
        <v>4730097</v>
      </c>
      <c r="B460" s="3" t="s">
        <v>823</v>
      </c>
      <c r="C460" s="3" t="s">
        <v>1</v>
      </c>
      <c r="D460" s="3" t="s">
        <v>2</v>
      </c>
      <c r="E460" s="3" t="s">
        <v>876</v>
      </c>
      <c r="F460" s="3" t="s">
        <v>1026</v>
      </c>
      <c r="G460" s="3" t="s">
        <v>3518</v>
      </c>
      <c r="H460" s="3" t="s">
        <v>3962</v>
      </c>
      <c r="I460" s="3" t="s">
        <v>1443</v>
      </c>
      <c r="J460" s="3">
        <f t="shared" si="56"/>
        <v>12</v>
      </c>
      <c r="K460" s="3">
        <f>IF(ISNUMBER(SEARCH("selesai",Sheet2!D460)-1),1,"")</f>
        <v>1</v>
      </c>
      <c r="L460" s="3" t="str">
        <f t="shared" si="57"/>
        <v>Rp. 525.000.000</v>
      </c>
      <c r="M460" s="3" t="str">
        <f t="shared" si="58"/>
        <v>Rp. 524.734.798</v>
      </c>
      <c r="N460" s="3" t="str">
        <f t="shared" si="59"/>
        <v> 525.000.000</v>
      </c>
      <c r="O460" s="3" t="str">
        <f t="shared" si="60"/>
        <v> 524.734.798</v>
      </c>
      <c r="P460" s="3">
        <f t="shared" si="61"/>
        <v>525000000</v>
      </c>
      <c r="Q460" s="3">
        <f t="shared" si="62"/>
        <v>524734798</v>
      </c>
      <c r="R460" s="3">
        <f t="shared" si="63"/>
        <v>265202</v>
      </c>
    </row>
    <row r="461" spans="1:18">
      <c r="A461" s="2">
        <v>4728097</v>
      </c>
      <c r="B461" s="3" t="s">
        <v>826</v>
      </c>
      <c r="C461" s="3" t="s">
        <v>1</v>
      </c>
      <c r="D461" s="3" t="s">
        <v>2</v>
      </c>
      <c r="E461" s="3" t="s">
        <v>876</v>
      </c>
      <c r="F461" s="3" t="s">
        <v>1026</v>
      </c>
      <c r="G461" s="3" t="s">
        <v>2168</v>
      </c>
      <c r="H461" s="3" t="s">
        <v>3963</v>
      </c>
      <c r="I461" s="3" t="s">
        <v>1492</v>
      </c>
      <c r="J461" s="3">
        <f t="shared" si="56"/>
        <v>13</v>
      </c>
      <c r="K461" s="3">
        <f>IF(ISNUMBER(SEARCH("selesai",Sheet2!D461)-1),1,"")</f>
        <v>1</v>
      </c>
      <c r="L461" s="3" t="str">
        <f t="shared" si="57"/>
        <v>Rp. 600.000.000</v>
      </c>
      <c r="M461" s="3" t="str">
        <f t="shared" si="58"/>
        <v>Rp. 499.990.000</v>
      </c>
      <c r="N461" s="3" t="str">
        <f t="shared" si="59"/>
        <v> 600.000.000</v>
      </c>
      <c r="O461" s="3" t="str">
        <f t="shared" si="60"/>
        <v> 499.990.000</v>
      </c>
      <c r="P461" s="3">
        <f t="shared" si="61"/>
        <v>600000000</v>
      </c>
      <c r="Q461" s="3">
        <f t="shared" si="62"/>
        <v>499990000</v>
      </c>
      <c r="R461" s="3">
        <f t="shared" si="63"/>
        <v>100010000</v>
      </c>
    </row>
    <row r="462" spans="1:18">
      <c r="A462" s="2">
        <v>4723097</v>
      </c>
      <c r="B462" s="3" t="s">
        <v>827</v>
      </c>
      <c r="C462" s="3" t="s">
        <v>1</v>
      </c>
      <c r="D462" s="3" t="s">
        <v>2</v>
      </c>
      <c r="E462" s="3" t="s">
        <v>876</v>
      </c>
      <c r="F462" s="3" t="s">
        <v>1026</v>
      </c>
      <c r="G462" s="3" t="s">
        <v>3529</v>
      </c>
      <c r="H462" s="3" t="s">
        <v>1211</v>
      </c>
      <c r="I462" s="3" t="s">
        <v>972</v>
      </c>
      <c r="J462" s="3">
        <f t="shared" si="56"/>
        <v>9</v>
      </c>
      <c r="K462" s="3">
        <f>IF(ISNUMBER(SEARCH("selesai",Sheet2!D462)-1),1,"")</f>
        <v>1</v>
      </c>
      <c r="L462" s="3" t="str">
        <f t="shared" si="57"/>
        <v>Rp. 289.650.000</v>
      </c>
      <c r="M462" s="3" t="str">
        <f t="shared" si="58"/>
        <v>Rp. 240.000.000</v>
      </c>
      <c r="N462" s="3" t="str">
        <f t="shared" si="59"/>
        <v> 289.650.000</v>
      </c>
      <c r="O462" s="3" t="str">
        <f t="shared" si="60"/>
        <v> 240.000.000</v>
      </c>
      <c r="P462" s="3">
        <f t="shared" si="61"/>
        <v>289650000</v>
      </c>
      <c r="Q462" s="3">
        <f t="shared" si="62"/>
        <v>240000000</v>
      </c>
      <c r="R462" s="3">
        <f t="shared" si="63"/>
        <v>49650000</v>
      </c>
    </row>
    <row r="463" spans="1:18">
      <c r="A463" s="2">
        <v>4722097</v>
      </c>
      <c r="B463" s="3" t="s">
        <v>830</v>
      </c>
      <c r="C463" s="3" t="s">
        <v>1</v>
      </c>
      <c r="D463" s="3" t="s">
        <v>2</v>
      </c>
      <c r="E463" s="3" t="s">
        <v>876</v>
      </c>
      <c r="F463" s="3" t="s">
        <v>875</v>
      </c>
      <c r="G463" s="3" t="s">
        <v>3535</v>
      </c>
      <c r="H463" s="3" t="s">
        <v>3964</v>
      </c>
      <c r="I463" s="3" t="s">
        <v>2320</v>
      </c>
      <c r="J463" s="3">
        <f t="shared" si="56"/>
        <v>5</v>
      </c>
      <c r="K463" s="3">
        <f>IF(ISNUMBER(SEARCH("selesai",Sheet2!D463)-1),1,"")</f>
        <v>1</v>
      </c>
      <c r="L463" s="3" t="str">
        <f t="shared" si="57"/>
        <v>Rp. 430.300.000</v>
      </c>
      <c r="M463" s="3" t="str">
        <f t="shared" si="58"/>
        <v>Rp. 430.231.800</v>
      </c>
      <c r="N463" s="3" t="str">
        <f t="shared" si="59"/>
        <v> 430.300.000</v>
      </c>
      <c r="O463" s="3" t="str">
        <f t="shared" si="60"/>
        <v> 430.231.800</v>
      </c>
      <c r="P463" s="3">
        <f t="shared" si="61"/>
        <v>430300000</v>
      </c>
      <c r="Q463" s="3">
        <f t="shared" si="62"/>
        <v>430231800</v>
      </c>
      <c r="R463" s="3">
        <f t="shared" si="63"/>
        <v>68200</v>
      </c>
    </row>
    <row r="464" spans="1:18">
      <c r="A464" s="2">
        <v>4719097</v>
      </c>
      <c r="B464" s="3" t="s">
        <v>833</v>
      </c>
      <c r="C464" s="3" t="s">
        <v>1</v>
      </c>
      <c r="D464" s="3" t="s">
        <v>2</v>
      </c>
      <c r="E464" s="3" t="s">
        <v>876</v>
      </c>
      <c r="F464" s="3" t="s">
        <v>1026</v>
      </c>
      <c r="G464" s="3" t="s">
        <v>3541</v>
      </c>
      <c r="H464" s="3" t="s">
        <v>3965</v>
      </c>
      <c r="I464" s="3" t="s">
        <v>1235</v>
      </c>
      <c r="J464" s="3">
        <f t="shared" si="56"/>
        <v>14</v>
      </c>
      <c r="K464" s="3">
        <f>IF(ISNUMBER(SEARCH("selesai",Sheet2!D464)-1),1,"")</f>
        <v>1</v>
      </c>
      <c r="L464" s="3" t="str">
        <f t="shared" si="57"/>
        <v>Rp. 666.950.000</v>
      </c>
      <c r="M464" s="3" t="str">
        <f t="shared" si="58"/>
        <v>Rp. 554.719.000</v>
      </c>
      <c r="N464" s="3" t="str">
        <f t="shared" si="59"/>
        <v> 666.950.000</v>
      </c>
      <c r="O464" s="3" t="str">
        <f t="shared" si="60"/>
        <v> 554.719.000</v>
      </c>
      <c r="P464" s="3">
        <f t="shared" si="61"/>
        <v>666950000</v>
      </c>
      <c r="Q464" s="3">
        <f t="shared" si="62"/>
        <v>554719000</v>
      </c>
      <c r="R464" s="3">
        <f t="shared" si="63"/>
        <v>112231000</v>
      </c>
    </row>
    <row r="465" spans="1:18">
      <c r="A465" s="2">
        <v>4718097</v>
      </c>
      <c r="B465" s="3" t="s">
        <v>836</v>
      </c>
      <c r="C465" s="3" t="s">
        <v>1</v>
      </c>
      <c r="D465" s="3" t="s">
        <v>2</v>
      </c>
      <c r="E465" s="3" t="s">
        <v>876</v>
      </c>
      <c r="F465" s="3" t="s">
        <v>1026</v>
      </c>
      <c r="G465" s="3" t="s">
        <v>1095</v>
      </c>
      <c r="H465" s="3" t="s">
        <v>3966</v>
      </c>
      <c r="I465" s="3" t="s">
        <v>1235</v>
      </c>
      <c r="J465" s="3">
        <f t="shared" si="56"/>
        <v>14</v>
      </c>
      <c r="K465" s="3">
        <f>IF(ISNUMBER(SEARCH("selesai",Sheet2!D465)-1),1,"")</f>
        <v>1</v>
      </c>
      <c r="L465" s="3" t="str">
        <f t="shared" si="57"/>
        <v>Rp. 300.000.000</v>
      </c>
      <c r="M465" s="3" t="str">
        <f t="shared" si="58"/>
        <v>Rp. 252.549.000</v>
      </c>
      <c r="N465" s="3" t="str">
        <f t="shared" si="59"/>
        <v> 300.000.000</v>
      </c>
      <c r="O465" s="3" t="str">
        <f t="shared" si="60"/>
        <v> 252.549.000</v>
      </c>
      <c r="P465" s="3">
        <f t="shared" si="61"/>
        <v>300000000</v>
      </c>
      <c r="Q465" s="3">
        <f t="shared" si="62"/>
        <v>252549000</v>
      </c>
      <c r="R465" s="3">
        <f t="shared" si="63"/>
        <v>47451000</v>
      </c>
    </row>
    <row r="466" spans="1:18">
      <c r="A466" s="2">
        <v>4717097</v>
      </c>
      <c r="B466" s="3" t="s">
        <v>821</v>
      </c>
      <c r="C466" s="3" t="s">
        <v>1</v>
      </c>
      <c r="D466" s="3" t="s">
        <v>7</v>
      </c>
      <c r="E466" s="3" t="s">
        <v>876</v>
      </c>
      <c r="F466" s="3" t="s">
        <v>875</v>
      </c>
      <c r="G466" s="3" t="s">
        <v>3512</v>
      </c>
      <c r="H466" s="3" t="s">
        <v>3967</v>
      </c>
      <c r="I466" s="3" t="s">
        <v>911</v>
      </c>
      <c r="J466" s="3">
        <f t="shared" si="56"/>
        <v>4</v>
      </c>
      <c r="K466" s="3" t="str">
        <f>IF(ISNUMBER(SEARCH("selesai",Sheet2!D466)-1),1,"")</f>
        <v/>
      </c>
      <c r="L466" s="3" t="str">
        <f t="shared" si="57"/>
        <v>Rp. 693.500.000</v>
      </c>
      <c r="M466" s="3" t="str">
        <f t="shared" si="58"/>
        <v>Rp. 692.400.000</v>
      </c>
      <c r="N466" s="3" t="str">
        <f t="shared" si="59"/>
        <v> 693.500.000</v>
      </c>
      <c r="O466" s="3" t="str">
        <f t="shared" si="60"/>
        <v> 692.400.000</v>
      </c>
      <c r="P466" s="3">
        <f t="shared" si="61"/>
        <v>693500000</v>
      </c>
      <c r="Q466" s="3">
        <f t="shared" si="62"/>
        <v>692400000</v>
      </c>
      <c r="R466" s="3">
        <f t="shared" si="63"/>
        <v>1100000</v>
      </c>
    </row>
    <row r="467" spans="1:18">
      <c r="A467" s="2">
        <v>4716097</v>
      </c>
      <c r="B467" s="3" t="s">
        <v>840</v>
      </c>
      <c r="C467" s="3" t="s">
        <v>1</v>
      </c>
      <c r="D467" s="3" t="s">
        <v>7</v>
      </c>
      <c r="E467" s="3" t="s">
        <v>876</v>
      </c>
      <c r="F467" s="3" t="s">
        <v>875</v>
      </c>
      <c r="G467" s="3" t="s">
        <v>3557</v>
      </c>
      <c r="H467" s="3" t="s">
        <v>3968</v>
      </c>
      <c r="I467" s="3" t="s">
        <v>2320</v>
      </c>
      <c r="J467" s="3">
        <f t="shared" si="56"/>
        <v>5</v>
      </c>
      <c r="K467" s="3" t="str">
        <f>IF(ISNUMBER(SEARCH("selesai",Sheet2!D467)-1),1,"")</f>
        <v/>
      </c>
      <c r="L467" s="3" t="str">
        <f t="shared" si="57"/>
        <v>Rp. 894.250.000</v>
      </c>
      <c r="M467" s="3" t="str">
        <f t="shared" si="58"/>
        <v>Rp. 819.752.400</v>
      </c>
      <c r="N467" s="3" t="str">
        <f t="shared" si="59"/>
        <v> 894.250.000</v>
      </c>
      <c r="O467" s="3" t="str">
        <f t="shared" si="60"/>
        <v> 819.752.400</v>
      </c>
      <c r="P467" s="3">
        <f t="shared" si="61"/>
        <v>894250000</v>
      </c>
      <c r="Q467" s="3">
        <f t="shared" si="62"/>
        <v>819752400</v>
      </c>
      <c r="R467" s="3">
        <f t="shared" si="63"/>
        <v>74497600</v>
      </c>
    </row>
    <row r="468" spans="1:18">
      <c r="A468" s="2">
        <v>4715097</v>
      </c>
      <c r="B468" s="3" t="s">
        <v>842</v>
      </c>
      <c r="C468" s="3" t="s">
        <v>1</v>
      </c>
      <c r="D468" s="3" t="s">
        <v>7</v>
      </c>
      <c r="E468" s="3" t="s">
        <v>876</v>
      </c>
      <c r="F468" s="3" t="s">
        <v>1026</v>
      </c>
      <c r="G468" s="3" t="s">
        <v>3404</v>
      </c>
      <c r="H468" s="3" t="s">
        <v>3947</v>
      </c>
      <c r="I468" s="3" t="s">
        <v>1443</v>
      </c>
      <c r="J468" s="3">
        <f t="shared" si="56"/>
        <v>12</v>
      </c>
      <c r="K468" s="3" t="str">
        <f>IF(ISNUMBER(SEARCH("selesai",Sheet2!D468)-1),1,"")</f>
        <v/>
      </c>
      <c r="L468" s="3" t="str">
        <f t="shared" si="57"/>
        <v>Rp. 499.341.000</v>
      </c>
      <c r="M468" s="3" t="str">
        <f t="shared" si="58"/>
        <v>Rp. 417.765.043</v>
      </c>
      <c r="N468" s="3" t="str">
        <f t="shared" si="59"/>
        <v> 499.341.000</v>
      </c>
      <c r="O468" s="3" t="str">
        <f t="shared" si="60"/>
        <v> 417.765.043</v>
      </c>
      <c r="P468" s="3">
        <f t="shared" si="61"/>
        <v>499341000</v>
      </c>
      <c r="Q468" s="3">
        <f t="shared" si="62"/>
        <v>417765043</v>
      </c>
      <c r="R468" s="3">
        <f t="shared" si="63"/>
        <v>81575957</v>
      </c>
    </row>
    <row r="469" spans="1:18">
      <c r="A469" s="2">
        <v>4713097</v>
      </c>
      <c r="B469" s="3" t="s">
        <v>843</v>
      </c>
      <c r="C469" s="3" t="s">
        <v>1</v>
      </c>
      <c r="D469" s="3" t="s">
        <v>7</v>
      </c>
      <c r="E469" s="3" t="s">
        <v>876</v>
      </c>
      <c r="F469" s="3" t="s">
        <v>1026</v>
      </c>
      <c r="G469" s="3" t="s">
        <v>2168</v>
      </c>
      <c r="H469" s="3" t="s">
        <v>3963</v>
      </c>
      <c r="I469" s="3" t="s">
        <v>1268</v>
      </c>
      <c r="J469" s="3">
        <f t="shared" si="56"/>
        <v>17</v>
      </c>
      <c r="K469" s="3" t="str">
        <f>IF(ISNUMBER(SEARCH("selesai",Sheet2!D469)-1),1,"")</f>
        <v/>
      </c>
      <c r="L469" s="3" t="str">
        <f t="shared" si="57"/>
        <v>Rp. 600.000.000</v>
      </c>
      <c r="M469" s="3" t="str">
        <f t="shared" si="58"/>
        <v>Rp. 499.990.000</v>
      </c>
      <c r="N469" s="3" t="str">
        <f t="shared" si="59"/>
        <v> 600.000.000</v>
      </c>
      <c r="O469" s="3" t="str">
        <f t="shared" si="60"/>
        <v> 499.990.000</v>
      </c>
      <c r="P469" s="3">
        <f t="shared" si="61"/>
        <v>600000000</v>
      </c>
      <c r="Q469" s="3">
        <f t="shared" si="62"/>
        <v>499990000</v>
      </c>
      <c r="R469" s="3">
        <f t="shared" si="63"/>
        <v>100010000</v>
      </c>
    </row>
    <row r="470" spans="1:18">
      <c r="A470" s="2">
        <v>4705097</v>
      </c>
      <c r="B470" s="3" t="s">
        <v>844</v>
      </c>
      <c r="C470" s="3" t="s">
        <v>1</v>
      </c>
      <c r="D470" s="3" t="s">
        <v>2</v>
      </c>
      <c r="E470" s="3" t="s">
        <v>876</v>
      </c>
      <c r="F470" s="3" t="s">
        <v>875</v>
      </c>
      <c r="G470" s="3" t="s">
        <v>3573</v>
      </c>
      <c r="H470" s="3" t="s">
        <v>3969</v>
      </c>
      <c r="I470" s="3" t="s">
        <v>1025</v>
      </c>
      <c r="J470" s="3">
        <f t="shared" si="56"/>
        <v>2</v>
      </c>
      <c r="K470" s="3">
        <f>IF(ISNUMBER(SEARCH("selesai",Sheet2!D470)-1),1,"")</f>
        <v>1</v>
      </c>
      <c r="L470" s="3" t="str">
        <f t="shared" si="57"/>
        <v>Rp. 421.200.000</v>
      </c>
      <c r="M470" s="3" t="str">
        <f t="shared" si="58"/>
        <v>Rp. 421.194.000</v>
      </c>
      <c r="N470" s="3" t="str">
        <f t="shared" si="59"/>
        <v> 421.200.000</v>
      </c>
      <c r="O470" s="3" t="str">
        <f t="shared" si="60"/>
        <v> 421.194.000</v>
      </c>
      <c r="P470" s="3">
        <f t="shared" si="61"/>
        <v>421200000</v>
      </c>
      <c r="Q470" s="3">
        <f t="shared" si="62"/>
        <v>421194000</v>
      </c>
      <c r="R470" s="3">
        <f t="shared" si="63"/>
        <v>6000</v>
      </c>
    </row>
    <row r="471" spans="1:18">
      <c r="A471" s="2">
        <v>4704097</v>
      </c>
      <c r="B471" s="3" t="s">
        <v>846</v>
      </c>
      <c r="C471" s="3" t="s">
        <v>1</v>
      </c>
      <c r="D471" s="3" t="s">
        <v>7</v>
      </c>
      <c r="E471" s="3" t="s">
        <v>876</v>
      </c>
      <c r="F471" s="3" t="s">
        <v>875</v>
      </c>
      <c r="G471" s="3" t="s">
        <v>3573</v>
      </c>
      <c r="H471" s="3" t="s">
        <v>3969</v>
      </c>
      <c r="I471" s="3" t="s">
        <v>1937</v>
      </c>
      <c r="J471" s="3">
        <f t="shared" si="56"/>
        <v>1</v>
      </c>
      <c r="K471" s="3" t="str">
        <f>IF(ISNUMBER(SEARCH("selesai",Sheet2!D471)-1),1,"")</f>
        <v/>
      </c>
      <c r="L471" s="3" t="str">
        <f t="shared" si="57"/>
        <v>Rp. 421.200.000</v>
      </c>
      <c r="M471" s="3" t="str">
        <f t="shared" si="58"/>
        <v>Rp. 421.194.000</v>
      </c>
      <c r="N471" s="3" t="str">
        <f t="shared" si="59"/>
        <v> 421.200.000</v>
      </c>
      <c r="O471" s="3" t="str">
        <f t="shared" si="60"/>
        <v> 421.194.000</v>
      </c>
      <c r="P471" s="3">
        <f t="shared" si="61"/>
        <v>421200000</v>
      </c>
      <c r="Q471" s="3">
        <f t="shared" si="62"/>
        <v>421194000</v>
      </c>
      <c r="R471" s="3">
        <f t="shared" si="63"/>
        <v>6000</v>
      </c>
    </row>
    <row r="472" spans="1:18">
      <c r="A472" s="2">
        <v>4697097</v>
      </c>
      <c r="B472" s="3" t="s">
        <v>847</v>
      </c>
      <c r="C472" s="3" t="s">
        <v>1</v>
      </c>
      <c r="D472" s="3" t="s">
        <v>7</v>
      </c>
      <c r="E472" s="3" t="s">
        <v>876</v>
      </c>
      <c r="F472" s="3" t="s">
        <v>1026</v>
      </c>
      <c r="G472" s="3" t="s">
        <v>3404</v>
      </c>
      <c r="H472" s="3" t="s">
        <v>3970</v>
      </c>
      <c r="I472" s="3" t="s">
        <v>1937</v>
      </c>
      <c r="J472" s="3">
        <f t="shared" si="56"/>
        <v>1</v>
      </c>
      <c r="K472" s="3" t="str">
        <f>IF(ISNUMBER(SEARCH("selesai",Sheet2!D472)-1),1,"")</f>
        <v/>
      </c>
      <c r="L472" s="3" t="str">
        <f t="shared" si="57"/>
        <v>Rp. 499.341.000</v>
      </c>
      <c r="M472" s="3" t="str">
        <f t="shared" si="58"/>
        <v>Rp. 499.250.592</v>
      </c>
      <c r="N472" s="3" t="str">
        <f t="shared" si="59"/>
        <v> 499.341.000</v>
      </c>
      <c r="O472" s="3" t="str">
        <f t="shared" si="60"/>
        <v> 499.250.592</v>
      </c>
      <c r="P472" s="3">
        <f t="shared" si="61"/>
        <v>499341000</v>
      </c>
      <c r="Q472" s="3">
        <f t="shared" si="62"/>
        <v>499250592</v>
      </c>
      <c r="R472" s="3">
        <f t="shared" si="63"/>
        <v>90408</v>
      </c>
    </row>
    <row r="473" spans="1:18">
      <c r="A473" s="2">
        <v>4693097</v>
      </c>
      <c r="B473" s="3" t="s">
        <v>849</v>
      </c>
      <c r="C473" s="3" t="s">
        <v>1</v>
      </c>
      <c r="D473" s="3" t="s">
        <v>7</v>
      </c>
      <c r="E473" s="3" t="s">
        <v>876</v>
      </c>
      <c r="F473" s="3" t="s">
        <v>875</v>
      </c>
      <c r="G473" s="3" t="s">
        <v>3557</v>
      </c>
      <c r="H473" s="3" t="s">
        <v>3968</v>
      </c>
      <c r="I473" s="3" t="s">
        <v>1025</v>
      </c>
      <c r="J473" s="3">
        <f t="shared" si="56"/>
        <v>2</v>
      </c>
      <c r="K473" s="3" t="str">
        <f>IF(ISNUMBER(SEARCH("selesai",Sheet2!D473)-1),1,"")</f>
        <v/>
      </c>
      <c r="L473" s="3" t="str">
        <f t="shared" si="57"/>
        <v>Rp. 894.250.000</v>
      </c>
      <c r="M473" s="3" t="str">
        <f t="shared" si="58"/>
        <v>Rp. 819.752.400</v>
      </c>
      <c r="N473" s="3" t="str">
        <f t="shared" si="59"/>
        <v> 894.250.000</v>
      </c>
      <c r="O473" s="3" t="str">
        <f t="shared" si="60"/>
        <v> 819.752.400</v>
      </c>
      <c r="P473" s="3">
        <f t="shared" si="61"/>
        <v>894250000</v>
      </c>
      <c r="Q473" s="3">
        <f t="shared" si="62"/>
        <v>819752400</v>
      </c>
      <c r="R473" s="3">
        <f t="shared" si="63"/>
        <v>74497600</v>
      </c>
    </row>
    <row r="474" spans="1:18">
      <c r="A474" s="2">
        <v>4692097</v>
      </c>
      <c r="B474" s="3" t="s">
        <v>821</v>
      </c>
      <c r="C474" s="3" t="s">
        <v>1</v>
      </c>
      <c r="D474" s="3" t="s">
        <v>7</v>
      </c>
      <c r="E474" s="3" t="s">
        <v>876</v>
      </c>
      <c r="F474" s="3" t="s">
        <v>875</v>
      </c>
      <c r="G474" s="3" t="s">
        <v>3512</v>
      </c>
      <c r="H474" s="3" t="s">
        <v>3967</v>
      </c>
      <c r="I474" s="3" t="s">
        <v>953</v>
      </c>
      <c r="J474" s="3">
        <f t="shared" si="56"/>
        <v>0</v>
      </c>
      <c r="K474" s="3" t="str">
        <f>IF(ISNUMBER(SEARCH("selesai",Sheet2!D474)-1),1,"")</f>
        <v/>
      </c>
      <c r="L474" s="3" t="str">
        <f t="shared" si="57"/>
        <v>Rp. 693.500.000</v>
      </c>
      <c r="M474" s="3" t="str">
        <f t="shared" si="58"/>
        <v>Rp. 692.400.000</v>
      </c>
      <c r="N474" s="3" t="str">
        <f t="shared" si="59"/>
        <v> 693.500.000</v>
      </c>
      <c r="O474" s="3" t="str">
        <f t="shared" si="60"/>
        <v> 692.400.000</v>
      </c>
      <c r="P474" s="3">
        <f t="shared" si="61"/>
        <v>693500000</v>
      </c>
      <c r="Q474" s="3">
        <f t="shared" si="62"/>
        <v>692400000</v>
      </c>
      <c r="R474" s="3">
        <f t="shared" si="63"/>
        <v>1100000</v>
      </c>
    </row>
    <row r="475" spans="1:18">
      <c r="A475" s="2">
        <v>4690097</v>
      </c>
      <c r="B475" s="3" t="s">
        <v>847</v>
      </c>
      <c r="C475" s="3" t="s">
        <v>1</v>
      </c>
      <c r="D475" s="3" t="s">
        <v>7</v>
      </c>
      <c r="E475" s="3" t="s">
        <v>876</v>
      </c>
      <c r="F475" s="3" t="s">
        <v>1026</v>
      </c>
      <c r="G475" s="3" t="s">
        <v>3404</v>
      </c>
      <c r="H475" s="3" t="s">
        <v>3970</v>
      </c>
      <c r="I475" s="3" t="s">
        <v>1025</v>
      </c>
      <c r="J475" s="3">
        <f t="shared" si="56"/>
        <v>2</v>
      </c>
      <c r="K475" s="3" t="str">
        <f>IF(ISNUMBER(SEARCH("selesai",Sheet2!D475)-1),1,"")</f>
        <v/>
      </c>
      <c r="L475" s="3" t="str">
        <f t="shared" si="57"/>
        <v>Rp. 499.341.000</v>
      </c>
      <c r="M475" s="3" t="str">
        <f t="shared" si="58"/>
        <v>Rp. 499.250.592</v>
      </c>
      <c r="N475" s="3" t="str">
        <f t="shared" si="59"/>
        <v> 499.341.000</v>
      </c>
      <c r="O475" s="3" t="str">
        <f t="shared" si="60"/>
        <v> 499.250.592</v>
      </c>
      <c r="P475" s="3">
        <f t="shared" si="61"/>
        <v>499341000</v>
      </c>
      <c r="Q475" s="3">
        <f t="shared" si="62"/>
        <v>499250592</v>
      </c>
      <c r="R475" s="3">
        <f t="shared" si="63"/>
        <v>90408</v>
      </c>
    </row>
    <row r="476" spans="1:18">
      <c r="A476" s="2">
        <v>4685097</v>
      </c>
      <c r="B476" s="3" t="s">
        <v>850</v>
      </c>
      <c r="C476" s="3" t="s">
        <v>1</v>
      </c>
      <c r="D476" s="3" t="s">
        <v>7</v>
      </c>
      <c r="E476" s="3" t="s">
        <v>876</v>
      </c>
      <c r="F476" s="3" t="s">
        <v>875</v>
      </c>
      <c r="G476" s="3" t="s">
        <v>3604</v>
      </c>
      <c r="H476" s="3" t="s">
        <v>3971</v>
      </c>
      <c r="I476" s="3" t="s">
        <v>918</v>
      </c>
      <c r="J476" s="3">
        <f t="shared" si="56"/>
        <v>19</v>
      </c>
      <c r="K476" s="3" t="str">
        <f>IF(ISNUMBER(SEARCH("selesai",Sheet2!D476)-1),1,"")</f>
        <v/>
      </c>
      <c r="L476" s="3" t="str">
        <f t="shared" si="57"/>
        <v>Rp. 1.562.500.000</v>
      </c>
      <c r="M476" s="3" t="str">
        <f t="shared" si="58"/>
        <v>Rp. 1.559.310.400</v>
      </c>
      <c r="N476" s="3" t="str">
        <f t="shared" si="59"/>
        <v> 1.562.500.000</v>
      </c>
      <c r="O476" s="3" t="str">
        <f t="shared" si="60"/>
        <v> 1.559.310.400</v>
      </c>
      <c r="P476" s="3">
        <f t="shared" si="61"/>
        <v>1562500000</v>
      </c>
      <c r="Q476" s="3">
        <f t="shared" si="62"/>
        <v>1559310400</v>
      </c>
      <c r="R476" s="3">
        <f t="shared" si="63"/>
        <v>3189600</v>
      </c>
    </row>
    <row r="477" spans="1:18">
      <c r="A477" s="2">
        <v>4679097</v>
      </c>
      <c r="B477" s="3" t="s">
        <v>851</v>
      </c>
      <c r="C477" s="3" t="s">
        <v>1</v>
      </c>
      <c r="D477" s="3" t="s">
        <v>7</v>
      </c>
      <c r="E477" s="3" t="s">
        <v>876</v>
      </c>
      <c r="F477" s="3" t="s">
        <v>1026</v>
      </c>
      <c r="G477" s="3" t="s">
        <v>3404</v>
      </c>
      <c r="H477" s="3" t="s">
        <v>3970</v>
      </c>
      <c r="I477" s="3" t="s">
        <v>953</v>
      </c>
      <c r="J477" s="3">
        <f t="shared" si="56"/>
        <v>0</v>
      </c>
      <c r="K477" s="3" t="str">
        <f>IF(ISNUMBER(SEARCH("selesai",Sheet2!D477)-1),1,"")</f>
        <v/>
      </c>
      <c r="L477" s="3" t="str">
        <f t="shared" si="57"/>
        <v>Rp. 499.341.000</v>
      </c>
      <c r="M477" s="3" t="str">
        <f t="shared" si="58"/>
        <v>Rp. 499.250.592</v>
      </c>
      <c r="N477" s="3" t="str">
        <f t="shared" si="59"/>
        <v> 499.341.000</v>
      </c>
      <c r="O477" s="3" t="str">
        <f t="shared" si="60"/>
        <v> 499.250.592</v>
      </c>
      <c r="P477" s="3">
        <f t="shared" si="61"/>
        <v>499341000</v>
      </c>
      <c r="Q477" s="3">
        <f t="shared" si="62"/>
        <v>499250592</v>
      </c>
      <c r="R477" s="3">
        <f t="shared" si="63"/>
        <v>90408</v>
      </c>
    </row>
    <row r="478" spans="1:18">
      <c r="A478" s="2">
        <v>4677097</v>
      </c>
      <c r="B478" s="3" t="s">
        <v>846</v>
      </c>
      <c r="C478" s="3" t="s">
        <v>1</v>
      </c>
      <c r="D478" s="3" t="s">
        <v>7</v>
      </c>
      <c r="E478" s="3" t="s">
        <v>876</v>
      </c>
      <c r="F478" s="3" t="s">
        <v>875</v>
      </c>
      <c r="G478" s="3" t="s">
        <v>3573</v>
      </c>
      <c r="H478" s="3" t="s">
        <v>3969</v>
      </c>
      <c r="I478" s="3" t="s">
        <v>1937</v>
      </c>
      <c r="J478" s="3">
        <f t="shared" si="56"/>
        <v>1</v>
      </c>
      <c r="K478" s="3" t="str">
        <f>IF(ISNUMBER(SEARCH("selesai",Sheet2!D478)-1),1,"")</f>
        <v/>
      </c>
      <c r="L478" s="3" t="str">
        <f t="shared" si="57"/>
        <v>Rp. 421.200.000</v>
      </c>
      <c r="M478" s="3" t="str">
        <f t="shared" si="58"/>
        <v>Rp. 421.194.000</v>
      </c>
      <c r="N478" s="3" t="str">
        <f t="shared" si="59"/>
        <v> 421.200.000</v>
      </c>
      <c r="O478" s="3" t="str">
        <f t="shared" si="60"/>
        <v> 421.194.000</v>
      </c>
      <c r="P478" s="3">
        <f t="shared" si="61"/>
        <v>421200000</v>
      </c>
      <c r="Q478" s="3">
        <f t="shared" si="62"/>
        <v>421194000</v>
      </c>
      <c r="R478" s="3">
        <f t="shared" si="63"/>
        <v>6000</v>
      </c>
    </row>
    <row r="479" spans="1:18">
      <c r="A479" s="2">
        <v>4676097</v>
      </c>
      <c r="B479" s="3" t="s">
        <v>852</v>
      </c>
      <c r="C479" s="3" t="s">
        <v>1</v>
      </c>
      <c r="D479" s="3" t="s">
        <v>2</v>
      </c>
      <c r="E479" s="3" t="s">
        <v>876</v>
      </c>
      <c r="F479" s="3" t="s">
        <v>1026</v>
      </c>
      <c r="G479" s="3" t="s">
        <v>3620</v>
      </c>
      <c r="H479" s="3" t="s">
        <v>3972</v>
      </c>
      <c r="I479" s="3" t="s">
        <v>1492</v>
      </c>
      <c r="J479" s="3">
        <f t="shared" si="56"/>
        <v>13</v>
      </c>
      <c r="K479" s="3">
        <f>IF(ISNUMBER(SEARCH("selesai",Sheet2!D479)-1),1,"")</f>
        <v>1</v>
      </c>
      <c r="L479" s="3" t="str">
        <f t="shared" si="57"/>
        <v>Rp. 517.000.000</v>
      </c>
      <c r="M479" s="3" t="str">
        <f t="shared" si="58"/>
        <v>Rp. 516.891.375</v>
      </c>
      <c r="N479" s="3" t="str">
        <f t="shared" si="59"/>
        <v> 517.000.000</v>
      </c>
      <c r="O479" s="3" t="str">
        <f t="shared" si="60"/>
        <v> 516.891.375</v>
      </c>
      <c r="P479" s="3">
        <f t="shared" si="61"/>
        <v>517000000</v>
      </c>
      <c r="Q479" s="3">
        <f t="shared" si="62"/>
        <v>516891375</v>
      </c>
      <c r="R479" s="3">
        <f t="shared" si="63"/>
        <v>108625</v>
      </c>
    </row>
    <row r="480" spans="1:18">
      <c r="A480" s="2">
        <v>4675097</v>
      </c>
      <c r="B480" s="3" t="s">
        <v>854</v>
      </c>
      <c r="C480" s="3" t="s">
        <v>1</v>
      </c>
      <c r="D480" s="3" t="s">
        <v>2</v>
      </c>
      <c r="E480" s="3" t="s">
        <v>876</v>
      </c>
      <c r="F480" s="3" t="s">
        <v>1026</v>
      </c>
      <c r="G480" s="3" t="s">
        <v>3626</v>
      </c>
      <c r="H480" s="3" t="s">
        <v>3973</v>
      </c>
      <c r="I480" s="3" t="s">
        <v>972</v>
      </c>
      <c r="J480" s="3">
        <f t="shared" si="56"/>
        <v>9</v>
      </c>
      <c r="K480" s="3">
        <f>IF(ISNUMBER(SEARCH("selesai",Sheet2!D480)-1),1,"")</f>
        <v>1</v>
      </c>
      <c r="L480" s="3" t="str">
        <f t="shared" si="57"/>
        <v>Rp. 371.262.000</v>
      </c>
      <c r="M480" s="3" t="str">
        <f t="shared" si="58"/>
        <v>Rp. 370.900.772</v>
      </c>
      <c r="N480" s="3" t="str">
        <f t="shared" si="59"/>
        <v> 371.262.000</v>
      </c>
      <c r="O480" s="3" t="str">
        <f t="shared" si="60"/>
        <v> 370.900.772</v>
      </c>
      <c r="P480" s="3">
        <f t="shared" si="61"/>
        <v>371262000</v>
      </c>
      <c r="Q480" s="3">
        <f t="shared" si="62"/>
        <v>370900772</v>
      </c>
      <c r="R480" s="3">
        <f t="shared" si="63"/>
        <v>361228</v>
      </c>
    </row>
    <row r="481" spans="1:18">
      <c r="A481" s="2">
        <v>4674097</v>
      </c>
      <c r="B481" s="3" t="s">
        <v>856</v>
      </c>
      <c r="C481" s="3" t="s">
        <v>1</v>
      </c>
      <c r="D481" s="3" t="s">
        <v>2</v>
      </c>
      <c r="E481" s="3" t="s">
        <v>876</v>
      </c>
      <c r="F481" s="3" t="s">
        <v>875</v>
      </c>
      <c r="G481" s="3" t="s">
        <v>3632</v>
      </c>
      <c r="H481" s="3" t="s">
        <v>3974</v>
      </c>
      <c r="I481" s="3" t="s">
        <v>1056</v>
      </c>
      <c r="J481" s="3">
        <f t="shared" si="56"/>
        <v>11</v>
      </c>
      <c r="K481" s="3">
        <f>IF(ISNUMBER(SEARCH("selesai",Sheet2!D481)-1),1,"")</f>
        <v>1</v>
      </c>
      <c r="L481" s="3" t="str">
        <f t="shared" si="57"/>
        <v>Rp. 5.803.500.000</v>
      </c>
      <c r="M481" s="3" t="str">
        <f t="shared" si="58"/>
        <v>Rp. 5.802.893.800</v>
      </c>
      <c r="N481" s="3" t="str">
        <f t="shared" si="59"/>
        <v> 5.803.500.000</v>
      </c>
      <c r="O481" s="3" t="str">
        <f t="shared" si="60"/>
        <v> 5.802.893.800</v>
      </c>
      <c r="P481" s="3">
        <f t="shared" si="61"/>
        <v>5803500000</v>
      </c>
      <c r="Q481" s="3">
        <f t="shared" si="62"/>
        <v>5802893800</v>
      </c>
      <c r="R481" s="3">
        <f t="shared" si="63"/>
        <v>606200</v>
      </c>
    </row>
    <row r="482" spans="1:18">
      <c r="A482" s="2">
        <v>4670097</v>
      </c>
      <c r="B482" s="3" t="s">
        <v>857</v>
      </c>
      <c r="C482" s="3" t="s">
        <v>361</v>
      </c>
      <c r="D482" s="3" t="s">
        <v>2</v>
      </c>
      <c r="E482" s="3" t="s">
        <v>1033</v>
      </c>
      <c r="F482" s="3" t="s">
        <v>1026</v>
      </c>
      <c r="G482" s="3" t="s">
        <v>3638</v>
      </c>
      <c r="H482" s="3" t="s">
        <v>3975</v>
      </c>
      <c r="I482" s="3" t="s">
        <v>1443</v>
      </c>
      <c r="J482" s="3">
        <f t="shared" si="56"/>
        <v>12</v>
      </c>
      <c r="K482" s="3">
        <f>IF(ISNUMBER(SEARCH("selesai",Sheet2!D482)-1),1,"")</f>
        <v>1</v>
      </c>
      <c r="L482" s="3" t="str">
        <f t="shared" si="57"/>
        <v>Rp. 2.189.400.000</v>
      </c>
      <c r="M482" s="3" t="str">
        <f t="shared" si="58"/>
        <v>Rp. 2.000.554.000</v>
      </c>
      <c r="N482" s="3" t="str">
        <f t="shared" si="59"/>
        <v> 2.189.400.000</v>
      </c>
      <c r="O482" s="3" t="str">
        <f t="shared" si="60"/>
        <v> 2.000.554.000</v>
      </c>
      <c r="P482" s="3">
        <f t="shared" si="61"/>
        <v>2189400000</v>
      </c>
      <c r="Q482" s="3">
        <f t="shared" si="62"/>
        <v>2000554000</v>
      </c>
      <c r="R482" s="3">
        <f t="shared" si="63"/>
        <v>188846000</v>
      </c>
    </row>
  </sheetData>
  <pageMargins left="0.7" right="0.7" top="0.75" bottom="0.75" header="0.3" footer="0.3"/>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H9672"/>
  <sheetViews>
    <sheetView workbookViewId="0">
      <selection activeCell="E2" sqref="E2"/>
    </sheetView>
  </sheetViews>
  <sheetFormatPr defaultColWidth="9" defaultRowHeight="15" outlineLevelCol="7"/>
  <cols>
    <col min="1" max="1" width="33.6285714285714" customWidth="1"/>
    <col min="7" max="7" width="31.9047619047619" customWidth="1"/>
  </cols>
  <sheetData>
    <row r="1" spans="1:8">
      <c r="A1" t="s">
        <v>3976</v>
      </c>
      <c r="B1">
        <v>5671097</v>
      </c>
      <c r="D1">
        <f>COUNTA(A:A)</f>
        <v>9672</v>
      </c>
      <c r="E1">
        <f>COUNTA(B:B)</f>
        <v>669</v>
      </c>
      <c r="G1" t="s">
        <v>3976</v>
      </c>
      <c r="H1">
        <v>5671097</v>
      </c>
    </row>
    <row r="2" spans="1:8">
      <c r="A2" t="s">
        <v>3977</v>
      </c>
      <c r="G2" t="s">
        <v>3978</v>
      </c>
      <c r="H2">
        <v>5341097</v>
      </c>
    </row>
    <row r="3" spans="1:8">
      <c r="A3" t="s">
        <v>3979</v>
      </c>
      <c r="G3" t="s">
        <v>3980</v>
      </c>
      <c r="H3">
        <v>5251097</v>
      </c>
    </row>
    <row r="4" spans="1:7">
      <c r="A4" t="s">
        <v>3981</v>
      </c>
      <c r="G4" t="s">
        <v>3980</v>
      </c>
    </row>
    <row r="5" spans="1:7">
      <c r="A5" t="s">
        <v>3982</v>
      </c>
      <c r="G5" t="s">
        <v>3983</v>
      </c>
    </row>
    <row r="6" spans="1:7">
      <c r="A6" t="s">
        <v>3984</v>
      </c>
      <c r="G6" t="s">
        <v>3985</v>
      </c>
    </row>
    <row r="7" spans="1:7">
      <c r="A7" t="s">
        <v>3986</v>
      </c>
      <c r="G7" t="s">
        <v>3987</v>
      </c>
    </row>
    <row r="8" spans="1:7">
      <c r="A8" t="s">
        <v>3988</v>
      </c>
      <c r="G8" t="s">
        <v>3987</v>
      </c>
    </row>
    <row r="9" spans="1:7">
      <c r="A9" t="s">
        <v>3989</v>
      </c>
      <c r="B9">
        <v>5662097</v>
      </c>
      <c r="G9" t="s">
        <v>3990</v>
      </c>
    </row>
    <row r="10" spans="1:7">
      <c r="A10" t="s">
        <v>3991</v>
      </c>
      <c r="G10" t="s">
        <v>3990</v>
      </c>
    </row>
    <row r="11" spans="1:7">
      <c r="A11" t="s">
        <v>3992</v>
      </c>
      <c r="G11" t="s">
        <v>3993</v>
      </c>
    </row>
    <row r="12" spans="1:7">
      <c r="A12" t="s">
        <v>3994</v>
      </c>
      <c r="G12" t="s">
        <v>3993</v>
      </c>
    </row>
    <row r="13" spans="1:7">
      <c r="A13" t="s">
        <v>3995</v>
      </c>
      <c r="G13" t="s">
        <v>3993</v>
      </c>
    </row>
    <row r="14" spans="1:8">
      <c r="A14" t="s">
        <v>3996</v>
      </c>
      <c r="G14" t="s">
        <v>3993</v>
      </c>
      <c r="H14">
        <v>5443097</v>
      </c>
    </row>
    <row r="15" spans="1:7">
      <c r="A15" t="s">
        <v>3997</v>
      </c>
      <c r="G15" t="s">
        <v>3993</v>
      </c>
    </row>
    <row r="16" spans="1:7">
      <c r="A16" t="s">
        <v>3998</v>
      </c>
      <c r="B16">
        <v>5657097</v>
      </c>
      <c r="G16" t="s">
        <v>3993</v>
      </c>
    </row>
    <row r="17" spans="1:7">
      <c r="A17" t="s">
        <v>3999</v>
      </c>
      <c r="G17" t="s">
        <v>3993</v>
      </c>
    </row>
    <row r="18" spans="1:7">
      <c r="A18" t="s">
        <v>4000</v>
      </c>
      <c r="G18" t="s">
        <v>3993</v>
      </c>
    </row>
    <row r="19" spans="1:7">
      <c r="A19" t="s">
        <v>4001</v>
      </c>
      <c r="G19" t="s">
        <v>3993</v>
      </c>
    </row>
    <row r="20" spans="1:7">
      <c r="A20" t="s">
        <v>4002</v>
      </c>
      <c r="G20" t="s">
        <v>3993</v>
      </c>
    </row>
    <row r="21" spans="1:7">
      <c r="A21" t="s">
        <v>4003</v>
      </c>
      <c r="G21" t="s">
        <v>3993</v>
      </c>
    </row>
    <row r="22" spans="1:7">
      <c r="A22" t="s">
        <v>4004</v>
      </c>
      <c r="G22" t="s">
        <v>3993</v>
      </c>
    </row>
    <row r="23" spans="1:7">
      <c r="A23" t="s">
        <v>4005</v>
      </c>
      <c r="G23" t="s">
        <v>3993</v>
      </c>
    </row>
    <row r="24" spans="1:7">
      <c r="A24" t="s">
        <v>4006</v>
      </c>
      <c r="G24" t="s">
        <v>4007</v>
      </c>
    </row>
    <row r="25" spans="1:8">
      <c r="A25" t="s">
        <v>4008</v>
      </c>
      <c r="G25" t="s">
        <v>4009</v>
      </c>
      <c r="H25">
        <v>5536097</v>
      </c>
    </row>
    <row r="26" spans="1:7">
      <c r="A26" t="s">
        <v>4010</v>
      </c>
      <c r="G26" t="s">
        <v>4009</v>
      </c>
    </row>
    <row r="27" spans="1:7">
      <c r="A27" t="s">
        <v>4011</v>
      </c>
      <c r="G27" t="s">
        <v>4009</v>
      </c>
    </row>
    <row r="28" spans="1:7">
      <c r="A28" t="s">
        <v>4012</v>
      </c>
      <c r="G28" t="s">
        <v>4009</v>
      </c>
    </row>
    <row r="29" spans="1:7">
      <c r="A29" t="s">
        <v>4013</v>
      </c>
      <c r="G29" t="s">
        <v>4009</v>
      </c>
    </row>
    <row r="30" spans="1:7">
      <c r="A30" t="s">
        <v>4014</v>
      </c>
      <c r="G30" t="s">
        <v>4009</v>
      </c>
    </row>
    <row r="31" spans="1:7">
      <c r="A31" t="s">
        <v>4015</v>
      </c>
      <c r="G31" t="s">
        <v>4009</v>
      </c>
    </row>
    <row r="32" spans="1:7">
      <c r="A32" t="s">
        <v>4016</v>
      </c>
      <c r="G32" t="s">
        <v>4009</v>
      </c>
    </row>
    <row r="33" spans="1:7">
      <c r="A33" t="s">
        <v>4017</v>
      </c>
      <c r="G33" t="s">
        <v>4009</v>
      </c>
    </row>
    <row r="34" spans="1:7">
      <c r="A34" t="s">
        <v>4018</v>
      </c>
      <c r="G34" t="s">
        <v>4009</v>
      </c>
    </row>
    <row r="35" spans="1:7">
      <c r="A35" t="s">
        <v>3976</v>
      </c>
      <c r="G35" t="s">
        <v>4009</v>
      </c>
    </row>
    <row r="36" spans="1:7">
      <c r="A36" t="s">
        <v>4019</v>
      </c>
      <c r="G36" t="s">
        <v>4009</v>
      </c>
    </row>
    <row r="37" spans="1:7">
      <c r="A37" t="s">
        <v>4020</v>
      </c>
      <c r="G37" t="s">
        <v>4009</v>
      </c>
    </row>
    <row r="38" spans="1:7">
      <c r="A38" t="s">
        <v>4021</v>
      </c>
      <c r="G38" t="s">
        <v>4009</v>
      </c>
    </row>
    <row r="39" spans="1:7">
      <c r="A39" t="s">
        <v>4022</v>
      </c>
      <c r="G39" t="s">
        <v>4009</v>
      </c>
    </row>
    <row r="40" spans="1:8">
      <c r="A40" t="s">
        <v>4023</v>
      </c>
      <c r="G40" t="s">
        <v>4009</v>
      </c>
      <c r="H40">
        <v>5235097</v>
      </c>
    </row>
    <row r="41" spans="1:7">
      <c r="A41" t="s">
        <v>4024</v>
      </c>
      <c r="G41" t="s">
        <v>4009</v>
      </c>
    </row>
    <row r="42" spans="1:7">
      <c r="A42" t="s">
        <v>4025</v>
      </c>
      <c r="G42" t="s">
        <v>4009</v>
      </c>
    </row>
    <row r="43" spans="1:7">
      <c r="A43" t="s">
        <v>4026</v>
      </c>
      <c r="G43" t="s">
        <v>4009</v>
      </c>
    </row>
    <row r="44" spans="1:7">
      <c r="A44" t="s">
        <v>4027</v>
      </c>
      <c r="G44" t="s">
        <v>4009</v>
      </c>
    </row>
    <row r="45" spans="1:7">
      <c r="A45" t="s">
        <v>4028</v>
      </c>
      <c r="G45" t="s">
        <v>4009</v>
      </c>
    </row>
    <row r="46" spans="1:8">
      <c r="A46" t="s">
        <v>4029</v>
      </c>
      <c r="G46" t="s">
        <v>4009</v>
      </c>
      <c r="H46">
        <v>5133097</v>
      </c>
    </row>
    <row r="47" spans="1:7">
      <c r="A47" t="s">
        <v>4030</v>
      </c>
      <c r="G47" t="s">
        <v>4009</v>
      </c>
    </row>
    <row r="48" spans="1:7">
      <c r="A48" t="s">
        <v>4031</v>
      </c>
      <c r="G48" t="s">
        <v>4009</v>
      </c>
    </row>
    <row r="49" spans="1:7">
      <c r="A49" t="s">
        <v>4032</v>
      </c>
      <c r="G49" t="s">
        <v>4009</v>
      </c>
    </row>
    <row r="50" spans="1:7">
      <c r="A50" t="s">
        <v>4033</v>
      </c>
      <c r="G50" t="s">
        <v>4009</v>
      </c>
    </row>
    <row r="51" spans="1:7">
      <c r="A51" t="s">
        <v>4034</v>
      </c>
      <c r="B51">
        <v>5643097</v>
      </c>
      <c r="G51" t="s">
        <v>4009</v>
      </c>
    </row>
    <row r="52" spans="1:7">
      <c r="A52" t="s">
        <v>4035</v>
      </c>
      <c r="G52" t="s">
        <v>4009</v>
      </c>
    </row>
    <row r="53" spans="1:7">
      <c r="A53" t="s">
        <v>4036</v>
      </c>
      <c r="G53" t="s">
        <v>4037</v>
      </c>
    </row>
    <row r="54" spans="1:7">
      <c r="A54" t="s">
        <v>4038</v>
      </c>
      <c r="G54" t="s">
        <v>4039</v>
      </c>
    </row>
    <row r="55" spans="1:7">
      <c r="A55" t="s">
        <v>4040</v>
      </c>
      <c r="G55" t="s">
        <v>4041</v>
      </c>
    </row>
    <row r="56" spans="1:7">
      <c r="A56" t="s">
        <v>4042</v>
      </c>
      <c r="G56" t="s">
        <v>4043</v>
      </c>
    </row>
    <row r="57" spans="1:8">
      <c r="A57" t="s">
        <v>4044</v>
      </c>
      <c r="G57" t="s">
        <v>4045</v>
      </c>
      <c r="H57">
        <v>5146097</v>
      </c>
    </row>
    <row r="58" spans="1:7">
      <c r="A58" t="s">
        <v>4046</v>
      </c>
      <c r="G58" t="s">
        <v>4045</v>
      </c>
    </row>
    <row r="59" spans="1:7">
      <c r="A59" t="s">
        <v>4047</v>
      </c>
      <c r="G59" t="s">
        <v>4045</v>
      </c>
    </row>
    <row r="60" spans="1:7">
      <c r="A60" t="s">
        <v>4048</v>
      </c>
      <c r="G60" t="s">
        <v>4049</v>
      </c>
    </row>
    <row r="61" spans="1:7">
      <c r="A61" t="s">
        <v>4050</v>
      </c>
      <c r="G61" t="s">
        <v>4051</v>
      </c>
    </row>
    <row r="62" spans="1:7">
      <c r="A62" t="s">
        <v>4052</v>
      </c>
      <c r="G62" t="s">
        <v>4051</v>
      </c>
    </row>
    <row r="63" spans="1:7">
      <c r="A63" t="s">
        <v>4053</v>
      </c>
      <c r="G63" t="s">
        <v>4054</v>
      </c>
    </row>
    <row r="64" spans="1:7">
      <c r="A64" t="s">
        <v>4055</v>
      </c>
      <c r="G64" t="s">
        <v>4056</v>
      </c>
    </row>
    <row r="65" spans="1:7">
      <c r="A65" t="s">
        <v>4057</v>
      </c>
      <c r="G65" t="s">
        <v>4056</v>
      </c>
    </row>
    <row r="66" spans="1:8">
      <c r="A66" t="s">
        <v>4058</v>
      </c>
      <c r="G66" t="s">
        <v>4056</v>
      </c>
      <c r="H66">
        <v>5141097</v>
      </c>
    </row>
    <row r="67" spans="1:7">
      <c r="A67" t="s">
        <v>4059</v>
      </c>
      <c r="G67" t="s">
        <v>4056</v>
      </c>
    </row>
    <row r="68" spans="1:7">
      <c r="A68" t="s">
        <v>4060</v>
      </c>
      <c r="G68" t="s">
        <v>4056</v>
      </c>
    </row>
    <row r="69" spans="1:7">
      <c r="A69" t="s">
        <v>4061</v>
      </c>
      <c r="G69" t="s">
        <v>4056</v>
      </c>
    </row>
    <row r="70" spans="1:7">
      <c r="A70" t="s">
        <v>4062</v>
      </c>
      <c r="G70" t="s">
        <v>4063</v>
      </c>
    </row>
    <row r="71" spans="1:7">
      <c r="A71" t="s">
        <v>4064</v>
      </c>
      <c r="G71" t="s">
        <v>4065</v>
      </c>
    </row>
    <row r="72" spans="1:7">
      <c r="A72" t="s">
        <v>4066</v>
      </c>
      <c r="G72" t="s">
        <v>4067</v>
      </c>
    </row>
    <row r="73" spans="1:7">
      <c r="A73" t="s">
        <v>4068</v>
      </c>
      <c r="G73" t="s">
        <v>4069</v>
      </c>
    </row>
    <row r="74" spans="1:8">
      <c r="A74" t="s">
        <v>4070</v>
      </c>
      <c r="B74">
        <v>5628097</v>
      </c>
      <c r="G74" t="s">
        <v>4071</v>
      </c>
      <c r="H74">
        <v>5130097</v>
      </c>
    </row>
    <row r="75" spans="1:7">
      <c r="A75" t="s">
        <v>4072</v>
      </c>
      <c r="G75" t="s">
        <v>4073</v>
      </c>
    </row>
    <row r="76" spans="1:7">
      <c r="A76" t="s">
        <v>4074</v>
      </c>
      <c r="G76" t="s">
        <v>4073</v>
      </c>
    </row>
    <row r="77" spans="1:7">
      <c r="A77" t="s">
        <v>4075</v>
      </c>
      <c r="G77" t="s">
        <v>4073</v>
      </c>
    </row>
    <row r="78" spans="1:7">
      <c r="A78" t="s">
        <v>4076</v>
      </c>
      <c r="G78" t="s">
        <v>4073</v>
      </c>
    </row>
    <row r="79" spans="1:7">
      <c r="A79" t="s">
        <v>4077</v>
      </c>
      <c r="G79" t="s">
        <v>4073</v>
      </c>
    </row>
    <row r="80" spans="1:7">
      <c r="A80" t="s">
        <v>4022</v>
      </c>
      <c r="G80" t="s">
        <v>4073</v>
      </c>
    </row>
    <row r="81" spans="1:7">
      <c r="A81" t="s">
        <v>4078</v>
      </c>
      <c r="G81" t="s">
        <v>4073</v>
      </c>
    </row>
    <row r="82" spans="1:7">
      <c r="A82" t="s">
        <v>4079</v>
      </c>
      <c r="B82">
        <v>5636097</v>
      </c>
      <c r="G82" t="s">
        <v>4073</v>
      </c>
    </row>
    <row r="83" spans="1:7">
      <c r="A83" t="s">
        <v>4080</v>
      </c>
      <c r="G83" t="s">
        <v>4073</v>
      </c>
    </row>
    <row r="84" spans="1:7">
      <c r="A84" t="s">
        <v>4081</v>
      </c>
      <c r="G84" t="s">
        <v>4073</v>
      </c>
    </row>
    <row r="85" spans="1:7">
      <c r="A85" t="s">
        <v>4082</v>
      </c>
      <c r="G85" t="s">
        <v>4083</v>
      </c>
    </row>
    <row r="86" spans="1:7">
      <c r="A86" t="s">
        <v>4084</v>
      </c>
      <c r="G86" t="s">
        <v>4083</v>
      </c>
    </row>
    <row r="87" spans="1:7">
      <c r="A87" t="s">
        <v>4085</v>
      </c>
      <c r="G87" t="s">
        <v>4083</v>
      </c>
    </row>
    <row r="88" spans="1:7">
      <c r="A88" t="s">
        <v>4062</v>
      </c>
      <c r="G88" t="s">
        <v>4083</v>
      </c>
    </row>
    <row r="89" spans="1:7">
      <c r="A89" t="s">
        <v>4086</v>
      </c>
      <c r="G89" t="s">
        <v>4083</v>
      </c>
    </row>
    <row r="90" spans="1:7">
      <c r="A90" t="s">
        <v>4087</v>
      </c>
      <c r="G90" t="s">
        <v>4083</v>
      </c>
    </row>
    <row r="91" spans="1:7">
      <c r="A91" t="s">
        <v>4088</v>
      </c>
      <c r="G91" t="s">
        <v>4083</v>
      </c>
    </row>
    <row r="92" spans="1:7">
      <c r="A92" t="s">
        <v>4089</v>
      </c>
      <c r="G92" t="s">
        <v>4083</v>
      </c>
    </row>
    <row r="93" spans="1:7">
      <c r="A93" t="s">
        <v>4090</v>
      </c>
      <c r="G93" t="s">
        <v>4083</v>
      </c>
    </row>
    <row r="94" spans="1:7">
      <c r="A94" t="s">
        <v>4091</v>
      </c>
      <c r="G94" t="s">
        <v>4083</v>
      </c>
    </row>
    <row r="95" spans="1:7">
      <c r="A95" t="s">
        <v>4092</v>
      </c>
      <c r="G95" t="s">
        <v>4083</v>
      </c>
    </row>
    <row r="96" spans="1:7">
      <c r="A96" t="s">
        <v>4093</v>
      </c>
      <c r="G96" t="s">
        <v>4083</v>
      </c>
    </row>
    <row r="97" spans="1:8">
      <c r="A97" t="s">
        <v>4094</v>
      </c>
      <c r="G97" t="s">
        <v>4083</v>
      </c>
      <c r="H97">
        <v>4773097</v>
      </c>
    </row>
    <row r="98" spans="1:7">
      <c r="A98" t="s">
        <v>4095</v>
      </c>
      <c r="G98" t="s">
        <v>4083</v>
      </c>
    </row>
    <row r="99" spans="1:7">
      <c r="A99" t="s">
        <v>4096</v>
      </c>
      <c r="G99" t="s">
        <v>4083</v>
      </c>
    </row>
    <row r="100" spans="1:7">
      <c r="A100" t="s">
        <v>4097</v>
      </c>
      <c r="G100" t="s">
        <v>4083</v>
      </c>
    </row>
    <row r="101" spans="1:7">
      <c r="A101" t="s">
        <v>4098</v>
      </c>
      <c r="B101">
        <v>5634097</v>
      </c>
      <c r="G101" t="s">
        <v>4099</v>
      </c>
    </row>
    <row r="102" spans="1:7">
      <c r="A102" t="s">
        <v>4100</v>
      </c>
      <c r="G102" t="s">
        <v>4101</v>
      </c>
    </row>
    <row r="103" spans="1:7">
      <c r="A103" t="s">
        <v>4085</v>
      </c>
      <c r="G103" t="s">
        <v>4102</v>
      </c>
    </row>
    <row r="104" spans="1:7">
      <c r="A104" t="s">
        <v>4103</v>
      </c>
      <c r="G104" t="s">
        <v>4102</v>
      </c>
    </row>
    <row r="105" spans="1:7">
      <c r="A105" t="s">
        <v>4104</v>
      </c>
      <c r="G105" t="s">
        <v>4102</v>
      </c>
    </row>
    <row r="106" spans="1:7">
      <c r="A106" t="s">
        <v>4094</v>
      </c>
      <c r="G106" t="s">
        <v>4102</v>
      </c>
    </row>
    <row r="107" spans="1:7">
      <c r="A107" t="s">
        <v>4105</v>
      </c>
      <c r="G107" t="s">
        <v>4102</v>
      </c>
    </row>
    <row r="108" spans="1:7">
      <c r="A108" t="s">
        <v>4106</v>
      </c>
      <c r="G108" t="s">
        <v>4102</v>
      </c>
    </row>
    <row r="109" spans="1:7">
      <c r="A109" t="s">
        <v>4107</v>
      </c>
      <c r="G109" t="s">
        <v>4102</v>
      </c>
    </row>
    <row r="110" spans="1:7">
      <c r="A110" t="s">
        <v>4108</v>
      </c>
      <c r="G110" t="s">
        <v>4102</v>
      </c>
    </row>
    <row r="111" spans="1:7">
      <c r="A111" t="s">
        <v>4109</v>
      </c>
      <c r="B111">
        <v>5623097</v>
      </c>
      <c r="G111" t="s">
        <v>4110</v>
      </c>
    </row>
    <row r="112" spans="1:7">
      <c r="A112" t="s">
        <v>4111</v>
      </c>
      <c r="G112" t="s">
        <v>4110</v>
      </c>
    </row>
    <row r="113" spans="1:7">
      <c r="A113" t="s">
        <v>4112</v>
      </c>
      <c r="G113" t="s">
        <v>4110</v>
      </c>
    </row>
    <row r="114" spans="1:7">
      <c r="A114" t="s">
        <v>4080</v>
      </c>
      <c r="G114" t="s">
        <v>4110</v>
      </c>
    </row>
    <row r="115" spans="1:7">
      <c r="A115" t="s">
        <v>4113</v>
      </c>
      <c r="G115" t="s">
        <v>4110</v>
      </c>
    </row>
    <row r="116" spans="1:7">
      <c r="A116" t="s">
        <v>4114</v>
      </c>
      <c r="G116" t="s">
        <v>4110</v>
      </c>
    </row>
    <row r="117" spans="1:7">
      <c r="A117" t="s">
        <v>4073</v>
      </c>
      <c r="G117" t="s">
        <v>4110</v>
      </c>
    </row>
    <row r="118" spans="1:7">
      <c r="A118" t="s">
        <v>4087</v>
      </c>
      <c r="G118" t="s">
        <v>4110</v>
      </c>
    </row>
    <row r="119" spans="1:7">
      <c r="A119" t="s">
        <v>4093</v>
      </c>
      <c r="G119" t="s">
        <v>4110</v>
      </c>
    </row>
    <row r="120" spans="1:7">
      <c r="A120" t="s">
        <v>4115</v>
      </c>
      <c r="G120" t="s">
        <v>4110</v>
      </c>
    </row>
    <row r="121" spans="1:7">
      <c r="A121" t="s">
        <v>4116</v>
      </c>
      <c r="G121" t="s">
        <v>4110</v>
      </c>
    </row>
    <row r="122" spans="1:7">
      <c r="A122" t="s">
        <v>4117</v>
      </c>
      <c r="G122" t="s">
        <v>4110</v>
      </c>
    </row>
    <row r="123" spans="1:7">
      <c r="A123" t="s">
        <v>4061</v>
      </c>
      <c r="G123" t="s">
        <v>4110</v>
      </c>
    </row>
    <row r="124" spans="1:7">
      <c r="A124" t="s">
        <v>4097</v>
      </c>
      <c r="G124" t="s">
        <v>4110</v>
      </c>
    </row>
    <row r="125" spans="1:7">
      <c r="A125" t="s">
        <v>4095</v>
      </c>
      <c r="G125" t="s">
        <v>4110</v>
      </c>
    </row>
    <row r="126" spans="1:7">
      <c r="A126" t="s">
        <v>4118</v>
      </c>
      <c r="G126" t="s">
        <v>4110</v>
      </c>
    </row>
    <row r="127" spans="1:7">
      <c r="A127" t="s">
        <v>4119</v>
      </c>
      <c r="G127" t="s">
        <v>4110</v>
      </c>
    </row>
    <row r="128" spans="1:7">
      <c r="A128" t="s">
        <v>4075</v>
      </c>
      <c r="G128" t="s">
        <v>4120</v>
      </c>
    </row>
    <row r="129" spans="1:7">
      <c r="A129" t="s">
        <v>4121</v>
      </c>
      <c r="G129" t="s">
        <v>4120</v>
      </c>
    </row>
    <row r="130" spans="1:7">
      <c r="A130" t="s">
        <v>4122</v>
      </c>
      <c r="G130" t="s">
        <v>4064</v>
      </c>
    </row>
    <row r="131" spans="1:7">
      <c r="A131" t="s">
        <v>4123</v>
      </c>
      <c r="B131">
        <v>5631097</v>
      </c>
      <c r="G131" t="s">
        <v>4064</v>
      </c>
    </row>
    <row r="132" spans="1:7">
      <c r="A132" t="s">
        <v>4062</v>
      </c>
      <c r="G132" t="s">
        <v>4064</v>
      </c>
    </row>
    <row r="133" spans="1:8">
      <c r="A133" t="s">
        <v>4124</v>
      </c>
      <c r="G133" t="s">
        <v>4064</v>
      </c>
      <c r="H133">
        <v>5471097</v>
      </c>
    </row>
    <row r="134" spans="1:7">
      <c r="A134" t="s">
        <v>4125</v>
      </c>
      <c r="G134" t="s">
        <v>4064</v>
      </c>
    </row>
    <row r="135" spans="1:8">
      <c r="A135" t="s">
        <v>4107</v>
      </c>
      <c r="G135" t="s">
        <v>4064</v>
      </c>
      <c r="H135">
        <v>5446097</v>
      </c>
    </row>
    <row r="136" spans="1:7">
      <c r="A136" t="s">
        <v>4087</v>
      </c>
      <c r="G136" t="s">
        <v>4064</v>
      </c>
    </row>
    <row r="137" spans="1:7">
      <c r="A137" t="s">
        <v>4126</v>
      </c>
      <c r="G137" t="s">
        <v>4127</v>
      </c>
    </row>
    <row r="138" spans="1:7">
      <c r="A138" t="s">
        <v>4128</v>
      </c>
      <c r="G138" t="s">
        <v>4127</v>
      </c>
    </row>
    <row r="139" spans="1:8">
      <c r="A139" t="s">
        <v>4129</v>
      </c>
      <c r="G139" t="s">
        <v>4130</v>
      </c>
      <c r="H139">
        <v>5540097</v>
      </c>
    </row>
    <row r="140" spans="1:8">
      <c r="A140" t="s">
        <v>4085</v>
      </c>
      <c r="G140" t="s">
        <v>4130</v>
      </c>
      <c r="H140">
        <v>5218097</v>
      </c>
    </row>
    <row r="141" spans="1:8">
      <c r="A141" t="s">
        <v>4131</v>
      </c>
      <c r="G141" t="s">
        <v>4130</v>
      </c>
      <c r="H141">
        <v>5217097</v>
      </c>
    </row>
    <row r="142" spans="1:7">
      <c r="A142" t="s">
        <v>4113</v>
      </c>
      <c r="B142">
        <v>5619097</v>
      </c>
      <c r="G142" t="s">
        <v>4130</v>
      </c>
    </row>
    <row r="143" spans="1:7">
      <c r="A143" t="s">
        <v>4097</v>
      </c>
      <c r="G143" t="s">
        <v>4130</v>
      </c>
    </row>
    <row r="144" spans="1:7">
      <c r="A144" t="s">
        <v>4088</v>
      </c>
      <c r="G144" t="s">
        <v>4130</v>
      </c>
    </row>
    <row r="145" spans="1:7">
      <c r="A145" t="s">
        <v>4132</v>
      </c>
      <c r="G145" t="s">
        <v>4130</v>
      </c>
    </row>
    <row r="146" spans="1:7">
      <c r="A146" t="s">
        <v>4133</v>
      </c>
      <c r="G146" t="s">
        <v>4130</v>
      </c>
    </row>
    <row r="147" spans="1:7">
      <c r="A147" t="s">
        <v>4134</v>
      </c>
      <c r="G147" t="s">
        <v>4130</v>
      </c>
    </row>
    <row r="148" spans="1:7">
      <c r="A148" t="s">
        <v>4135</v>
      </c>
      <c r="G148" t="s">
        <v>4130</v>
      </c>
    </row>
    <row r="149" spans="1:7">
      <c r="A149" t="s">
        <v>4112</v>
      </c>
      <c r="G149" t="s">
        <v>4130</v>
      </c>
    </row>
    <row r="150" spans="1:7">
      <c r="A150" t="s">
        <v>4136</v>
      </c>
      <c r="G150" t="s">
        <v>4130</v>
      </c>
    </row>
    <row r="151" spans="1:7">
      <c r="A151" t="s">
        <v>4094</v>
      </c>
      <c r="G151" t="s">
        <v>4130</v>
      </c>
    </row>
    <row r="152" spans="1:8">
      <c r="A152" t="s">
        <v>4115</v>
      </c>
      <c r="G152" t="s">
        <v>4130</v>
      </c>
      <c r="H152">
        <v>5032097</v>
      </c>
    </row>
    <row r="153" spans="1:8">
      <c r="A153" t="s">
        <v>4104</v>
      </c>
      <c r="G153" t="s">
        <v>4130</v>
      </c>
      <c r="H153">
        <v>4977097</v>
      </c>
    </row>
    <row r="154" spans="1:7">
      <c r="A154" t="s">
        <v>4137</v>
      </c>
      <c r="G154" t="s">
        <v>4130</v>
      </c>
    </row>
    <row r="155" spans="1:8">
      <c r="A155" t="s">
        <v>4138</v>
      </c>
      <c r="G155" t="s">
        <v>4130</v>
      </c>
      <c r="H155">
        <v>4956097</v>
      </c>
    </row>
    <row r="156" spans="1:8">
      <c r="A156" t="s">
        <v>4139</v>
      </c>
      <c r="G156" t="s">
        <v>4130</v>
      </c>
      <c r="H156">
        <v>4955097</v>
      </c>
    </row>
    <row r="157" spans="1:8">
      <c r="A157" t="s">
        <v>4140</v>
      </c>
      <c r="G157" t="s">
        <v>4130</v>
      </c>
      <c r="H157">
        <v>4954097</v>
      </c>
    </row>
    <row r="158" spans="1:7">
      <c r="A158" t="s">
        <v>4141</v>
      </c>
      <c r="G158" t="s">
        <v>4130</v>
      </c>
    </row>
    <row r="159" spans="1:7">
      <c r="A159" t="s">
        <v>4084</v>
      </c>
      <c r="G159" t="s">
        <v>4130</v>
      </c>
    </row>
    <row r="160" spans="1:7">
      <c r="A160" t="s">
        <v>4109</v>
      </c>
      <c r="G160" t="s">
        <v>4130</v>
      </c>
    </row>
    <row r="161" spans="1:7">
      <c r="A161" t="s">
        <v>4142</v>
      </c>
      <c r="G161" t="s">
        <v>4130</v>
      </c>
    </row>
    <row r="162" spans="1:7">
      <c r="A162" t="s">
        <v>4143</v>
      </c>
      <c r="G162" t="s">
        <v>4144</v>
      </c>
    </row>
    <row r="163" spans="1:7">
      <c r="A163" t="s">
        <v>4145</v>
      </c>
      <c r="G163" t="s">
        <v>4144</v>
      </c>
    </row>
    <row r="164" spans="1:7">
      <c r="A164" t="s">
        <v>4146</v>
      </c>
      <c r="G164" t="s">
        <v>4147</v>
      </c>
    </row>
    <row r="165" spans="1:7">
      <c r="A165" t="s">
        <v>4148</v>
      </c>
      <c r="G165" t="s">
        <v>4147</v>
      </c>
    </row>
    <row r="166" spans="1:7">
      <c r="A166" t="s">
        <v>4082</v>
      </c>
      <c r="G166" t="s">
        <v>4147</v>
      </c>
    </row>
    <row r="167" spans="1:7">
      <c r="A167" t="s">
        <v>4091</v>
      </c>
      <c r="B167">
        <v>5609097</v>
      </c>
      <c r="G167" t="s">
        <v>4147</v>
      </c>
    </row>
    <row r="168" spans="1:7">
      <c r="A168" t="s">
        <v>4149</v>
      </c>
      <c r="G168" t="s">
        <v>4147</v>
      </c>
    </row>
    <row r="169" spans="1:7">
      <c r="A169" t="s">
        <v>4150</v>
      </c>
      <c r="G169" t="s">
        <v>4147</v>
      </c>
    </row>
    <row r="170" spans="1:7">
      <c r="A170" t="s">
        <v>4151</v>
      </c>
      <c r="G170" t="s">
        <v>4147</v>
      </c>
    </row>
    <row r="171" spans="1:7">
      <c r="A171" t="s">
        <v>4152</v>
      </c>
      <c r="G171" t="s">
        <v>4147</v>
      </c>
    </row>
    <row r="172" spans="1:7">
      <c r="A172" t="s">
        <v>4153</v>
      </c>
      <c r="G172" t="s">
        <v>4147</v>
      </c>
    </row>
    <row r="173" spans="1:7">
      <c r="A173" t="s">
        <v>4154</v>
      </c>
      <c r="G173" t="s">
        <v>4147</v>
      </c>
    </row>
    <row r="174" spans="1:7">
      <c r="A174" t="s">
        <v>4155</v>
      </c>
      <c r="G174" t="s">
        <v>4147</v>
      </c>
    </row>
    <row r="175" spans="1:7">
      <c r="A175" t="s">
        <v>4156</v>
      </c>
      <c r="B175">
        <v>5606097</v>
      </c>
      <c r="G175" t="s">
        <v>4147</v>
      </c>
    </row>
    <row r="176" spans="1:7">
      <c r="A176" t="s">
        <v>4157</v>
      </c>
      <c r="G176" t="s">
        <v>4147</v>
      </c>
    </row>
    <row r="177" spans="1:7">
      <c r="A177" t="s">
        <v>4158</v>
      </c>
      <c r="G177" t="s">
        <v>4147</v>
      </c>
    </row>
    <row r="178" spans="1:7">
      <c r="A178" t="s">
        <v>4159</v>
      </c>
      <c r="G178" t="s">
        <v>4147</v>
      </c>
    </row>
    <row r="179" spans="1:7">
      <c r="A179" t="s">
        <v>4117</v>
      </c>
      <c r="G179" t="s">
        <v>4147</v>
      </c>
    </row>
    <row r="180" spans="1:7">
      <c r="A180" t="s">
        <v>4160</v>
      </c>
      <c r="G180" t="s">
        <v>4147</v>
      </c>
    </row>
    <row r="181" spans="1:7">
      <c r="A181" t="s">
        <v>4098</v>
      </c>
      <c r="G181" t="s">
        <v>4147</v>
      </c>
    </row>
    <row r="182" spans="1:7">
      <c r="A182" t="s">
        <v>4161</v>
      </c>
      <c r="G182" t="s">
        <v>4147</v>
      </c>
    </row>
    <row r="183" spans="1:7">
      <c r="A183" t="s">
        <v>4162</v>
      </c>
      <c r="G183" t="s">
        <v>4147</v>
      </c>
    </row>
    <row r="184" spans="1:7">
      <c r="A184" t="s">
        <v>4163</v>
      </c>
      <c r="G184" t="s">
        <v>4147</v>
      </c>
    </row>
    <row r="185" spans="1:7">
      <c r="A185" t="s">
        <v>4164</v>
      </c>
      <c r="G185" t="s">
        <v>4147</v>
      </c>
    </row>
    <row r="186" spans="1:7">
      <c r="A186" t="s">
        <v>4165</v>
      </c>
      <c r="G186" t="s">
        <v>4147</v>
      </c>
    </row>
    <row r="187" spans="1:7">
      <c r="A187" t="s">
        <v>4095</v>
      </c>
      <c r="G187" t="s">
        <v>4147</v>
      </c>
    </row>
    <row r="188" spans="1:7">
      <c r="A188" t="s">
        <v>4166</v>
      </c>
      <c r="G188" t="s">
        <v>4147</v>
      </c>
    </row>
    <row r="189" spans="1:7">
      <c r="A189" t="s">
        <v>4167</v>
      </c>
      <c r="G189" t="s">
        <v>4147</v>
      </c>
    </row>
    <row r="190" spans="1:7">
      <c r="A190" t="s">
        <v>4168</v>
      </c>
      <c r="G190" t="s">
        <v>4147</v>
      </c>
    </row>
    <row r="191" spans="1:7">
      <c r="A191" t="s">
        <v>4169</v>
      </c>
      <c r="G191" t="s">
        <v>4147</v>
      </c>
    </row>
    <row r="192" spans="1:7">
      <c r="A192" t="s">
        <v>4170</v>
      </c>
      <c r="G192" t="s">
        <v>4147</v>
      </c>
    </row>
    <row r="193" spans="1:7">
      <c r="A193" t="s">
        <v>4086</v>
      </c>
      <c r="G193" t="s">
        <v>4147</v>
      </c>
    </row>
    <row r="194" spans="1:7">
      <c r="A194" t="s">
        <v>4171</v>
      </c>
      <c r="G194" t="s">
        <v>4147</v>
      </c>
    </row>
    <row r="195" spans="1:7">
      <c r="A195" t="s">
        <v>4172</v>
      </c>
      <c r="G195" t="s">
        <v>4147</v>
      </c>
    </row>
    <row r="196" spans="1:7">
      <c r="A196" t="s">
        <v>4075</v>
      </c>
      <c r="G196" t="s">
        <v>4147</v>
      </c>
    </row>
    <row r="197" spans="1:7">
      <c r="A197" t="s">
        <v>4173</v>
      </c>
      <c r="G197" t="s">
        <v>4147</v>
      </c>
    </row>
    <row r="198" spans="1:7">
      <c r="A198" t="s">
        <v>4174</v>
      </c>
      <c r="G198" t="s">
        <v>4147</v>
      </c>
    </row>
    <row r="199" spans="1:7">
      <c r="A199" t="s">
        <v>4052</v>
      </c>
      <c r="G199" t="s">
        <v>4147</v>
      </c>
    </row>
    <row r="200" spans="1:7">
      <c r="A200" t="s">
        <v>4089</v>
      </c>
      <c r="G200" t="s">
        <v>4147</v>
      </c>
    </row>
    <row r="201" spans="1:7">
      <c r="A201" t="s">
        <v>4079</v>
      </c>
      <c r="G201" t="s">
        <v>4147</v>
      </c>
    </row>
    <row r="202" spans="1:7">
      <c r="A202" t="s">
        <v>4175</v>
      </c>
      <c r="B202">
        <v>5603097</v>
      </c>
      <c r="G202" t="s">
        <v>4147</v>
      </c>
    </row>
    <row r="203" spans="1:8">
      <c r="A203" t="s">
        <v>4176</v>
      </c>
      <c r="G203" t="s">
        <v>4147</v>
      </c>
      <c r="H203">
        <v>5060097</v>
      </c>
    </row>
    <row r="204" spans="1:8">
      <c r="A204" t="s">
        <v>4169</v>
      </c>
      <c r="B204">
        <v>5628097</v>
      </c>
      <c r="G204" t="s">
        <v>4147</v>
      </c>
      <c r="H204">
        <v>5042097</v>
      </c>
    </row>
    <row r="205" spans="1:7">
      <c r="A205" t="s">
        <v>4142</v>
      </c>
      <c r="G205" t="s">
        <v>4147</v>
      </c>
    </row>
    <row r="206" spans="1:7">
      <c r="A206" t="s">
        <v>4177</v>
      </c>
      <c r="G206" t="s">
        <v>4147</v>
      </c>
    </row>
    <row r="207" spans="1:7">
      <c r="A207" t="s">
        <v>4141</v>
      </c>
      <c r="G207" t="s">
        <v>4147</v>
      </c>
    </row>
    <row r="208" spans="1:7">
      <c r="A208" t="s">
        <v>4178</v>
      </c>
      <c r="G208" t="s">
        <v>4147</v>
      </c>
    </row>
    <row r="209" spans="1:7">
      <c r="A209" t="s">
        <v>4179</v>
      </c>
      <c r="B209">
        <v>5588097</v>
      </c>
      <c r="G209" t="s">
        <v>4147</v>
      </c>
    </row>
    <row r="210" spans="1:7">
      <c r="A210" t="s">
        <v>4123</v>
      </c>
      <c r="G210" t="s">
        <v>4147</v>
      </c>
    </row>
    <row r="211" spans="1:7">
      <c r="A211" t="s">
        <v>4079</v>
      </c>
      <c r="G211" t="s">
        <v>4147</v>
      </c>
    </row>
    <row r="212" spans="1:8">
      <c r="A212" t="s">
        <v>4113</v>
      </c>
      <c r="G212" t="s">
        <v>4147</v>
      </c>
      <c r="H212">
        <v>4958097</v>
      </c>
    </row>
    <row r="213" spans="1:7">
      <c r="A213" t="s">
        <v>4082</v>
      </c>
      <c r="G213" t="s">
        <v>4147</v>
      </c>
    </row>
    <row r="214" spans="1:8">
      <c r="A214" t="s">
        <v>4180</v>
      </c>
      <c r="G214" t="s">
        <v>4147</v>
      </c>
      <c r="H214">
        <v>4952097</v>
      </c>
    </row>
    <row r="215" spans="1:7">
      <c r="A215" t="s">
        <v>4091</v>
      </c>
      <c r="G215" t="s">
        <v>4147</v>
      </c>
    </row>
    <row r="216" spans="1:7">
      <c r="A216" t="s">
        <v>4140</v>
      </c>
      <c r="G216" t="s">
        <v>4147</v>
      </c>
    </row>
    <row r="217" spans="1:7">
      <c r="A217" t="s">
        <v>4181</v>
      </c>
      <c r="G217" t="s">
        <v>4147</v>
      </c>
    </row>
    <row r="218" spans="1:7">
      <c r="A218" t="s">
        <v>4182</v>
      </c>
      <c r="G218" t="s">
        <v>4147</v>
      </c>
    </row>
    <row r="219" spans="1:7">
      <c r="A219" t="s">
        <v>4150</v>
      </c>
      <c r="G219" t="s">
        <v>4147</v>
      </c>
    </row>
    <row r="220" spans="1:7">
      <c r="A220" t="s">
        <v>4154</v>
      </c>
      <c r="G220" t="s">
        <v>4147</v>
      </c>
    </row>
    <row r="221" spans="1:7">
      <c r="A221" t="s">
        <v>4152</v>
      </c>
      <c r="G221" t="s">
        <v>4147</v>
      </c>
    </row>
    <row r="222" spans="1:7">
      <c r="A222" t="s">
        <v>4155</v>
      </c>
      <c r="G222" t="s">
        <v>4147</v>
      </c>
    </row>
    <row r="223" spans="1:7">
      <c r="A223" t="s">
        <v>4107</v>
      </c>
      <c r="G223" t="s">
        <v>4147</v>
      </c>
    </row>
    <row r="224" spans="1:7">
      <c r="A224" t="s">
        <v>4117</v>
      </c>
      <c r="G224" t="s">
        <v>4147</v>
      </c>
    </row>
    <row r="225" spans="1:7">
      <c r="A225" t="s">
        <v>4160</v>
      </c>
      <c r="G225" t="s">
        <v>4147</v>
      </c>
    </row>
    <row r="226" spans="1:7">
      <c r="A226" t="s">
        <v>4132</v>
      </c>
      <c r="G226" t="s">
        <v>4147</v>
      </c>
    </row>
    <row r="227" spans="1:7">
      <c r="A227" t="s">
        <v>4098</v>
      </c>
      <c r="G227" t="s">
        <v>4147</v>
      </c>
    </row>
    <row r="228" spans="1:7">
      <c r="A228" t="s">
        <v>4161</v>
      </c>
      <c r="B228">
        <v>5585097</v>
      </c>
      <c r="G228" t="s">
        <v>4183</v>
      </c>
    </row>
    <row r="229" spans="1:7">
      <c r="A229" t="s">
        <v>4162</v>
      </c>
      <c r="G229" t="s">
        <v>4183</v>
      </c>
    </row>
    <row r="230" spans="1:7">
      <c r="A230" t="s">
        <v>4095</v>
      </c>
      <c r="G230" t="s">
        <v>4184</v>
      </c>
    </row>
    <row r="231" spans="1:7">
      <c r="A231" t="s">
        <v>4185</v>
      </c>
      <c r="G231" t="s">
        <v>4184</v>
      </c>
    </row>
    <row r="232" spans="1:7">
      <c r="A232" t="s">
        <v>4166</v>
      </c>
      <c r="G232" t="s">
        <v>4184</v>
      </c>
    </row>
    <row r="233" spans="1:7">
      <c r="A233" t="s">
        <v>4085</v>
      </c>
      <c r="G233" t="s">
        <v>4184</v>
      </c>
    </row>
    <row r="234" spans="1:7">
      <c r="A234" t="s">
        <v>4186</v>
      </c>
      <c r="G234" t="s">
        <v>4184</v>
      </c>
    </row>
    <row r="235" spans="1:7">
      <c r="A235" t="s">
        <v>4089</v>
      </c>
      <c r="G235" t="s">
        <v>4187</v>
      </c>
    </row>
    <row r="236" spans="1:7">
      <c r="A236" t="s">
        <v>4188</v>
      </c>
      <c r="G236" t="s">
        <v>4187</v>
      </c>
    </row>
    <row r="237" spans="1:7">
      <c r="A237" t="s">
        <v>4189</v>
      </c>
      <c r="G237" t="s">
        <v>4187</v>
      </c>
    </row>
    <row r="238" spans="1:7">
      <c r="A238" t="s">
        <v>4171</v>
      </c>
      <c r="G238" t="s">
        <v>4187</v>
      </c>
    </row>
    <row r="239" spans="1:7">
      <c r="A239" t="s">
        <v>4190</v>
      </c>
      <c r="G239" t="s">
        <v>4187</v>
      </c>
    </row>
    <row r="240" spans="1:7">
      <c r="A240" t="s">
        <v>4115</v>
      </c>
      <c r="G240" t="s">
        <v>4187</v>
      </c>
    </row>
    <row r="241" spans="1:7">
      <c r="A241" t="s">
        <v>4191</v>
      </c>
      <c r="B241">
        <v>5623097</v>
      </c>
      <c r="G241" t="s">
        <v>4187</v>
      </c>
    </row>
    <row r="242" spans="1:7">
      <c r="A242" t="s">
        <v>4192</v>
      </c>
      <c r="G242" t="s">
        <v>4187</v>
      </c>
    </row>
    <row r="243" spans="1:7">
      <c r="A243" t="s">
        <v>4058</v>
      </c>
      <c r="G243" t="s">
        <v>4187</v>
      </c>
    </row>
    <row r="244" spans="1:7">
      <c r="A244" t="s">
        <v>4193</v>
      </c>
      <c r="G244" t="s">
        <v>4187</v>
      </c>
    </row>
    <row r="245" spans="1:7">
      <c r="A245" t="s">
        <v>4194</v>
      </c>
      <c r="G245" t="s">
        <v>4187</v>
      </c>
    </row>
    <row r="246" spans="1:7">
      <c r="A246" t="s">
        <v>4195</v>
      </c>
      <c r="G246" t="s">
        <v>4187</v>
      </c>
    </row>
    <row r="247" spans="1:7">
      <c r="A247" t="s">
        <v>4196</v>
      </c>
      <c r="B247">
        <v>5584097</v>
      </c>
      <c r="G247" t="s">
        <v>4187</v>
      </c>
    </row>
    <row r="248" spans="1:7">
      <c r="A248" t="s">
        <v>4070</v>
      </c>
      <c r="G248" t="s">
        <v>4187</v>
      </c>
    </row>
    <row r="249" spans="1:7">
      <c r="A249" t="s">
        <v>4035</v>
      </c>
      <c r="G249" t="s">
        <v>4187</v>
      </c>
    </row>
    <row r="250" spans="1:7">
      <c r="A250" t="s">
        <v>4047</v>
      </c>
      <c r="G250" t="s">
        <v>4197</v>
      </c>
    </row>
    <row r="251" spans="1:8">
      <c r="A251" t="s">
        <v>4078</v>
      </c>
      <c r="G251" t="s">
        <v>4197</v>
      </c>
      <c r="H251">
        <v>5509097</v>
      </c>
    </row>
    <row r="252" spans="1:7">
      <c r="A252" t="s">
        <v>4198</v>
      </c>
      <c r="G252" t="s">
        <v>4197</v>
      </c>
    </row>
    <row r="253" spans="1:7">
      <c r="A253" t="s">
        <v>4199</v>
      </c>
      <c r="G253" t="s">
        <v>4197</v>
      </c>
    </row>
    <row r="254" spans="1:7">
      <c r="A254" t="s">
        <v>4034</v>
      </c>
      <c r="G254" t="s">
        <v>4197</v>
      </c>
    </row>
    <row r="255" spans="1:7">
      <c r="A255" t="s">
        <v>4004</v>
      </c>
      <c r="G255" t="s">
        <v>4197</v>
      </c>
    </row>
    <row r="256" spans="1:7">
      <c r="A256" t="s">
        <v>4200</v>
      </c>
      <c r="G256" t="s">
        <v>4197</v>
      </c>
    </row>
    <row r="257" spans="1:8">
      <c r="A257" t="s">
        <v>4201</v>
      </c>
      <c r="G257" t="s">
        <v>4197</v>
      </c>
      <c r="H257">
        <v>5507097</v>
      </c>
    </row>
    <row r="258" spans="1:8">
      <c r="A258" t="s">
        <v>4202</v>
      </c>
      <c r="G258" t="s">
        <v>4197</v>
      </c>
      <c r="H258">
        <v>5459097</v>
      </c>
    </row>
    <row r="259" spans="1:7">
      <c r="A259" t="s">
        <v>4084</v>
      </c>
      <c r="G259" t="s">
        <v>4203</v>
      </c>
    </row>
    <row r="260" spans="1:7">
      <c r="A260" t="s">
        <v>4204</v>
      </c>
      <c r="G260" t="s">
        <v>4203</v>
      </c>
    </row>
    <row r="261" spans="1:7">
      <c r="A261" t="s">
        <v>4205</v>
      </c>
      <c r="G261" t="s">
        <v>4136</v>
      </c>
    </row>
    <row r="262" spans="1:7">
      <c r="A262" t="s">
        <v>4206</v>
      </c>
      <c r="G262" t="s">
        <v>4136</v>
      </c>
    </row>
    <row r="263" spans="1:7">
      <c r="A263" t="s">
        <v>4057</v>
      </c>
      <c r="G263" t="s">
        <v>4136</v>
      </c>
    </row>
    <row r="264" spans="1:7">
      <c r="A264" t="s">
        <v>4207</v>
      </c>
      <c r="G264" t="s">
        <v>4136</v>
      </c>
    </row>
    <row r="265" spans="1:7">
      <c r="A265" t="s">
        <v>4082</v>
      </c>
      <c r="G265" t="s">
        <v>4136</v>
      </c>
    </row>
    <row r="266" spans="1:7">
      <c r="A266" t="s">
        <v>4091</v>
      </c>
      <c r="G266" t="s">
        <v>4136</v>
      </c>
    </row>
    <row r="267" spans="1:7">
      <c r="A267" t="s">
        <v>4064</v>
      </c>
      <c r="G267" t="s">
        <v>4136</v>
      </c>
    </row>
    <row r="268" spans="1:7">
      <c r="A268" t="s">
        <v>4050</v>
      </c>
      <c r="G268" t="s">
        <v>4136</v>
      </c>
    </row>
    <row r="269" spans="1:7">
      <c r="A269" t="s">
        <v>4208</v>
      </c>
      <c r="G269" t="s">
        <v>4136</v>
      </c>
    </row>
    <row r="270" spans="1:7">
      <c r="A270" t="s">
        <v>4209</v>
      </c>
      <c r="G270" t="s">
        <v>4136</v>
      </c>
    </row>
    <row r="271" spans="1:7">
      <c r="A271" t="s">
        <v>4019</v>
      </c>
      <c r="G271" t="s">
        <v>4136</v>
      </c>
    </row>
    <row r="272" spans="1:7">
      <c r="A272" t="s">
        <v>4210</v>
      </c>
      <c r="B272">
        <v>5619097</v>
      </c>
      <c r="G272" t="s">
        <v>4136</v>
      </c>
    </row>
    <row r="273" spans="1:7">
      <c r="A273" t="s">
        <v>4211</v>
      </c>
      <c r="G273" t="s">
        <v>4136</v>
      </c>
    </row>
    <row r="274" spans="1:7">
      <c r="A274" t="s">
        <v>4198</v>
      </c>
      <c r="B274">
        <v>5567097</v>
      </c>
      <c r="G274" t="s">
        <v>4136</v>
      </c>
    </row>
    <row r="275" spans="1:7">
      <c r="A275" t="s">
        <v>4194</v>
      </c>
      <c r="G275" t="s">
        <v>4136</v>
      </c>
    </row>
    <row r="276" spans="1:7">
      <c r="A276" t="s">
        <v>4195</v>
      </c>
      <c r="G276" t="s">
        <v>4136</v>
      </c>
    </row>
    <row r="277" spans="1:7">
      <c r="A277" t="s">
        <v>4212</v>
      </c>
      <c r="G277" t="s">
        <v>4136</v>
      </c>
    </row>
    <row r="278" spans="1:7">
      <c r="A278" t="s">
        <v>4034</v>
      </c>
      <c r="G278" t="s">
        <v>4136</v>
      </c>
    </row>
    <row r="279" spans="1:7">
      <c r="A279" t="s">
        <v>4213</v>
      </c>
      <c r="G279" t="s">
        <v>4136</v>
      </c>
    </row>
    <row r="280" spans="1:7">
      <c r="A280" t="s">
        <v>4214</v>
      </c>
      <c r="G280" t="s">
        <v>4136</v>
      </c>
    </row>
    <row r="281" spans="1:7">
      <c r="A281" t="s">
        <v>4215</v>
      </c>
      <c r="G281" t="s">
        <v>4136</v>
      </c>
    </row>
    <row r="282" spans="1:7">
      <c r="A282" t="s">
        <v>4216</v>
      </c>
      <c r="G282" t="s">
        <v>4136</v>
      </c>
    </row>
    <row r="283" spans="1:7">
      <c r="A283" t="s">
        <v>4217</v>
      </c>
      <c r="G283" t="s">
        <v>4136</v>
      </c>
    </row>
    <row r="284" spans="1:7">
      <c r="A284" t="s">
        <v>4218</v>
      </c>
      <c r="G284" t="s">
        <v>4136</v>
      </c>
    </row>
    <row r="285" spans="1:7">
      <c r="A285" t="s">
        <v>4219</v>
      </c>
      <c r="G285" t="s">
        <v>4136</v>
      </c>
    </row>
    <row r="286" spans="1:7">
      <c r="A286" t="s">
        <v>4220</v>
      </c>
      <c r="G286" t="s">
        <v>4136</v>
      </c>
    </row>
    <row r="287" spans="1:7">
      <c r="A287" t="s">
        <v>4183</v>
      </c>
      <c r="G287" t="s">
        <v>4136</v>
      </c>
    </row>
    <row r="288" spans="1:7">
      <c r="A288" t="s">
        <v>4075</v>
      </c>
      <c r="G288" t="s">
        <v>4136</v>
      </c>
    </row>
    <row r="289" spans="1:8">
      <c r="A289" t="s">
        <v>4221</v>
      </c>
      <c r="G289" t="s">
        <v>4136</v>
      </c>
      <c r="H289">
        <v>5326097</v>
      </c>
    </row>
    <row r="290" spans="1:7">
      <c r="A290" t="s">
        <v>4209</v>
      </c>
      <c r="G290" t="s">
        <v>4136</v>
      </c>
    </row>
    <row r="291" spans="1:7">
      <c r="A291" t="s">
        <v>4208</v>
      </c>
      <c r="G291" t="s">
        <v>4136</v>
      </c>
    </row>
    <row r="292" spans="1:7">
      <c r="A292" t="s">
        <v>4193</v>
      </c>
      <c r="G292" t="s">
        <v>4136</v>
      </c>
    </row>
    <row r="293" spans="1:7">
      <c r="A293" t="s">
        <v>4082</v>
      </c>
      <c r="G293" t="s">
        <v>4136</v>
      </c>
    </row>
    <row r="294" spans="1:7">
      <c r="A294" t="s">
        <v>3998</v>
      </c>
      <c r="G294" t="s">
        <v>4136</v>
      </c>
    </row>
    <row r="295" spans="1:7">
      <c r="A295" t="s">
        <v>4222</v>
      </c>
      <c r="G295" t="s">
        <v>4136</v>
      </c>
    </row>
    <row r="296" spans="1:7">
      <c r="A296" t="s">
        <v>4019</v>
      </c>
      <c r="G296" t="s">
        <v>4136</v>
      </c>
    </row>
    <row r="297" spans="1:7">
      <c r="A297" t="s">
        <v>4223</v>
      </c>
      <c r="B297">
        <v>5609097</v>
      </c>
      <c r="G297" t="s">
        <v>4136</v>
      </c>
    </row>
    <row r="298" spans="1:7">
      <c r="A298" t="s">
        <v>4224</v>
      </c>
      <c r="G298" t="s">
        <v>4136</v>
      </c>
    </row>
    <row r="299" spans="1:7">
      <c r="A299" t="s">
        <v>4225</v>
      </c>
      <c r="G299" t="s">
        <v>4136</v>
      </c>
    </row>
    <row r="300" spans="1:7">
      <c r="A300" t="s">
        <v>4226</v>
      </c>
      <c r="G300" t="s">
        <v>4136</v>
      </c>
    </row>
    <row r="301" spans="1:7">
      <c r="A301" t="s">
        <v>4227</v>
      </c>
      <c r="G301" t="s">
        <v>4136</v>
      </c>
    </row>
    <row r="302" spans="1:7">
      <c r="A302" t="s">
        <v>4228</v>
      </c>
      <c r="G302" t="s">
        <v>4136</v>
      </c>
    </row>
    <row r="303" spans="1:7">
      <c r="A303" t="s">
        <v>4229</v>
      </c>
      <c r="G303" t="s">
        <v>4136</v>
      </c>
    </row>
    <row r="304" spans="1:7">
      <c r="A304" t="s">
        <v>4016</v>
      </c>
      <c r="G304" t="s">
        <v>4136</v>
      </c>
    </row>
    <row r="305" spans="1:7">
      <c r="A305" t="s">
        <v>4161</v>
      </c>
      <c r="B305">
        <v>5606097</v>
      </c>
      <c r="G305" t="s">
        <v>4136</v>
      </c>
    </row>
    <row r="306" spans="1:7">
      <c r="A306" t="s">
        <v>4230</v>
      </c>
      <c r="G306" t="s">
        <v>4136</v>
      </c>
    </row>
    <row r="307" spans="1:7">
      <c r="A307" t="s">
        <v>4062</v>
      </c>
      <c r="G307" t="s">
        <v>4136</v>
      </c>
    </row>
    <row r="308" spans="1:8">
      <c r="A308" t="s">
        <v>4177</v>
      </c>
      <c r="G308" t="s">
        <v>4136</v>
      </c>
      <c r="H308">
        <v>4955097</v>
      </c>
    </row>
    <row r="309" spans="1:7">
      <c r="A309" t="s">
        <v>4088</v>
      </c>
      <c r="G309" t="s">
        <v>4136</v>
      </c>
    </row>
    <row r="310" spans="1:7">
      <c r="A310" t="s">
        <v>4231</v>
      </c>
      <c r="B310">
        <v>5563097</v>
      </c>
      <c r="G310" t="s">
        <v>4136</v>
      </c>
    </row>
    <row r="311" spans="1:7">
      <c r="A311" t="s">
        <v>4063</v>
      </c>
      <c r="G311" t="s">
        <v>4136</v>
      </c>
    </row>
    <row r="312" spans="1:7">
      <c r="A312" t="s">
        <v>4126</v>
      </c>
      <c r="G312" t="s">
        <v>4136</v>
      </c>
    </row>
    <row r="313" spans="1:7">
      <c r="A313" t="s">
        <v>4117</v>
      </c>
      <c r="G313" t="s">
        <v>4136</v>
      </c>
    </row>
    <row r="314" spans="1:7">
      <c r="A314" t="s">
        <v>4232</v>
      </c>
      <c r="G314" t="s">
        <v>4136</v>
      </c>
    </row>
    <row r="315" spans="1:7">
      <c r="A315" t="s">
        <v>4233</v>
      </c>
      <c r="G315" t="s">
        <v>4136</v>
      </c>
    </row>
    <row r="316" spans="1:7">
      <c r="A316" t="s">
        <v>4094</v>
      </c>
      <c r="G316" t="s">
        <v>4136</v>
      </c>
    </row>
    <row r="317" spans="1:7">
      <c r="A317" t="s">
        <v>4234</v>
      </c>
      <c r="G317" t="s">
        <v>4235</v>
      </c>
    </row>
    <row r="318" spans="1:7">
      <c r="A318" t="s">
        <v>4236</v>
      </c>
      <c r="G318" t="s">
        <v>4235</v>
      </c>
    </row>
    <row r="319" spans="1:7">
      <c r="A319" t="s">
        <v>4237</v>
      </c>
      <c r="G319" t="s">
        <v>4235</v>
      </c>
    </row>
    <row r="320" spans="1:7">
      <c r="A320" t="s">
        <v>4238</v>
      </c>
      <c r="G320" t="s">
        <v>4235</v>
      </c>
    </row>
    <row r="321" spans="1:7">
      <c r="A321" t="s">
        <v>4239</v>
      </c>
      <c r="G321" t="s">
        <v>4235</v>
      </c>
    </row>
    <row r="322" spans="1:7">
      <c r="A322" t="s">
        <v>4086</v>
      </c>
      <c r="G322" t="s">
        <v>4235</v>
      </c>
    </row>
    <row r="323" spans="1:7">
      <c r="A323" t="s">
        <v>4097</v>
      </c>
      <c r="G323" t="s">
        <v>4240</v>
      </c>
    </row>
    <row r="324" spans="1:7">
      <c r="A324" t="s">
        <v>4112</v>
      </c>
      <c r="G324" t="s">
        <v>4241</v>
      </c>
    </row>
    <row r="325" spans="1:7">
      <c r="A325" t="s">
        <v>4242</v>
      </c>
      <c r="G325" t="s">
        <v>4243</v>
      </c>
    </row>
    <row r="326" spans="1:7">
      <c r="A326" t="s">
        <v>4244</v>
      </c>
      <c r="G326" t="s">
        <v>4176</v>
      </c>
    </row>
    <row r="327" spans="1:7">
      <c r="A327" t="s">
        <v>4080</v>
      </c>
      <c r="G327" t="s">
        <v>4176</v>
      </c>
    </row>
    <row r="328" spans="1:7">
      <c r="A328" t="s">
        <v>4135</v>
      </c>
      <c r="G328" t="s">
        <v>4176</v>
      </c>
    </row>
    <row r="329" spans="1:7">
      <c r="A329" t="s">
        <v>4245</v>
      </c>
      <c r="G329" t="s">
        <v>4176</v>
      </c>
    </row>
    <row r="330" spans="1:7">
      <c r="A330" t="s">
        <v>4246</v>
      </c>
      <c r="G330" t="s">
        <v>4176</v>
      </c>
    </row>
    <row r="331" spans="1:7">
      <c r="A331" t="s">
        <v>4206</v>
      </c>
      <c r="G331" t="s">
        <v>4176</v>
      </c>
    </row>
    <row r="332" spans="1:7">
      <c r="A332" t="s">
        <v>4202</v>
      </c>
      <c r="B332">
        <v>5603097</v>
      </c>
      <c r="G332" t="s">
        <v>4176</v>
      </c>
    </row>
    <row r="333" spans="1:7">
      <c r="A333" t="s">
        <v>4247</v>
      </c>
      <c r="G333" t="s">
        <v>4084</v>
      </c>
    </row>
    <row r="334" spans="1:7">
      <c r="A334" t="s">
        <v>4248</v>
      </c>
      <c r="G334" t="s">
        <v>4084</v>
      </c>
    </row>
    <row r="335" spans="1:7">
      <c r="A335" t="s">
        <v>4123</v>
      </c>
      <c r="G335" t="s">
        <v>4084</v>
      </c>
    </row>
    <row r="336" spans="1:7">
      <c r="A336" t="s">
        <v>4104</v>
      </c>
      <c r="G336" t="s">
        <v>4084</v>
      </c>
    </row>
    <row r="337" spans="1:7">
      <c r="A337" t="s">
        <v>4170</v>
      </c>
      <c r="G337" t="s">
        <v>4084</v>
      </c>
    </row>
    <row r="338" spans="1:7">
      <c r="A338" t="s">
        <v>4097</v>
      </c>
      <c r="G338" t="s">
        <v>4084</v>
      </c>
    </row>
    <row r="339" spans="1:7">
      <c r="A339" t="s">
        <v>4249</v>
      </c>
      <c r="B339">
        <v>5588097</v>
      </c>
      <c r="G339" t="s">
        <v>4084</v>
      </c>
    </row>
    <row r="340" spans="1:7">
      <c r="A340" t="s">
        <v>4250</v>
      </c>
      <c r="G340" t="s">
        <v>4084</v>
      </c>
    </row>
    <row r="341" spans="1:8">
      <c r="A341" t="s">
        <v>4099</v>
      </c>
      <c r="G341" t="s">
        <v>4084</v>
      </c>
      <c r="H341">
        <v>5417097</v>
      </c>
    </row>
    <row r="342" spans="1:8">
      <c r="A342" t="s">
        <v>4251</v>
      </c>
      <c r="G342" t="s">
        <v>4084</v>
      </c>
      <c r="H342">
        <v>5419097</v>
      </c>
    </row>
    <row r="343" spans="1:7">
      <c r="A343" t="s">
        <v>4252</v>
      </c>
      <c r="G343" t="s">
        <v>4084</v>
      </c>
    </row>
    <row r="344" spans="1:7">
      <c r="A344" t="s">
        <v>4253</v>
      </c>
      <c r="G344" t="s">
        <v>4084</v>
      </c>
    </row>
    <row r="345" spans="1:7">
      <c r="A345" t="s">
        <v>4254</v>
      </c>
      <c r="G345" t="s">
        <v>4084</v>
      </c>
    </row>
    <row r="346" spans="1:7">
      <c r="A346" t="s">
        <v>4255</v>
      </c>
      <c r="G346" t="s">
        <v>4084</v>
      </c>
    </row>
    <row r="347" spans="1:7">
      <c r="A347" t="s">
        <v>4055</v>
      </c>
      <c r="G347" t="s">
        <v>4084</v>
      </c>
    </row>
    <row r="348" spans="1:8">
      <c r="A348" t="s">
        <v>4256</v>
      </c>
      <c r="G348" t="s">
        <v>4084</v>
      </c>
      <c r="H348">
        <v>5339097</v>
      </c>
    </row>
    <row r="349" spans="1:7">
      <c r="A349" t="s">
        <v>4257</v>
      </c>
      <c r="G349" t="s">
        <v>4084</v>
      </c>
    </row>
    <row r="350" spans="1:7">
      <c r="A350" t="s">
        <v>4258</v>
      </c>
      <c r="G350" t="s">
        <v>4084</v>
      </c>
    </row>
    <row r="351" spans="1:7">
      <c r="A351" t="s">
        <v>4215</v>
      </c>
      <c r="G351" t="s">
        <v>4084</v>
      </c>
    </row>
    <row r="352" spans="1:7">
      <c r="A352" t="s">
        <v>4096</v>
      </c>
      <c r="B352">
        <v>5558097</v>
      </c>
      <c r="G352" t="s">
        <v>4084</v>
      </c>
    </row>
    <row r="353" spans="1:7">
      <c r="A353" t="s">
        <v>4259</v>
      </c>
      <c r="G353" t="s">
        <v>4084</v>
      </c>
    </row>
    <row r="354" spans="1:7">
      <c r="A354" t="s">
        <v>4260</v>
      </c>
      <c r="G354" t="s">
        <v>4084</v>
      </c>
    </row>
    <row r="355" spans="1:7">
      <c r="A355" t="s">
        <v>4038</v>
      </c>
      <c r="G355" t="s">
        <v>4084</v>
      </c>
    </row>
    <row r="356" spans="1:7">
      <c r="A356" t="s">
        <v>4261</v>
      </c>
      <c r="G356" t="s">
        <v>4084</v>
      </c>
    </row>
    <row r="357" spans="1:8">
      <c r="A357" t="s">
        <v>4262</v>
      </c>
      <c r="G357" t="s">
        <v>4084</v>
      </c>
      <c r="H357">
        <v>5217097</v>
      </c>
    </row>
    <row r="358" spans="1:7">
      <c r="A358" t="s">
        <v>4263</v>
      </c>
      <c r="B358">
        <v>5585097</v>
      </c>
      <c r="G358" t="s">
        <v>4084</v>
      </c>
    </row>
    <row r="359" spans="1:8">
      <c r="A359" t="s">
        <v>4264</v>
      </c>
      <c r="G359" t="s">
        <v>4084</v>
      </c>
      <c r="H359">
        <v>5213097</v>
      </c>
    </row>
    <row r="360" spans="1:7">
      <c r="A360" t="s">
        <v>4256</v>
      </c>
      <c r="G360" t="s">
        <v>4084</v>
      </c>
    </row>
    <row r="361" spans="1:8">
      <c r="A361" t="s">
        <v>4250</v>
      </c>
      <c r="G361" t="s">
        <v>4084</v>
      </c>
      <c r="H361">
        <v>5209097</v>
      </c>
    </row>
    <row r="362" spans="1:7">
      <c r="A362" t="s">
        <v>4251</v>
      </c>
      <c r="B362">
        <v>5540097</v>
      </c>
      <c r="G362" t="s">
        <v>4084</v>
      </c>
    </row>
    <row r="363" spans="1:7">
      <c r="A363" t="s">
        <v>4048</v>
      </c>
      <c r="G363" t="s">
        <v>4084</v>
      </c>
    </row>
    <row r="364" spans="1:7">
      <c r="A364" t="s">
        <v>4165</v>
      </c>
      <c r="G364" t="s">
        <v>4084</v>
      </c>
    </row>
    <row r="365" spans="1:7">
      <c r="A365" t="s">
        <v>4261</v>
      </c>
      <c r="G365" t="s">
        <v>4084</v>
      </c>
    </row>
    <row r="366" spans="1:7">
      <c r="A366" t="s">
        <v>4253</v>
      </c>
      <c r="G366" t="s">
        <v>4084</v>
      </c>
    </row>
    <row r="367" spans="1:7">
      <c r="A367" t="s">
        <v>4265</v>
      </c>
      <c r="G367" t="s">
        <v>4084</v>
      </c>
    </row>
    <row r="368" spans="1:7">
      <c r="A368" t="s">
        <v>4254</v>
      </c>
      <c r="G368" t="s">
        <v>4084</v>
      </c>
    </row>
    <row r="369" spans="1:7">
      <c r="A369" t="s">
        <v>4055</v>
      </c>
      <c r="G369" t="s">
        <v>4084</v>
      </c>
    </row>
    <row r="370" spans="1:7">
      <c r="A370" t="s">
        <v>4255</v>
      </c>
      <c r="G370" t="s">
        <v>4084</v>
      </c>
    </row>
    <row r="371" spans="1:7">
      <c r="A371" t="s">
        <v>4262</v>
      </c>
      <c r="G371" t="s">
        <v>4084</v>
      </c>
    </row>
    <row r="372" spans="1:7">
      <c r="A372" t="s">
        <v>4258</v>
      </c>
      <c r="G372" t="s">
        <v>4084</v>
      </c>
    </row>
    <row r="373" spans="1:7">
      <c r="A373" t="s">
        <v>4215</v>
      </c>
      <c r="G373" t="s">
        <v>4084</v>
      </c>
    </row>
    <row r="374" spans="1:8">
      <c r="A374" t="s">
        <v>4260</v>
      </c>
      <c r="G374" t="s">
        <v>4084</v>
      </c>
      <c r="H374">
        <v>5049097</v>
      </c>
    </row>
    <row r="375" spans="1:7">
      <c r="A375" t="s">
        <v>4038</v>
      </c>
      <c r="G375" t="s">
        <v>4084</v>
      </c>
    </row>
    <row r="376" spans="1:7">
      <c r="A376" t="s">
        <v>4266</v>
      </c>
      <c r="G376" t="s">
        <v>4084</v>
      </c>
    </row>
    <row r="377" spans="1:7">
      <c r="A377" t="s">
        <v>4267</v>
      </c>
      <c r="B377">
        <v>5584097</v>
      </c>
      <c r="G377" t="s">
        <v>4084</v>
      </c>
    </row>
    <row r="378" spans="1:7">
      <c r="A378" t="s">
        <v>4255</v>
      </c>
      <c r="G378" t="s">
        <v>4084</v>
      </c>
    </row>
    <row r="379" spans="1:8">
      <c r="A379" t="s">
        <v>4268</v>
      </c>
      <c r="G379" t="s">
        <v>4084</v>
      </c>
      <c r="H379">
        <v>4999097</v>
      </c>
    </row>
    <row r="380" spans="1:7">
      <c r="A380" t="s">
        <v>4252</v>
      </c>
      <c r="G380" t="s">
        <v>4084</v>
      </c>
    </row>
    <row r="381" spans="1:7">
      <c r="A381" t="s">
        <v>4253</v>
      </c>
      <c r="G381" t="s">
        <v>4084</v>
      </c>
    </row>
    <row r="382" spans="1:7">
      <c r="A382" t="s">
        <v>4269</v>
      </c>
      <c r="G382" t="s">
        <v>4084</v>
      </c>
    </row>
    <row r="383" spans="1:7">
      <c r="A383" t="s">
        <v>4270</v>
      </c>
      <c r="G383" t="s">
        <v>4084</v>
      </c>
    </row>
    <row r="384" spans="1:7">
      <c r="A384" t="s">
        <v>4165</v>
      </c>
      <c r="G384" t="s">
        <v>4084</v>
      </c>
    </row>
    <row r="385" spans="1:7">
      <c r="A385" t="s">
        <v>4256</v>
      </c>
      <c r="G385" t="s">
        <v>4084</v>
      </c>
    </row>
    <row r="386" spans="1:7">
      <c r="A386" t="s">
        <v>4055</v>
      </c>
      <c r="G386" t="s">
        <v>4084</v>
      </c>
    </row>
    <row r="387" spans="1:7">
      <c r="A387" t="s">
        <v>4271</v>
      </c>
      <c r="G387" t="s">
        <v>4084</v>
      </c>
    </row>
    <row r="388" spans="1:7">
      <c r="A388" t="s">
        <v>4272</v>
      </c>
      <c r="G388" t="s">
        <v>4084</v>
      </c>
    </row>
    <row r="389" spans="1:7">
      <c r="A389" t="s">
        <v>4250</v>
      </c>
      <c r="G389" t="s">
        <v>4084</v>
      </c>
    </row>
    <row r="390" spans="1:7">
      <c r="A390" t="s">
        <v>4266</v>
      </c>
      <c r="G390" t="s">
        <v>4084</v>
      </c>
    </row>
    <row r="391" spans="1:7">
      <c r="A391" t="s">
        <v>4273</v>
      </c>
      <c r="B391">
        <v>5537097</v>
      </c>
      <c r="G391" t="s">
        <v>4084</v>
      </c>
    </row>
    <row r="392" spans="1:7">
      <c r="A392" t="s">
        <v>4087</v>
      </c>
      <c r="G392" t="s">
        <v>4084</v>
      </c>
    </row>
    <row r="393" spans="1:7">
      <c r="A393" t="s">
        <v>4274</v>
      </c>
      <c r="G393" t="s">
        <v>4084</v>
      </c>
    </row>
    <row r="394" spans="1:7">
      <c r="A394" t="s">
        <v>4254</v>
      </c>
      <c r="G394" t="s">
        <v>4084</v>
      </c>
    </row>
    <row r="395" spans="1:7">
      <c r="A395" t="s">
        <v>4258</v>
      </c>
      <c r="G395" t="s">
        <v>4084</v>
      </c>
    </row>
    <row r="396" spans="1:7">
      <c r="A396" t="s">
        <v>4215</v>
      </c>
      <c r="G396" t="s">
        <v>4084</v>
      </c>
    </row>
    <row r="397" spans="1:7">
      <c r="A397" t="s">
        <v>4275</v>
      </c>
      <c r="G397" t="s">
        <v>4084</v>
      </c>
    </row>
    <row r="398" spans="1:7">
      <c r="A398" t="s">
        <v>4276</v>
      </c>
      <c r="G398" t="s">
        <v>4084</v>
      </c>
    </row>
    <row r="399" spans="1:7">
      <c r="A399" t="s">
        <v>4102</v>
      </c>
      <c r="G399" t="s">
        <v>4277</v>
      </c>
    </row>
    <row r="400" spans="1:7">
      <c r="A400" t="s">
        <v>4260</v>
      </c>
      <c r="G400" t="s">
        <v>4258</v>
      </c>
    </row>
    <row r="401" spans="1:7">
      <c r="A401" t="s">
        <v>4038</v>
      </c>
      <c r="G401" t="s">
        <v>4258</v>
      </c>
    </row>
    <row r="402" spans="1:7">
      <c r="A402" t="s">
        <v>4278</v>
      </c>
      <c r="G402" t="s">
        <v>4258</v>
      </c>
    </row>
    <row r="403" spans="1:7">
      <c r="A403" t="s">
        <v>4251</v>
      </c>
      <c r="G403" t="s">
        <v>4258</v>
      </c>
    </row>
    <row r="404" spans="1:7">
      <c r="A404" t="s">
        <v>4202</v>
      </c>
      <c r="B404">
        <v>5567097</v>
      </c>
      <c r="G404" t="s">
        <v>4258</v>
      </c>
    </row>
    <row r="405" spans="1:7">
      <c r="A405" t="s">
        <v>4279</v>
      </c>
      <c r="G405" t="s">
        <v>4258</v>
      </c>
    </row>
    <row r="406" spans="1:7">
      <c r="A406" t="s">
        <v>4109</v>
      </c>
      <c r="G406" t="s">
        <v>4258</v>
      </c>
    </row>
    <row r="407" spans="1:7">
      <c r="A407" t="s">
        <v>4134</v>
      </c>
      <c r="G407" t="s">
        <v>4258</v>
      </c>
    </row>
    <row r="408" spans="1:7">
      <c r="A408" t="s">
        <v>4280</v>
      </c>
      <c r="G408" t="s">
        <v>4258</v>
      </c>
    </row>
    <row r="409" spans="1:8">
      <c r="A409" t="s">
        <v>4122</v>
      </c>
      <c r="G409" t="s">
        <v>4258</v>
      </c>
      <c r="H409">
        <v>5513097</v>
      </c>
    </row>
    <row r="410" spans="1:7">
      <c r="A410" t="s">
        <v>4170</v>
      </c>
      <c r="G410" t="s">
        <v>4258</v>
      </c>
    </row>
    <row r="411" spans="1:7">
      <c r="A411" t="s">
        <v>4079</v>
      </c>
      <c r="G411" t="s">
        <v>4258</v>
      </c>
    </row>
    <row r="412" spans="1:7">
      <c r="A412" t="s">
        <v>4194</v>
      </c>
      <c r="G412" t="s">
        <v>4258</v>
      </c>
    </row>
    <row r="413" spans="1:7">
      <c r="A413" t="s">
        <v>4055</v>
      </c>
      <c r="G413" t="s">
        <v>4258</v>
      </c>
    </row>
    <row r="414" spans="1:7">
      <c r="A414" t="s">
        <v>4107</v>
      </c>
      <c r="G414" t="s">
        <v>4258</v>
      </c>
    </row>
    <row r="415" spans="1:7">
      <c r="A415" t="s">
        <v>4153</v>
      </c>
      <c r="G415" t="s">
        <v>4258</v>
      </c>
    </row>
    <row r="416" spans="1:7">
      <c r="A416" t="s">
        <v>4009</v>
      </c>
      <c r="B416">
        <v>5536097</v>
      </c>
      <c r="G416" t="s">
        <v>4258</v>
      </c>
    </row>
    <row r="417" spans="1:7">
      <c r="A417" t="s">
        <v>3976</v>
      </c>
      <c r="G417" t="s">
        <v>4258</v>
      </c>
    </row>
    <row r="418" spans="1:7">
      <c r="A418" t="s">
        <v>4281</v>
      </c>
      <c r="G418" t="s">
        <v>4258</v>
      </c>
    </row>
    <row r="419" spans="1:7">
      <c r="A419" t="s">
        <v>4075</v>
      </c>
      <c r="G419" t="s">
        <v>4258</v>
      </c>
    </row>
    <row r="420" spans="1:7">
      <c r="A420" t="s">
        <v>4282</v>
      </c>
      <c r="G420" t="s">
        <v>4258</v>
      </c>
    </row>
    <row r="421" spans="1:7">
      <c r="A421" t="s">
        <v>4112</v>
      </c>
      <c r="G421" t="s">
        <v>4258</v>
      </c>
    </row>
    <row r="422" spans="1:7">
      <c r="A422" t="s">
        <v>4135</v>
      </c>
      <c r="G422" t="s">
        <v>4258</v>
      </c>
    </row>
    <row r="423" spans="1:7">
      <c r="A423" t="s">
        <v>4283</v>
      </c>
      <c r="G423" t="s">
        <v>4258</v>
      </c>
    </row>
    <row r="424" spans="1:7">
      <c r="A424" t="s">
        <v>4284</v>
      </c>
      <c r="G424" t="s">
        <v>4258</v>
      </c>
    </row>
    <row r="425" spans="1:7">
      <c r="A425" t="s">
        <v>4104</v>
      </c>
      <c r="G425" t="s">
        <v>4258</v>
      </c>
    </row>
    <row r="426" spans="1:7">
      <c r="A426" t="s">
        <v>4285</v>
      </c>
      <c r="G426" t="s">
        <v>4258</v>
      </c>
    </row>
    <row r="427" spans="1:7">
      <c r="A427" t="s">
        <v>4082</v>
      </c>
      <c r="G427" t="s">
        <v>4258</v>
      </c>
    </row>
    <row r="428" spans="1:7">
      <c r="A428" t="s">
        <v>4095</v>
      </c>
      <c r="G428" t="s">
        <v>4258</v>
      </c>
    </row>
    <row r="429" spans="1:7">
      <c r="A429" t="s">
        <v>4286</v>
      </c>
      <c r="G429" t="s">
        <v>4258</v>
      </c>
    </row>
    <row r="430" spans="1:7">
      <c r="A430" t="s">
        <v>4115</v>
      </c>
      <c r="G430" t="s">
        <v>4258</v>
      </c>
    </row>
    <row r="431" spans="1:8">
      <c r="A431" t="s">
        <v>4287</v>
      </c>
      <c r="G431" t="s">
        <v>4258</v>
      </c>
      <c r="H431">
        <v>5319097</v>
      </c>
    </row>
    <row r="432" spans="1:7">
      <c r="A432" t="s">
        <v>4123</v>
      </c>
      <c r="G432" t="s">
        <v>4258</v>
      </c>
    </row>
    <row r="433" spans="1:7">
      <c r="A433" t="s">
        <v>4288</v>
      </c>
      <c r="G433" t="s">
        <v>4289</v>
      </c>
    </row>
    <row r="434" spans="1:7">
      <c r="A434" t="s">
        <v>4290</v>
      </c>
      <c r="G434" t="s">
        <v>4289</v>
      </c>
    </row>
    <row r="435" spans="1:7">
      <c r="A435" t="s">
        <v>4086</v>
      </c>
      <c r="G435" t="s">
        <v>4289</v>
      </c>
    </row>
    <row r="436" spans="1:7">
      <c r="A436" t="s">
        <v>4291</v>
      </c>
      <c r="G436" t="s">
        <v>4289</v>
      </c>
    </row>
    <row r="437" spans="1:7">
      <c r="A437" t="s">
        <v>4236</v>
      </c>
      <c r="B437">
        <v>5535097</v>
      </c>
      <c r="G437" t="s">
        <v>4292</v>
      </c>
    </row>
    <row r="438" spans="1:7">
      <c r="A438" t="s">
        <v>4140</v>
      </c>
      <c r="G438" t="s">
        <v>4293</v>
      </c>
    </row>
    <row r="439" spans="1:7">
      <c r="A439" t="s">
        <v>4126</v>
      </c>
      <c r="G439" t="s">
        <v>4293</v>
      </c>
    </row>
    <row r="440" spans="1:7">
      <c r="A440" t="s">
        <v>4294</v>
      </c>
      <c r="B440">
        <v>5563097</v>
      </c>
      <c r="G440" t="s">
        <v>4293</v>
      </c>
    </row>
    <row r="441" spans="1:7">
      <c r="A441" t="s">
        <v>4202</v>
      </c>
      <c r="G441" t="s">
        <v>4293</v>
      </c>
    </row>
    <row r="442" spans="1:8">
      <c r="A442" t="s">
        <v>4027</v>
      </c>
      <c r="G442" t="s">
        <v>4293</v>
      </c>
      <c r="H442">
        <v>5027097</v>
      </c>
    </row>
    <row r="443" spans="1:7">
      <c r="A443" t="s">
        <v>4295</v>
      </c>
      <c r="G443" t="s">
        <v>4074</v>
      </c>
    </row>
    <row r="444" spans="1:7">
      <c r="A444" t="s">
        <v>4078</v>
      </c>
      <c r="G444" t="s">
        <v>4296</v>
      </c>
    </row>
    <row r="445" spans="1:7">
      <c r="A445" t="s">
        <v>4297</v>
      </c>
      <c r="G445" t="s">
        <v>4296</v>
      </c>
    </row>
    <row r="446" spans="1:7">
      <c r="A446" t="s">
        <v>4112</v>
      </c>
      <c r="G446" t="s">
        <v>4296</v>
      </c>
    </row>
    <row r="447" spans="1:7">
      <c r="A447" t="s">
        <v>4064</v>
      </c>
      <c r="G447" t="s">
        <v>4296</v>
      </c>
    </row>
    <row r="448" spans="1:7">
      <c r="A448" t="s">
        <v>4298</v>
      </c>
      <c r="G448" t="s">
        <v>4296</v>
      </c>
    </row>
    <row r="449" spans="1:7">
      <c r="A449" t="s">
        <v>4299</v>
      </c>
      <c r="G449" t="s">
        <v>4296</v>
      </c>
    </row>
    <row r="450" spans="1:7">
      <c r="A450" t="s">
        <v>4289</v>
      </c>
      <c r="G450" t="s">
        <v>4296</v>
      </c>
    </row>
    <row r="451" spans="1:7">
      <c r="A451" t="s">
        <v>4300</v>
      </c>
      <c r="G451" t="s">
        <v>4301</v>
      </c>
    </row>
    <row r="452" spans="1:7">
      <c r="A452" t="s">
        <v>4055</v>
      </c>
      <c r="G452" t="s">
        <v>4301</v>
      </c>
    </row>
    <row r="453" spans="1:7">
      <c r="A453" t="s">
        <v>4048</v>
      </c>
      <c r="G453" t="s">
        <v>4302</v>
      </c>
    </row>
    <row r="454" spans="1:7">
      <c r="A454" t="s">
        <v>4035</v>
      </c>
      <c r="G454" t="s">
        <v>4302</v>
      </c>
    </row>
    <row r="455" spans="1:7">
      <c r="A455" t="s">
        <v>4303</v>
      </c>
      <c r="G455" t="s">
        <v>4302</v>
      </c>
    </row>
    <row r="456" spans="1:7">
      <c r="A456" t="s">
        <v>4038</v>
      </c>
      <c r="G456" t="s">
        <v>4302</v>
      </c>
    </row>
    <row r="457" spans="1:7">
      <c r="A457" t="s">
        <v>4304</v>
      </c>
      <c r="B457">
        <v>5534097</v>
      </c>
      <c r="G457" t="s">
        <v>4302</v>
      </c>
    </row>
    <row r="458" spans="1:7">
      <c r="A458" t="s">
        <v>4305</v>
      </c>
      <c r="G458" t="s">
        <v>4302</v>
      </c>
    </row>
    <row r="459" spans="1:7">
      <c r="A459" t="s">
        <v>4052</v>
      </c>
      <c r="G459" t="s">
        <v>4302</v>
      </c>
    </row>
    <row r="460" spans="1:7">
      <c r="A460" t="s">
        <v>4261</v>
      </c>
      <c r="G460" t="s">
        <v>4302</v>
      </c>
    </row>
    <row r="461" spans="1:7">
      <c r="A461" t="s">
        <v>4075</v>
      </c>
      <c r="G461" t="s">
        <v>4302</v>
      </c>
    </row>
    <row r="462" spans="1:7">
      <c r="A462" t="s">
        <v>4283</v>
      </c>
      <c r="G462" t="s">
        <v>4302</v>
      </c>
    </row>
    <row r="463" spans="1:7">
      <c r="A463" t="s">
        <v>4306</v>
      </c>
      <c r="G463" t="s">
        <v>4302</v>
      </c>
    </row>
    <row r="464" spans="1:7">
      <c r="A464" t="s">
        <v>4307</v>
      </c>
      <c r="G464" t="s">
        <v>4302</v>
      </c>
    </row>
    <row r="465" spans="1:7">
      <c r="A465" t="s">
        <v>4308</v>
      </c>
      <c r="G465" t="s">
        <v>4302</v>
      </c>
    </row>
    <row r="466" spans="1:7">
      <c r="A466" t="s">
        <v>4309</v>
      </c>
      <c r="G466" t="s">
        <v>4302</v>
      </c>
    </row>
    <row r="467" spans="1:7">
      <c r="A467" t="s">
        <v>4310</v>
      </c>
      <c r="G467" t="s">
        <v>4302</v>
      </c>
    </row>
    <row r="468" spans="1:7">
      <c r="A468" t="s">
        <v>4311</v>
      </c>
      <c r="G468" t="s">
        <v>4312</v>
      </c>
    </row>
    <row r="469" spans="1:7">
      <c r="A469" t="s">
        <v>4313</v>
      </c>
      <c r="G469" t="s">
        <v>4281</v>
      </c>
    </row>
    <row r="470" spans="1:7">
      <c r="A470" t="s">
        <v>4314</v>
      </c>
      <c r="G470" t="s">
        <v>4315</v>
      </c>
    </row>
    <row r="471" spans="1:7">
      <c r="A471" t="s">
        <v>3976</v>
      </c>
      <c r="G471" t="s">
        <v>4316</v>
      </c>
    </row>
    <row r="472" spans="1:7">
      <c r="A472" t="s">
        <v>4317</v>
      </c>
      <c r="G472" t="s">
        <v>4318</v>
      </c>
    </row>
    <row r="473" spans="1:7">
      <c r="A473" t="s">
        <v>4087</v>
      </c>
      <c r="G473" t="s">
        <v>4319</v>
      </c>
    </row>
    <row r="474" spans="1:7">
      <c r="A474" t="s">
        <v>4320</v>
      </c>
      <c r="G474" t="s">
        <v>4319</v>
      </c>
    </row>
    <row r="475" spans="1:7">
      <c r="A475" t="s">
        <v>4321</v>
      </c>
      <c r="G475" t="s">
        <v>4319</v>
      </c>
    </row>
    <row r="476" spans="1:7">
      <c r="A476" t="s">
        <v>4266</v>
      </c>
      <c r="G476" t="s">
        <v>4319</v>
      </c>
    </row>
    <row r="477" spans="1:7">
      <c r="A477" t="s">
        <v>4107</v>
      </c>
      <c r="G477" t="s">
        <v>4319</v>
      </c>
    </row>
    <row r="478" spans="1:7">
      <c r="A478" t="s">
        <v>4262</v>
      </c>
      <c r="G478" t="s">
        <v>4322</v>
      </c>
    </row>
    <row r="479" spans="1:7">
      <c r="A479" t="s">
        <v>4200</v>
      </c>
      <c r="G479" t="s">
        <v>4320</v>
      </c>
    </row>
    <row r="480" spans="1:7">
      <c r="A480" t="s">
        <v>4323</v>
      </c>
      <c r="B480">
        <v>5531097</v>
      </c>
      <c r="G480" t="s">
        <v>4320</v>
      </c>
    </row>
    <row r="481" spans="1:7">
      <c r="A481" t="s">
        <v>4324</v>
      </c>
      <c r="G481" t="s">
        <v>4325</v>
      </c>
    </row>
    <row r="482" spans="1:7">
      <c r="A482" t="s">
        <v>4326</v>
      </c>
      <c r="B482">
        <v>5558097</v>
      </c>
      <c r="G482" t="s">
        <v>4325</v>
      </c>
    </row>
    <row r="483" spans="1:7">
      <c r="A483" t="s">
        <v>4035</v>
      </c>
      <c r="G483" t="s">
        <v>4181</v>
      </c>
    </row>
    <row r="484" spans="1:7">
      <c r="A484" t="s">
        <v>4200</v>
      </c>
      <c r="G484" t="s">
        <v>4181</v>
      </c>
    </row>
    <row r="485" spans="1:7">
      <c r="A485" t="s">
        <v>4048</v>
      </c>
      <c r="G485" t="s">
        <v>4181</v>
      </c>
    </row>
    <row r="486" spans="1:7">
      <c r="A486" t="s">
        <v>4252</v>
      </c>
      <c r="G486" t="s">
        <v>4181</v>
      </c>
    </row>
    <row r="487" spans="1:7">
      <c r="A487" t="s">
        <v>4327</v>
      </c>
      <c r="G487" t="s">
        <v>4181</v>
      </c>
    </row>
    <row r="488" spans="1:7">
      <c r="A488" t="s">
        <v>4087</v>
      </c>
      <c r="G488" t="s">
        <v>4181</v>
      </c>
    </row>
    <row r="489" spans="1:7">
      <c r="A489" t="s">
        <v>4320</v>
      </c>
      <c r="G489" t="s">
        <v>4058</v>
      </c>
    </row>
    <row r="490" spans="1:7">
      <c r="A490" t="s">
        <v>4094</v>
      </c>
      <c r="G490" t="s">
        <v>4058</v>
      </c>
    </row>
    <row r="491" spans="1:7">
      <c r="A491" t="s">
        <v>4328</v>
      </c>
      <c r="G491" t="s">
        <v>4058</v>
      </c>
    </row>
    <row r="492" spans="1:7">
      <c r="A492" t="s">
        <v>4130</v>
      </c>
      <c r="B492">
        <v>5540097</v>
      </c>
      <c r="G492" t="s">
        <v>4058</v>
      </c>
    </row>
    <row r="493" spans="1:7">
      <c r="A493" t="s">
        <v>4329</v>
      </c>
      <c r="G493" t="s">
        <v>4058</v>
      </c>
    </row>
    <row r="494" spans="1:7">
      <c r="A494" t="s">
        <v>4330</v>
      </c>
      <c r="G494" t="s">
        <v>4058</v>
      </c>
    </row>
    <row r="495" spans="1:8">
      <c r="A495" t="s">
        <v>4331</v>
      </c>
      <c r="G495" t="s">
        <v>4332</v>
      </c>
      <c r="H495">
        <v>4742097</v>
      </c>
    </row>
    <row r="496" spans="1:7">
      <c r="A496" t="s">
        <v>4333</v>
      </c>
      <c r="G496" t="s">
        <v>4332</v>
      </c>
    </row>
    <row r="497" spans="1:7">
      <c r="A497" t="s">
        <v>4334</v>
      </c>
      <c r="G497" t="s">
        <v>4335</v>
      </c>
    </row>
    <row r="498" spans="1:7">
      <c r="A498" t="s">
        <v>4336</v>
      </c>
      <c r="G498" t="s">
        <v>4337</v>
      </c>
    </row>
    <row r="499" spans="1:7">
      <c r="A499" t="s">
        <v>4338</v>
      </c>
      <c r="G499" t="s">
        <v>4339</v>
      </c>
    </row>
    <row r="500" spans="1:7">
      <c r="A500" t="s">
        <v>4340</v>
      </c>
      <c r="G500" t="s">
        <v>4341</v>
      </c>
    </row>
    <row r="501" spans="1:7">
      <c r="A501" t="s">
        <v>4342</v>
      </c>
      <c r="G501" t="s">
        <v>4341</v>
      </c>
    </row>
    <row r="502" spans="1:7">
      <c r="A502" t="s">
        <v>4343</v>
      </c>
      <c r="G502" t="s">
        <v>4344</v>
      </c>
    </row>
    <row r="503" spans="1:7">
      <c r="A503" t="s">
        <v>4345</v>
      </c>
      <c r="G503" t="s">
        <v>4346</v>
      </c>
    </row>
    <row r="504" spans="1:7">
      <c r="A504" t="s">
        <v>4347</v>
      </c>
      <c r="G504" t="s">
        <v>4348</v>
      </c>
    </row>
    <row r="505" spans="1:7">
      <c r="A505" t="s">
        <v>4349</v>
      </c>
      <c r="G505" t="s">
        <v>4348</v>
      </c>
    </row>
    <row r="506" spans="1:7">
      <c r="A506" t="s">
        <v>4350</v>
      </c>
      <c r="G506" t="s">
        <v>4124</v>
      </c>
    </row>
    <row r="507" spans="1:7">
      <c r="A507" t="s">
        <v>4351</v>
      </c>
      <c r="G507" t="s">
        <v>4124</v>
      </c>
    </row>
    <row r="508" spans="1:7">
      <c r="A508" t="s">
        <v>4352</v>
      </c>
      <c r="G508" t="s">
        <v>4124</v>
      </c>
    </row>
    <row r="509" spans="1:7">
      <c r="A509" t="s">
        <v>4353</v>
      </c>
      <c r="G509" t="s">
        <v>4124</v>
      </c>
    </row>
    <row r="510" spans="1:7">
      <c r="A510" t="s">
        <v>4354</v>
      </c>
      <c r="B510">
        <v>5530097</v>
      </c>
      <c r="G510" t="s">
        <v>4124</v>
      </c>
    </row>
    <row r="511" spans="1:7">
      <c r="A511" t="s">
        <v>4355</v>
      </c>
      <c r="G511" t="s">
        <v>4124</v>
      </c>
    </row>
    <row r="512" spans="1:7">
      <c r="A512" t="s">
        <v>4356</v>
      </c>
      <c r="G512" t="s">
        <v>4124</v>
      </c>
    </row>
    <row r="513" spans="1:7">
      <c r="A513" t="s">
        <v>4357</v>
      </c>
      <c r="G513" t="s">
        <v>4124</v>
      </c>
    </row>
    <row r="514" spans="1:7">
      <c r="A514" t="s">
        <v>4358</v>
      </c>
      <c r="G514" t="s">
        <v>4124</v>
      </c>
    </row>
    <row r="515" spans="1:7">
      <c r="A515" t="s">
        <v>4359</v>
      </c>
      <c r="G515" t="s">
        <v>4124</v>
      </c>
    </row>
    <row r="516" spans="1:7">
      <c r="A516" t="s">
        <v>4360</v>
      </c>
      <c r="G516" t="s">
        <v>4192</v>
      </c>
    </row>
    <row r="517" spans="1:7">
      <c r="A517" t="s">
        <v>4361</v>
      </c>
      <c r="G517" t="s">
        <v>4192</v>
      </c>
    </row>
    <row r="518" spans="1:7">
      <c r="A518" t="s">
        <v>4362</v>
      </c>
      <c r="G518" t="s">
        <v>4192</v>
      </c>
    </row>
    <row r="519" spans="1:7">
      <c r="A519" t="s">
        <v>4363</v>
      </c>
      <c r="G519" t="s">
        <v>4192</v>
      </c>
    </row>
    <row r="520" spans="1:7">
      <c r="A520" t="s">
        <v>4364</v>
      </c>
      <c r="G520" t="s">
        <v>4192</v>
      </c>
    </row>
    <row r="521" spans="1:7">
      <c r="A521" t="s">
        <v>4236</v>
      </c>
      <c r="B521">
        <v>5537097</v>
      </c>
      <c r="G521" t="s">
        <v>4192</v>
      </c>
    </row>
    <row r="522" spans="1:7">
      <c r="A522" t="s">
        <v>4112</v>
      </c>
      <c r="G522" t="s">
        <v>4192</v>
      </c>
    </row>
    <row r="523" spans="1:7">
      <c r="A523" t="s">
        <v>4113</v>
      </c>
      <c r="G523" t="s">
        <v>4192</v>
      </c>
    </row>
    <row r="524" spans="1:7">
      <c r="A524" t="s">
        <v>4365</v>
      </c>
      <c r="G524" t="s">
        <v>4192</v>
      </c>
    </row>
    <row r="525" spans="1:7">
      <c r="A525" t="s">
        <v>4086</v>
      </c>
      <c r="G525" t="s">
        <v>4192</v>
      </c>
    </row>
    <row r="526" spans="1:7">
      <c r="A526" t="s">
        <v>4258</v>
      </c>
      <c r="G526" t="s">
        <v>4366</v>
      </c>
    </row>
    <row r="527" spans="1:7">
      <c r="A527" t="s">
        <v>4126</v>
      </c>
      <c r="G527" t="s">
        <v>4366</v>
      </c>
    </row>
    <row r="528" spans="1:7">
      <c r="A528" t="s">
        <v>4279</v>
      </c>
      <c r="G528" t="s">
        <v>4367</v>
      </c>
    </row>
    <row r="529" spans="1:7">
      <c r="A529" t="s">
        <v>4154</v>
      </c>
      <c r="G529" t="s">
        <v>4368</v>
      </c>
    </row>
    <row r="530" spans="1:7">
      <c r="A530" t="s">
        <v>4369</v>
      </c>
      <c r="G530" t="s">
        <v>4368</v>
      </c>
    </row>
    <row r="531" spans="1:7">
      <c r="A531" t="s">
        <v>4370</v>
      </c>
      <c r="G531" t="s">
        <v>4368</v>
      </c>
    </row>
    <row r="532" spans="1:7">
      <c r="A532" t="s">
        <v>4104</v>
      </c>
      <c r="G532" t="s">
        <v>4368</v>
      </c>
    </row>
    <row r="533" spans="1:7">
      <c r="A533" t="s">
        <v>4088</v>
      </c>
      <c r="G533" t="s">
        <v>4368</v>
      </c>
    </row>
    <row r="534" spans="1:7">
      <c r="A534" t="s">
        <v>4089</v>
      </c>
      <c r="B534">
        <v>5529097</v>
      </c>
      <c r="G534" t="s">
        <v>4368</v>
      </c>
    </row>
    <row r="535" spans="1:7">
      <c r="A535" t="s">
        <v>4097</v>
      </c>
      <c r="G535" t="s">
        <v>4368</v>
      </c>
    </row>
    <row r="536" spans="1:7">
      <c r="A536" t="s">
        <v>4371</v>
      </c>
      <c r="G536" t="s">
        <v>4372</v>
      </c>
    </row>
    <row r="537" spans="1:7">
      <c r="A537" t="s">
        <v>4098</v>
      </c>
      <c r="G537" t="s">
        <v>4372</v>
      </c>
    </row>
    <row r="538" spans="1:7">
      <c r="A538" t="s">
        <v>4194</v>
      </c>
      <c r="G538" t="s">
        <v>4372</v>
      </c>
    </row>
    <row r="539" spans="1:7">
      <c r="A539" t="s">
        <v>4147</v>
      </c>
      <c r="G539" t="s">
        <v>4372</v>
      </c>
    </row>
    <row r="540" spans="1:7">
      <c r="A540" t="s">
        <v>4373</v>
      </c>
      <c r="G540" t="s">
        <v>4372</v>
      </c>
    </row>
    <row r="541" spans="1:7">
      <c r="A541" t="s">
        <v>4205</v>
      </c>
      <c r="G541" t="s">
        <v>4372</v>
      </c>
    </row>
    <row r="542" spans="1:7">
      <c r="A542" t="s">
        <v>4374</v>
      </c>
      <c r="G542" t="s">
        <v>4372</v>
      </c>
    </row>
    <row r="543" spans="1:7">
      <c r="A543" t="s">
        <v>4080</v>
      </c>
      <c r="G543" t="s">
        <v>4372</v>
      </c>
    </row>
    <row r="544" spans="1:7">
      <c r="A544" t="s">
        <v>4276</v>
      </c>
      <c r="G544" t="s">
        <v>4372</v>
      </c>
    </row>
    <row r="545" spans="1:7">
      <c r="A545" t="s">
        <v>4375</v>
      </c>
      <c r="G545" t="s">
        <v>4372</v>
      </c>
    </row>
    <row r="546" spans="1:7">
      <c r="A546" t="s">
        <v>4376</v>
      </c>
      <c r="B546">
        <v>5536097</v>
      </c>
      <c r="G546" t="s">
        <v>4372</v>
      </c>
    </row>
    <row r="547" spans="1:7">
      <c r="A547" t="s">
        <v>4377</v>
      </c>
      <c r="G547" t="s">
        <v>4372</v>
      </c>
    </row>
    <row r="548" spans="1:7">
      <c r="A548" t="s">
        <v>4378</v>
      </c>
      <c r="G548" t="s">
        <v>4372</v>
      </c>
    </row>
    <row r="549" spans="1:7">
      <c r="A549" t="s">
        <v>4379</v>
      </c>
      <c r="G549" t="s">
        <v>4372</v>
      </c>
    </row>
    <row r="550" spans="1:7">
      <c r="A550" t="s">
        <v>4380</v>
      </c>
      <c r="G550" t="s">
        <v>4372</v>
      </c>
    </row>
    <row r="551" spans="1:7">
      <c r="A551" t="s">
        <v>4352</v>
      </c>
      <c r="G551" t="s">
        <v>4372</v>
      </c>
    </row>
    <row r="552" spans="1:7">
      <c r="A552" t="s">
        <v>4110</v>
      </c>
      <c r="G552" t="s">
        <v>4372</v>
      </c>
    </row>
    <row r="553" spans="1:7">
      <c r="A553" t="s">
        <v>4362</v>
      </c>
      <c r="G553" t="s">
        <v>4372</v>
      </c>
    </row>
    <row r="554" spans="1:7">
      <c r="A554" t="s">
        <v>4381</v>
      </c>
      <c r="G554" t="s">
        <v>4372</v>
      </c>
    </row>
    <row r="555" spans="1:7">
      <c r="A555" t="s">
        <v>4382</v>
      </c>
      <c r="G555" t="s">
        <v>4200</v>
      </c>
    </row>
    <row r="556" spans="1:7">
      <c r="A556" t="s">
        <v>4383</v>
      </c>
      <c r="G556" t="s">
        <v>4200</v>
      </c>
    </row>
    <row r="557" spans="1:7">
      <c r="A557" t="s">
        <v>4364</v>
      </c>
      <c r="G557" t="s">
        <v>4200</v>
      </c>
    </row>
    <row r="558" spans="1:7">
      <c r="A558" t="s">
        <v>4353</v>
      </c>
      <c r="G558" t="s">
        <v>4200</v>
      </c>
    </row>
    <row r="559" spans="1:7">
      <c r="A559" t="s">
        <v>4384</v>
      </c>
      <c r="G559" t="s">
        <v>4200</v>
      </c>
    </row>
    <row r="560" spans="1:7">
      <c r="A560" t="s">
        <v>4385</v>
      </c>
      <c r="G560" t="s">
        <v>4200</v>
      </c>
    </row>
    <row r="561" spans="1:7">
      <c r="A561" t="s">
        <v>4386</v>
      </c>
      <c r="G561" t="s">
        <v>4200</v>
      </c>
    </row>
    <row r="562" spans="1:8">
      <c r="A562" t="s">
        <v>4387</v>
      </c>
      <c r="G562" t="s">
        <v>4200</v>
      </c>
      <c r="H562">
        <v>5250097</v>
      </c>
    </row>
    <row r="563" spans="1:7">
      <c r="A563" t="s">
        <v>4388</v>
      </c>
      <c r="G563" t="s">
        <v>4200</v>
      </c>
    </row>
    <row r="564" spans="1:7">
      <c r="A564" t="s">
        <v>4359</v>
      </c>
      <c r="B564">
        <v>5527097</v>
      </c>
      <c r="G564" t="s">
        <v>4389</v>
      </c>
    </row>
    <row r="565" spans="1:7">
      <c r="A565" t="s">
        <v>4342</v>
      </c>
      <c r="G565" t="s">
        <v>4389</v>
      </c>
    </row>
    <row r="566" spans="1:7">
      <c r="A566" t="s">
        <v>4345</v>
      </c>
      <c r="G566" t="s">
        <v>4389</v>
      </c>
    </row>
    <row r="567" spans="1:7">
      <c r="A567" t="s">
        <v>4378</v>
      </c>
      <c r="B567">
        <v>5535097</v>
      </c>
      <c r="G567" t="s">
        <v>4389</v>
      </c>
    </row>
    <row r="568" spans="1:7">
      <c r="A568" t="s">
        <v>4363</v>
      </c>
      <c r="G568" t="s">
        <v>4389</v>
      </c>
    </row>
    <row r="569" spans="1:8">
      <c r="A569" t="s">
        <v>4376</v>
      </c>
      <c r="G569" t="s">
        <v>4179</v>
      </c>
      <c r="H569">
        <v>5588097</v>
      </c>
    </row>
    <row r="570" spans="1:7">
      <c r="A570" t="s">
        <v>4382</v>
      </c>
      <c r="G570" t="s">
        <v>4179</v>
      </c>
    </row>
    <row r="571" spans="1:7">
      <c r="A571" t="s">
        <v>4352</v>
      </c>
      <c r="G571" t="s">
        <v>4179</v>
      </c>
    </row>
    <row r="572" spans="1:7">
      <c r="A572" t="s">
        <v>4362</v>
      </c>
      <c r="G572" t="s">
        <v>4179</v>
      </c>
    </row>
    <row r="573" spans="1:7">
      <c r="A573" t="s">
        <v>4386</v>
      </c>
      <c r="G573" t="s">
        <v>4238</v>
      </c>
    </row>
    <row r="574" spans="1:7">
      <c r="A574" t="s">
        <v>4359</v>
      </c>
      <c r="G574" t="s">
        <v>4238</v>
      </c>
    </row>
    <row r="575" spans="1:7">
      <c r="A575" t="s">
        <v>4375</v>
      </c>
      <c r="G575" t="s">
        <v>4238</v>
      </c>
    </row>
    <row r="576" spans="1:7">
      <c r="A576" t="s">
        <v>4345</v>
      </c>
      <c r="G576" t="s">
        <v>4390</v>
      </c>
    </row>
    <row r="577" spans="1:8">
      <c r="A577" t="s">
        <v>4383</v>
      </c>
      <c r="G577" t="s">
        <v>4175</v>
      </c>
      <c r="H577">
        <v>5603097</v>
      </c>
    </row>
    <row r="578" spans="1:7">
      <c r="A578" t="s">
        <v>4364</v>
      </c>
      <c r="G578" t="s">
        <v>4175</v>
      </c>
    </row>
    <row r="579" spans="1:7">
      <c r="A579" t="s">
        <v>4353</v>
      </c>
      <c r="G579" t="s">
        <v>4175</v>
      </c>
    </row>
    <row r="580" spans="1:7">
      <c r="A580" t="s">
        <v>4391</v>
      </c>
      <c r="G580" t="s">
        <v>4175</v>
      </c>
    </row>
    <row r="581" spans="1:8">
      <c r="A581" t="s">
        <v>4381</v>
      </c>
      <c r="G581" t="s">
        <v>4175</v>
      </c>
      <c r="H581">
        <v>5339097</v>
      </c>
    </row>
    <row r="582" spans="1:7">
      <c r="A582" t="s">
        <v>4336</v>
      </c>
      <c r="G582" t="s">
        <v>4175</v>
      </c>
    </row>
    <row r="583" spans="1:7">
      <c r="A583" t="s">
        <v>4387</v>
      </c>
      <c r="G583" t="s">
        <v>4175</v>
      </c>
    </row>
    <row r="584" spans="1:7">
      <c r="A584" t="s">
        <v>4377</v>
      </c>
      <c r="G584" t="s">
        <v>4175</v>
      </c>
    </row>
    <row r="585" spans="1:7">
      <c r="A585" t="s">
        <v>4388</v>
      </c>
      <c r="G585" t="s">
        <v>4175</v>
      </c>
    </row>
    <row r="586" spans="1:7">
      <c r="A586" t="s">
        <v>4342</v>
      </c>
      <c r="G586" t="s">
        <v>4175</v>
      </c>
    </row>
    <row r="587" spans="1:7">
      <c r="A587" t="s">
        <v>4377</v>
      </c>
      <c r="B587">
        <v>5534097</v>
      </c>
      <c r="G587" t="s">
        <v>4175</v>
      </c>
    </row>
    <row r="588" spans="1:8">
      <c r="A588" t="s">
        <v>4376</v>
      </c>
      <c r="G588" t="s">
        <v>4175</v>
      </c>
      <c r="H588">
        <v>5232097</v>
      </c>
    </row>
    <row r="589" spans="1:7">
      <c r="A589" t="s">
        <v>4385</v>
      </c>
      <c r="G589" t="s">
        <v>4175</v>
      </c>
    </row>
    <row r="590" spans="1:7">
      <c r="A590" t="s">
        <v>4352</v>
      </c>
      <c r="G590" t="s">
        <v>4175</v>
      </c>
    </row>
    <row r="591" spans="1:7">
      <c r="A591" t="s">
        <v>4362</v>
      </c>
      <c r="G591" t="s">
        <v>4175</v>
      </c>
    </row>
    <row r="592" spans="1:7">
      <c r="A592" t="s">
        <v>4386</v>
      </c>
      <c r="G592" t="s">
        <v>4175</v>
      </c>
    </row>
    <row r="593" spans="1:8">
      <c r="A593" t="s">
        <v>4345</v>
      </c>
      <c r="B593">
        <v>5524097</v>
      </c>
      <c r="G593" t="s">
        <v>4175</v>
      </c>
      <c r="H593">
        <v>5116097</v>
      </c>
    </row>
    <row r="594" spans="1:7">
      <c r="A594" t="s">
        <v>4347</v>
      </c>
      <c r="G594" t="s">
        <v>4175</v>
      </c>
    </row>
    <row r="595" spans="1:7">
      <c r="A595" t="s">
        <v>4383</v>
      </c>
      <c r="G595" t="s">
        <v>4175</v>
      </c>
    </row>
    <row r="596" spans="1:7">
      <c r="A596" t="s">
        <v>4176</v>
      </c>
      <c r="G596" t="s">
        <v>4175</v>
      </c>
    </row>
    <row r="597" spans="1:8">
      <c r="A597" t="s">
        <v>4364</v>
      </c>
      <c r="G597" t="s">
        <v>4175</v>
      </c>
      <c r="H597">
        <v>4816097</v>
      </c>
    </row>
    <row r="598" spans="1:7">
      <c r="A598" t="s">
        <v>4363</v>
      </c>
      <c r="G598" t="s">
        <v>4392</v>
      </c>
    </row>
    <row r="599" spans="1:7">
      <c r="A599" t="s">
        <v>4357</v>
      </c>
      <c r="G599" t="s">
        <v>4094</v>
      </c>
    </row>
    <row r="600" spans="1:7">
      <c r="A600" t="s">
        <v>4381</v>
      </c>
      <c r="G600" t="s">
        <v>4094</v>
      </c>
    </row>
    <row r="601" spans="1:7">
      <c r="A601" t="s">
        <v>4378</v>
      </c>
      <c r="G601" t="s">
        <v>4094</v>
      </c>
    </row>
    <row r="602" spans="1:7">
      <c r="A602" t="s">
        <v>4336</v>
      </c>
      <c r="G602" t="s">
        <v>4094</v>
      </c>
    </row>
    <row r="603" spans="1:7">
      <c r="A603" t="s">
        <v>4387</v>
      </c>
      <c r="G603" t="s">
        <v>4094</v>
      </c>
    </row>
    <row r="604" spans="1:7">
      <c r="A604" t="s">
        <v>4333</v>
      </c>
      <c r="G604" t="s">
        <v>4393</v>
      </c>
    </row>
    <row r="605" spans="1:7">
      <c r="A605" t="s">
        <v>4388</v>
      </c>
      <c r="G605" t="s">
        <v>4393</v>
      </c>
    </row>
    <row r="606" spans="1:7">
      <c r="A606" t="s">
        <v>4382</v>
      </c>
      <c r="G606" t="s">
        <v>4327</v>
      </c>
    </row>
    <row r="607" spans="1:8">
      <c r="A607" t="s">
        <v>4359</v>
      </c>
      <c r="G607" t="s">
        <v>4327</v>
      </c>
      <c r="H607">
        <v>5522097</v>
      </c>
    </row>
    <row r="608" spans="1:7">
      <c r="A608" t="s">
        <v>4342</v>
      </c>
      <c r="G608" t="s">
        <v>4327</v>
      </c>
    </row>
    <row r="609" spans="1:7">
      <c r="A609" t="s">
        <v>4353</v>
      </c>
      <c r="G609" t="s">
        <v>4327</v>
      </c>
    </row>
    <row r="610" spans="1:7">
      <c r="A610" t="s">
        <v>4038</v>
      </c>
      <c r="B610">
        <v>5531097</v>
      </c>
      <c r="G610" t="s">
        <v>4327</v>
      </c>
    </row>
    <row r="611" spans="1:7">
      <c r="A611" t="s">
        <v>4255</v>
      </c>
      <c r="G611" t="s">
        <v>4327</v>
      </c>
    </row>
    <row r="612" spans="1:7">
      <c r="A612" t="s">
        <v>4303</v>
      </c>
      <c r="G612" t="s">
        <v>4327</v>
      </c>
    </row>
    <row r="613" spans="1:7">
      <c r="A613" t="s">
        <v>4215</v>
      </c>
      <c r="B613">
        <v>5523097</v>
      </c>
      <c r="G613" t="s">
        <v>4327</v>
      </c>
    </row>
    <row r="614" spans="1:7">
      <c r="A614" t="s">
        <v>4394</v>
      </c>
      <c r="G614" t="s">
        <v>4327</v>
      </c>
    </row>
    <row r="615" spans="1:7">
      <c r="A615" t="s">
        <v>4085</v>
      </c>
      <c r="G615" t="s">
        <v>4327</v>
      </c>
    </row>
    <row r="616" spans="1:7">
      <c r="A616" t="s">
        <v>4258</v>
      </c>
      <c r="G616" t="s">
        <v>4327</v>
      </c>
    </row>
    <row r="617" spans="1:7">
      <c r="A617" t="s">
        <v>4395</v>
      </c>
      <c r="G617" t="s">
        <v>4327</v>
      </c>
    </row>
    <row r="618" spans="1:7">
      <c r="A618" t="s">
        <v>4396</v>
      </c>
      <c r="G618" t="s">
        <v>4327</v>
      </c>
    </row>
    <row r="619" spans="1:7">
      <c r="A619" t="s">
        <v>4269</v>
      </c>
      <c r="G619" t="s">
        <v>4397</v>
      </c>
    </row>
    <row r="620" spans="1:7">
      <c r="A620" t="s">
        <v>4276</v>
      </c>
      <c r="G620" t="s">
        <v>4397</v>
      </c>
    </row>
    <row r="621" spans="1:7">
      <c r="A621" t="s">
        <v>4398</v>
      </c>
      <c r="G621" t="s">
        <v>4397</v>
      </c>
    </row>
    <row r="622" spans="1:7">
      <c r="A622" t="s">
        <v>4399</v>
      </c>
      <c r="G622" t="s">
        <v>4397</v>
      </c>
    </row>
    <row r="623" spans="1:7">
      <c r="A623" t="s">
        <v>4400</v>
      </c>
      <c r="G623" t="s">
        <v>4401</v>
      </c>
    </row>
    <row r="624" spans="1:7">
      <c r="A624" t="s">
        <v>4288</v>
      </c>
      <c r="G624" t="s">
        <v>4401</v>
      </c>
    </row>
    <row r="625" spans="1:7">
      <c r="A625" t="s">
        <v>4165</v>
      </c>
      <c r="G625" t="s">
        <v>4401</v>
      </c>
    </row>
    <row r="626" spans="1:7">
      <c r="A626" t="s">
        <v>4402</v>
      </c>
      <c r="G626" t="s">
        <v>4401</v>
      </c>
    </row>
    <row r="627" spans="1:7">
      <c r="A627" t="s">
        <v>4272</v>
      </c>
      <c r="G627" t="s">
        <v>4401</v>
      </c>
    </row>
    <row r="628" spans="1:7">
      <c r="A628" t="s">
        <v>4403</v>
      </c>
      <c r="G628" t="s">
        <v>4401</v>
      </c>
    </row>
    <row r="629" spans="1:8">
      <c r="A629" t="s">
        <v>4265</v>
      </c>
      <c r="G629" t="s">
        <v>4401</v>
      </c>
      <c r="H629">
        <v>5275097</v>
      </c>
    </row>
    <row r="630" spans="1:7">
      <c r="A630" t="s">
        <v>4271</v>
      </c>
      <c r="G630" t="s">
        <v>4401</v>
      </c>
    </row>
    <row r="631" spans="1:7">
      <c r="A631" t="s">
        <v>4404</v>
      </c>
      <c r="G631" t="s">
        <v>4401</v>
      </c>
    </row>
    <row r="632" spans="1:7">
      <c r="A632" t="s">
        <v>4116</v>
      </c>
      <c r="G632" t="s">
        <v>4401</v>
      </c>
    </row>
    <row r="633" spans="1:7">
      <c r="A633" t="s">
        <v>4261</v>
      </c>
      <c r="G633" t="s">
        <v>4401</v>
      </c>
    </row>
    <row r="634" spans="1:7">
      <c r="A634" t="s">
        <v>4257</v>
      </c>
      <c r="G634" t="s">
        <v>4401</v>
      </c>
    </row>
    <row r="635" spans="1:7">
      <c r="A635" t="s">
        <v>4327</v>
      </c>
      <c r="B635">
        <v>5522097</v>
      </c>
      <c r="G635" t="s">
        <v>4401</v>
      </c>
    </row>
    <row r="636" spans="1:7">
      <c r="A636" t="s">
        <v>4187</v>
      </c>
      <c r="G636" t="s">
        <v>4401</v>
      </c>
    </row>
    <row r="637" spans="1:7">
      <c r="A637" t="s">
        <v>4250</v>
      </c>
      <c r="G637" t="s">
        <v>4401</v>
      </c>
    </row>
    <row r="638" spans="1:7">
      <c r="A638" t="s">
        <v>4254</v>
      </c>
      <c r="G638" t="s">
        <v>4401</v>
      </c>
    </row>
    <row r="639" spans="1:8">
      <c r="A639" t="s">
        <v>4035</v>
      </c>
      <c r="G639" t="s">
        <v>4401</v>
      </c>
      <c r="H639">
        <v>5160097</v>
      </c>
    </row>
    <row r="640" spans="1:7">
      <c r="A640" t="s">
        <v>4249</v>
      </c>
      <c r="B640">
        <v>5530097</v>
      </c>
      <c r="G640" t="s">
        <v>4401</v>
      </c>
    </row>
    <row r="641" spans="1:7">
      <c r="A641" t="s">
        <v>4303</v>
      </c>
      <c r="G641" t="s">
        <v>4401</v>
      </c>
    </row>
    <row r="642" spans="1:7">
      <c r="A642" t="s">
        <v>4405</v>
      </c>
      <c r="G642" t="s">
        <v>4401</v>
      </c>
    </row>
    <row r="643" spans="1:7">
      <c r="A643" t="s">
        <v>4274</v>
      </c>
      <c r="G643" t="s">
        <v>4401</v>
      </c>
    </row>
    <row r="644" spans="1:7">
      <c r="A644" t="s">
        <v>4085</v>
      </c>
      <c r="G644" t="s">
        <v>4401</v>
      </c>
    </row>
    <row r="645" spans="1:7">
      <c r="A645" t="s">
        <v>4258</v>
      </c>
      <c r="G645" t="s">
        <v>4406</v>
      </c>
    </row>
    <row r="646" spans="1:7">
      <c r="A646" t="s">
        <v>4395</v>
      </c>
      <c r="G646" t="s">
        <v>4407</v>
      </c>
    </row>
    <row r="647" spans="1:7">
      <c r="A647" t="s">
        <v>4055</v>
      </c>
      <c r="G647" t="s">
        <v>4407</v>
      </c>
    </row>
    <row r="648" spans="1:7">
      <c r="A648" t="s">
        <v>4408</v>
      </c>
      <c r="G648" t="s">
        <v>4111</v>
      </c>
    </row>
    <row r="649" spans="1:7">
      <c r="A649" t="s">
        <v>4398</v>
      </c>
      <c r="G649" t="s">
        <v>4199</v>
      </c>
    </row>
    <row r="650" spans="1:7">
      <c r="A650" t="s">
        <v>4400</v>
      </c>
      <c r="G650" t="s">
        <v>4199</v>
      </c>
    </row>
    <row r="651" spans="1:7">
      <c r="A651" t="s">
        <v>4402</v>
      </c>
      <c r="G651" t="s">
        <v>4314</v>
      </c>
    </row>
    <row r="652" spans="1:7">
      <c r="A652" t="s">
        <v>4255</v>
      </c>
      <c r="G652" t="s">
        <v>4314</v>
      </c>
    </row>
    <row r="653" spans="1:8">
      <c r="A653" t="s">
        <v>4272</v>
      </c>
      <c r="G653" t="s">
        <v>4409</v>
      </c>
      <c r="H653">
        <v>5351097</v>
      </c>
    </row>
    <row r="654" spans="1:7">
      <c r="A654" t="s">
        <v>4265</v>
      </c>
      <c r="G654" t="s">
        <v>4409</v>
      </c>
    </row>
    <row r="655" spans="1:7">
      <c r="A655" t="s">
        <v>4271</v>
      </c>
      <c r="G655" t="s">
        <v>4228</v>
      </c>
    </row>
    <row r="656" spans="1:7">
      <c r="A656" t="s">
        <v>4276</v>
      </c>
      <c r="G656" t="s">
        <v>4410</v>
      </c>
    </row>
    <row r="657" spans="1:8">
      <c r="A657" t="s">
        <v>4404</v>
      </c>
      <c r="B657">
        <v>5521097</v>
      </c>
      <c r="G657" t="s">
        <v>4411</v>
      </c>
      <c r="H657">
        <v>5015097</v>
      </c>
    </row>
    <row r="658" spans="1:7">
      <c r="A658" t="s">
        <v>4257</v>
      </c>
      <c r="G658" t="s">
        <v>4412</v>
      </c>
    </row>
    <row r="659" spans="1:7">
      <c r="A659" t="s">
        <v>4187</v>
      </c>
      <c r="G659" t="s">
        <v>4413</v>
      </c>
    </row>
    <row r="660" spans="1:7">
      <c r="A660" t="s">
        <v>4250</v>
      </c>
      <c r="G660" t="s">
        <v>3981</v>
      </c>
    </row>
    <row r="661" spans="1:7">
      <c r="A661" t="s">
        <v>4254</v>
      </c>
      <c r="G661" t="s">
        <v>4414</v>
      </c>
    </row>
    <row r="662" spans="1:7">
      <c r="A662" t="s">
        <v>4165</v>
      </c>
      <c r="G662" t="s">
        <v>4414</v>
      </c>
    </row>
    <row r="663" spans="1:7">
      <c r="A663" t="s">
        <v>4256</v>
      </c>
      <c r="G663" t="s">
        <v>4415</v>
      </c>
    </row>
    <row r="664" spans="1:7">
      <c r="A664" t="s">
        <v>4165</v>
      </c>
      <c r="B664">
        <v>5529097</v>
      </c>
      <c r="G664" t="s">
        <v>4415</v>
      </c>
    </row>
    <row r="665" spans="1:7">
      <c r="A665" t="s">
        <v>4416</v>
      </c>
      <c r="G665" t="s">
        <v>4415</v>
      </c>
    </row>
    <row r="666" spans="1:7">
      <c r="A666" t="s">
        <v>4055</v>
      </c>
      <c r="G666" t="s">
        <v>4415</v>
      </c>
    </row>
    <row r="667" spans="1:7">
      <c r="A667" t="s">
        <v>4215</v>
      </c>
      <c r="G667" t="s">
        <v>4415</v>
      </c>
    </row>
    <row r="668" spans="1:7">
      <c r="A668" t="s">
        <v>4394</v>
      </c>
      <c r="G668" t="s">
        <v>4415</v>
      </c>
    </row>
    <row r="669" spans="1:7">
      <c r="A669" t="s">
        <v>4405</v>
      </c>
      <c r="G669" t="s">
        <v>4415</v>
      </c>
    </row>
    <row r="670" spans="1:7">
      <c r="A670" t="s">
        <v>4265</v>
      </c>
      <c r="G670" t="s">
        <v>4415</v>
      </c>
    </row>
    <row r="671" spans="1:7">
      <c r="A671" t="s">
        <v>4085</v>
      </c>
      <c r="G671" t="s">
        <v>4299</v>
      </c>
    </row>
    <row r="672" spans="1:7">
      <c r="A672" t="s">
        <v>4258</v>
      </c>
      <c r="G672" t="s">
        <v>4257</v>
      </c>
    </row>
    <row r="673" spans="1:7">
      <c r="A673" t="s">
        <v>4259</v>
      </c>
      <c r="G673" t="s">
        <v>4257</v>
      </c>
    </row>
    <row r="674" spans="1:7">
      <c r="A674" t="s">
        <v>4408</v>
      </c>
      <c r="G674" t="s">
        <v>4257</v>
      </c>
    </row>
    <row r="675" spans="1:7">
      <c r="A675" t="s">
        <v>4395</v>
      </c>
      <c r="B675">
        <v>5520097</v>
      </c>
      <c r="G675" t="s">
        <v>4257</v>
      </c>
    </row>
    <row r="676" spans="1:7">
      <c r="A676" t="s">
        <v>4398</v>
      </c>
      <c r="G676" t="s">
        <v>4257</v>
      </c>
    </row>
    <row r="677" spans="1:7">
      <c r="A677" t="s">
        <v>4400</v>
      </c>
      <c r="G677" t="s">
        <v>4417</v>
      </c>
    </row>
    <row r="678" spans="1:7">
      <c r="A678" t="s">
        <v>4269</v>
      </c>
      <c r="G678" t="s">
        <v>4417</v>
      </c>
    </row>
    <row r="679" spans="1:7">
      <c r="A679" t="s">
        <v>4418</v>
      </c>
      <c r="G679" t="s">
        <v>4417</v>
      </c>
    </row>
    <row r="680" spans="1:8">
      <c r="A680" t="s">
        <v>4256</v>
      </c>
      <c r="G680" t="s">
        <v>4417</v>
      </c>
      <c r="H680">
        <v>4942097</v>
      </c>
    </row>
    <row r="681" spans="1:7">
      <c r="A681" t="s">
        <v>4272</v>
      </c>
      <c r="G681" t="s">
        <v>4417</v>
      </c>
    </row>
    <row r="682" spans="1:7">
      <c r="A682" t="s">
        <v>4403</v>
      </c>
      <c r="G682" t="s">
        <v>4417</v>
      </c>
    </row>
    <row r="683" spans="1:8">
      <c r="A683" t="s">
        <v>4271</v>
      </c>
      <c r="G683" t="s">
        <v>4417</v>
      </c>
      <c r="H683">
        <v>4935097</v>
      </c>
    </row>
    <row r="684" spans="1:7">
      <c r="A684" t="s">
        <v>4276</v>
      </c>
      <c r="G684" t="s">
        <v>4417</v>
      </c>
    </row>
    <row r="685" spans="1:7">
      <c r="A685" t="s">
        <v>4404</v>
      </c>
      <c r="G685" t="s">
        <v>4417</v>
      </c>
    </row>
    <row r="686" spans="1:7">
      <c r="A686" t="s">
        <v>4261</v>
      </c>
      <c r="G686" t="s">
        <v>4419</v>
      </c>
    </row>
    <row r="687" spans="1:7">
      <c r="A687" t="s">
        <v>4257</v>
      </c>
      <c r="G687" t="s">
        <v>4420</v>
      </c>
    </row>
    <row r="688" spans="1:7">
      <c r="A688" t="s">
        <v>4187</v>
      </c>
      <c r="G688" t="s">
        <v>4420</v>
      </c>
    </row>
    <row r="689" spans="1:7">
      <c r="A689" t="s">
        <v>4250</v>
      </c>
      <c r="B689">
        <v>5519097</v>
      </c>
      <c r="G689" t="s">
        <v>4420</v>
      </c>
    </row>
    <row r="690" spans="1:7">
      <c r="A690" t="s">
        <v>4254</v>
      </c>
      <c r="G690" t="s">
        <v>4420</v>
      </c>
    </row>
    <row r="691" spans="1:7">
      <c r="A691" t="s">
        <v>4402</v>
      </c>
      <c r="G691" t="s">
        <v>4420</v>
      </c>
    </row>
    <row r="692" spans="1:7">
      <c r="A692" t="s">
        <v>4255</v>
      </c>
      <c r="G692" t="s">
        <v>4420</v>
      </c>
    </row>
    <row r="693" spans="1:8">
      <c r="A693" t="s">
        <v>4303</v>
      </c>
      <c r="G693" t="s">
        <v>4421</v>
      </c>
      <c r="H693">
        <v>5285097</v>
      </c>
    </row>
    <row r="694" spans="1:7">
      <c r="A694" t="s">
        <v>4264</v>
      </c>
      <c r="B694">
        <v>5527097</v>
      </c>
      <c r="G694" t="s">
        <v>4421</v>
      </c>
    </row>
    <row r="695" spans="1:7">
      <c r="A695" t="s">
        <v>4263</v>
      </c>
      <c r="G695" t="s">
        <v>4422</v>
      </c>
    </row>
    <row r="696" spans="1:7">
      <c r="A696" t="s">
        <v>4255</v>
      </c>
      <c r="G696" t="s">
        <v>4422</v>
      </c>
    </row>
    <row r="697" spans="1:7">
      <c r="A697" t="s">
        <v>4303</v>
      </c>
      <c r="G697" t="s">
        <v>4422</v>
      </c>
    </row>
    <row r="698" spans="1:7">
      <c r="A698" t="s">
        <v>4215</v>
      </c>
      <c r="G698" t="s">
        <v>4422</v>
      </c>
    </row>
    <row r="699" spans="1:7">
      <c r="A699" t="s">
        <v>4265</v>
      </c>
      <c r="G699" t="s">
        <v>4422</v>
      </c>
    </row>
    <row r="700" spans="1:7">
      <c r="A700" t="s">
        <v>4085</v>
      </c>
      <c r="G700" t="s">
        <v>4422</v>
      </c>
    </row>
    <row r="701" spans="1:7">
      <c r="A701" t="s">
        <v>4258</v>
      </c>
      <c r="G701" t="s">
        <v>4422</v>
      </c>
    </row>
    <row r="702" spans="1:7">
      <c r="A702" t="s">
        <v>4276</v>
      </c>
      <c r="G702" t="s">
        <v>4422</v>
      </c>
    </row>
    <row r="703" spans="1:7">
      <c r="A703" t="s">
        <v>4249</v>
      </c>
      <c r="G703" t="s">
        <v>4422</v>
      </c>
    </row>
    <row r="704" spans="1:7">
      <c r="A704" t="s">
        <v>4423</v>
      </c>
      <c r="G704" t="s">
        <v>4422</v>
      </c>
    </row>
    <row r="705" spans="1:7">
      <c r="A705" t="s">
        <v>4395</v>
      </c>
      <c r="G705" t="s">
        <v>4422</v>
      </c>
    </row>
    <row r="706" spans="1:7">
      <c r="A706" t="s">
        <v>4398</v>
      </c>
      <c r="G706" t="s">
        <v>4422</v>
      </c>
    </row>
    <row r="707" spans="1:7">
      <c r="A707" t="s">
        <v>4400</v>
      </c>
      <c r="G707" t="s">
        <v>4424</v>
      </c>
    </row>
    <row r="708" spans="1:7">
      <c r="A708" t="s">
        <v>4327</v>
      </c>
      <c r="G708" t="s">
        <v>4424</v>
      </c>
    </row>
    <row r="709" spans="1:7">
      <c r="A709" t="s">
        <v>4402</v>
      </c>
      <c r="B709">
        <v>5517097</v>
      </c>
      <c r="G709" t="s">
        <v>4425</v>
      </c>
    </row>
    <row r="710" spans="1:7">
      <c r="A710" t="s">
        <v>4256</v>
      </c>
      <c r="G710" t="s">
        <v>4425</v>
      </c>
    </row>
    <row r="711" spans="1:7">
      <c r="A711" t="s">
        <v>4272</v>
      </c>
      <c r="G711" t="s">
        <v>4425</v>
      </c>
    </row>
    <row r="712" spans="1:7">
      <c r="A712" t="s">
        <v>4403</v>
      </c>
      <c r="G712" t="s">
        <v>4425</v>
      </c>
    </row>
    <row r="713" spans="1:7">
      <c r="A713" t="s">
        <v>4271</v>
      </c>
      <c r="G713" t="s">
        <v>4425</v>
      </c>
    </row>
    <row r="714" spans="1:8">
      <c r="A714" t="s">
        <v>4404</v>
      </c>
      <c r="G714" t="s">
        <v>4425</v>
      </c>
      <c r="H714">
        <v>5417097</v>
      </c>
    </row>
    <row r="715" spans="1:7">
      <c r="A715" t="s">
        <v>4261</v>
      </c>
      <c r="G715" t="s">
        <v>4425</v>
      </c>
    </row>
    <row r="716" spans="1:7">
      <c r="A716" t="s">
        <v>4257</v>
      </c>
      <c r="G716" t="s">
        <v>4425</v>
      </c>
    </row>
    <row r="717" spans="1:7">
      <c r="A717" t="s">
        <v>4187</v>
      </c>
      <c r="G717" t="s">
        <v>4425</v>
      </c>
    </row>
    <row r="718" spans="1:7">
      <c r="A718" t="s">
        <v>4250</v>
      </c>
      <c r="G718" t="s">
        <v>4425</v>
      </c>
    </row>
    <row r="719" spans="1:7">
      <c r="A719" t="s">
        <v>4399</v>
      </c>
      <c r="G719" t="s">
        <v>4425</v>
      </c>
    </row>
    <row r="720" spans="1:7">
      <c r="A720" t="s">
        <v>4254</v>
      </c>
      <c r="G720" t="s">
        <v>4425</v>
      </c>
    </row>
    <row r="721" spans="1:8">
      <c r="A721" t="s">
        <v>4269</v>
      </c>
      <c r="G721" t="s">
        <v>4425</v>
      </c>
      <c r="H721">
        <v>5193097</v>
      </c>
    </row>
    <row r="722" spans="1:8">
      <c r="A722" t="s">
        <v>4165</v>
      </c>
      <c r="G722" t="s">
        <v>4425</v>
      </c>
      <c r="H722">
        <v>5134097</v>
      </c>
    </row>
    <row r="723" spans="1:7">
      <c r="A723" t="s">
        <v>4259</v>
      </c>
      <c r="B723">
        <v>5524097</v>
      </c>
      <c r="G723" t="s">
        <v>4425</v>
      </c>
    </row>
    <row r="724" spans="1:7">
      <c r="A724" t="s">
        <v>4215</v>
      </c>
      <c r="G724" t="s">
        <v>4426</v>
      </c>
    </row>
    <row r="725" spans="1:7">
      <c r="A725" t="s">
        <v>4085</v>
      </c>
      <c r="G725" t="s">
        <v>4426</v>
      </c>
    </row>
    <row r="726" spans="1:7">
      <c r="A726" t="s">
        <v>4272</v>
      </c>
      <c r="G726" t="s">
        <v>4426</v>
      </c>
    </row>
    <row r="727" spans="1:7">
      <c r="A727" t="s">
        <v>4404</v>
      </c>
      <c r="G727" t="s">
        <v>4426</v>
      </c>
    </row>
    <row r="728" spans="1:7">
      <c r="A728" t="s">
        <v>4258</v>
      </c>
      <c r="G728" t="s">
        <v>4226</v>
      </c>
    </row>
    <row r="729" spans="1:7">
      <c r="A729" t="s">
        <v>4256</v>
      </c>
      <c r="G729" t="s">
        <v>4226</v>
      </c>
    </row>
    <row r="730" spans="1:7">
      <c r="A730" t="s">
        <v>4400</v>
      </c>
      <c r="G730" t="s">
        <v>4226</v>
      </c>
    </row>
    <row r="731" spans="1:7">
      <c r="A731" t="s">
        <v>4427</v>
      </c>
      <c r="G731" t="s">
        <v>4226</v>
      </c>
    </row>
    <row r="732" spans="1:7">
      <c r="A732" t="s">
        <v>4038</v>
      </c>
      <c r="B732">
        <v>5514097</v>
      </c>
      <c r="G732" t="s">
        <v>4226</v>
      </c>
    </row>
    <row r="733" spans="1:7">
      <c r="A733" t="s">
        <v>4255</v>
      </c>
      <c r="G733" t="s">
        <v>4428</v>
      </c>
    </row>
    <row r="734" spans="1:8">
      <c r="A734" t="s">
        <v>4089</v>
      </c>
      <c r="G734" t="s">
        <v>4429</v>
      </c>
      <c r="H734">
        <v>5150097</v>
      </c>
    </row>
    <row r="735" spans="1:7">
      <c r="A735" t="s">
        <v>4430</v>
      </c>
      <c r="G735" t="s">
        <v>4165</v>
      </c>
    </row>
    <row r="736" spans="1:7">
      <c r="A736" t="s">
        <v>4254</v>
      </c>
      <c r="G736" t="s">
        <v>4165</v>
      </c>
    </row>
    <row r="737" spans="1:7">
      <c r="A737" t="s">
        <v>4251</v>
      </c>
      <c r="G737" t="s">
        <v>4165</v>
      </c>
    </row>
    <row r="738" spans="1:7">
      <c r="A738" t="s">
        <v>4402</v>
      </c>
      <c r="G738" t="s">
        <v>4165</v>
      </c>
    </row>
    <row r="739" spans="1:7">
      <c r="A739" t="s">
        <v>4403</v>
      </c>
      <c r="G739" t="s">
        <v>4165</v>
      </c>
    </row>
    <row r="740" spans="1:8">
      <c r="A740" t="s">
        <v>4276</v>
      </c>
      <c r="G740" t="s">
        <v>4165</v>
      </c>
      <c r="H740">
        <v>5529097</v>
      </c>
    </row>
    <row r="741" spans="1:7">
      <c r="A741" t="s">
        <v>4261</v>
      </c>
      <c r="G741" t="s">
        <v>4165</v>
      </c>
    </row>
    <row r="742" spans="1:7">
      <c r="A742" t="s">
        <v>4165</v>
      </c>
      <c r="G742" t="s">
        <v>4165</v>
      </c>
    </row>
    <row r="743" spans="1:7">
      <c r="A743" t="s">
        <v>4265</v>
      </c>
      <c r="B743">
        <v>5523097</v>
      </c>
      <c r="G743" t="s">
        <v>4165</v>
      </c>
    </row>
    <row r="744" spans="1:7">
      <c r="A744" t="s">
        <v>4427</v>
      </c>
      <c r="G744" t="s">
        <v>4165</v>
      </c>
    </row>
    <row r="745" spans="1:7">
      <c r="A745" t="s">
        <v>4327</v>
      </c>
      <c r="G745" t="s">
        <v>4165</v>
      </c>
    </row>
    <row r="746" spans="1:7">
      <c r="A746" t="s">
        <v>4258</v>
      </c>
      <c r="B746">
        <v>5513097</v>
      </c>
      <c r="G746" t="s">
        <v>4165</v>
      </c>
    </row>
    <row r="747" spans="1:7">
      <c r="A747" t="s">
        <v>4255</v>
      </c>
      <c r="G747" t="s">
        <v>4165</v>
      </c>
    </row>
    <row r="748" spans="1:7">
      <c r="A748" t="s">
        <v>4404</v>
      </c>
      <c r="G748" t="s">
        <v>4165</v>
      </c>
    </row>
    <row r="749" spans="1:7">
      <c r="A749" t="s">
        <v>4250</v>
      </c>
      <c r="G749" t="s">
        <v>4165</v>
      </c>
    </row>
    <row r="750" spans="1:7">
      <c r="A750" t="s">
        <v>4197</v>
      </c>
      <c r="G750" t="s">
        <v>4165</v>
      </c>
    </row>
    <row r="751" spans="1:7">
      <c r="A751" t="s">
        <v>4165</v>
      </c>
      <c r="G751" t="s">
        <v>4165</v>
      </c>
    </row>
    <row r="752" spans="1:7">
      <c r="A752" t="s">
        <v>4431</v>
      </c>
      <c r="G752" t="s">
        <v>4165</v>
      </c>
    </row>
    <row r="753" spans="1:7">
      <c r="A753" t="s">
        <v>4432</v>
      </c>
      <c r="G753" t="s">
        <v>4165</v>
      </c>
    </row>
    <row r="754" spans="1:7">
      <c r="A754" t="s">
        <v>4085</v>
      </c>
      <c r="G754" t="s">
        <v>4165</v>
      </c>
    </row>
    <row r="755" spans="1:7">
      <c r="A755" t="s">
        <v>4430</v>
      </c>
      <c r="G755" t="s">
        <v>4165</v>
      </c>
    </row>
    <row r="756" spans="1:7">
      <c r="A756" t="s">
        <v>4038</v>
      </c>
      <c r="G756" t="s">
        <v>4165</v>
      </c>
    </row>
    <row r="757" spans="1:7">
      <c r="A757" t="s">
        <v>4400</v>
      </c>
      <c r="G757" t="s">
        <v>4165</v>
      </c>
    </row>
    <row r="758" spans="1:7">
      <c r="A758" t="s">
        <v>4433</v>
      </c>
      <c r="G758" t="s">
        <v>4165</v>
      </c>
    </row>
    <row r="759" spans="1:7">
      <c r="A759" t="s">
        <v>4434</v>
      </c>
      <c r="G759" t="s">
        <v>4165</v>
      </c>
    </row>
    <row r="760" spans="1:7">
      <c r="A760" t="s">
        <v>4408</v>
      </c>
      <c r="G760" t="s">
        <v>4165</v>
      </c>
    </row>
    <row r="761" spans="1:7">
      <c r="A761" t="s">
        <v>4089</v>
      </c>
      <c r="G761" t="s">
        <v>4165</v>
      </c>
    </row>
    <row r="762" spans="1:7">
      <c r="A762" t="s">
        <v>4256</v>
      </c>
      <c r="G762" t="s">
        <v>4165</v>
      </c>
    </row>
    <row r="763" spans="1:7">
      <c r="A763" t="s">
        <v>4215</v>
      </c>
      <c r="B763">
        <v>5512097</v>
      </c>
      <c r="G763" t="s">
        <v>4165</v>
      </c>
    </row>
    <row r="764" spans="1:7">
      <c r="A764" t="s">
        <v>4276</v>
      </c>
      <c r="G764" t="s">
        <v>4165</v>
      </c>
    </row>
    <row r="765" spans="1:7">
      <c r="A765" t="s">
        <v>4427</v>
      </c>
      <c r="B765">
        <v>5522097</v>
      </c>
      <c r="G765" t="s">
        <v>4165</v>
      </c>
    </row>
    <row r="766" spans="1:7">
      <c r="A766" t="s">
        <v>4085</v>
      </c>
      <c r="G766" t="s">
        <v>4165</v>
      </c>
    </row>
    <row r="767" spans="1:8">
      <c r="A767" t="s">
        <v>4276</v>
      </c>
      <c r="G767" t="s">
        <v>4165</v>
      </c>
      <c r="H767">
        <v>5175097</v>
      </c>
    </row>
    <row r="768" spans="1:7">
      <c r="A768" t="s">
        <v>4255</v>
      </c>
      <c r="G768" t="s">
        <v>4165</v>
      </c>
    </row>
    <row r="769" spans="1:7">
      <c r="A769" t="s">
        <v>4135</v>
      </c>
      <c r="G769" t="s">
        <v>4165</v>
      </c>
    </row>
    <row r="770" spans="1:7">
      <c r="A770" t="s">
        <v>4258</v>
      </c>
      <c r="G770" t="s">
        <v>4165</v>
      </c>
    </row>
    <row r="771" spans="1:7">
      <c r="A771" t="s">
        <v>4404</v>
      </c>
      <c r="G771" t="s">
        <v>4435</v>
      </c>
    </row>
    <row r="772" spans="1:7">
      <c r="A772" t="s">
        <v>4303</v>
      </c>
      <c r="G772" t="s">
        <v>4436</v>
      </c>
    </row>
    <row r="773" spans="1:7">
      <c r="A773" t="s">
        <v>4200</v>
      </c>
      <c r="G773" t="s">
        <v>4436</v>
      </c>
    </row>
    <row r="774" spans="1:7">
      <c r="A774" t="s">
        <v>4197</v>
      </c>
      <c r="B774">
        <v>5509097</v>
      </c>
      <c r="G774" t="s">
        <v>4436</v>
      </c>
    </row>
    <row r="775" spans="1:7">
      <c r="A775" t="s">
        <v>4165</v>
      </c>
      <c r="G775" t="s">
        <v>4436</v>
      </c>
    </row>
    <row r="776" spans="1:7">
      <c r="A776" t="s">
        <v>4055</v>
      </c>
      <c r="G776" t="s">
        <v>4436</v>
      </c>
    </row>
    <row r="777" spans="1:7">
      <c r="A777" t="s">
        <v>4215</v>
      </c>
      <c r="G777" t="s">
        <v>4437</v>
      </c>
    </row>
    <row r="778" spans="1:7">
      <c r="A778" t="s">
        <v>4265</v>
      </c>
      <c r="G778" t="s">
        <v>4437</v>
      </c>
    </row>
    <row r="779" spans="1:7">
      <c r="A779" t="s">
        <v>4430</v>
      </c>
      <c r="G779" t="s">
        <v>4437</v>
      </c>
    </row>
    <row r="780" spans="1:7">
      <c r="A780" t="s">
        <v>4038</v>
      </c>
      <c r="G780" t="s">
        <v>4437</v>
      </c>
    </row>
    <row r="781" spans="1:7">
      <c r="A781" t="s">
        <v>4433</v>
      </c>
      <c r="G781" t="s">
        <v>4437</v>
      </c>
    </row>
    <row r="782" spans="1:7">
      <c r="A782" t="s">
        <v>4249</v>
      </c>
      <c r="G782" t="s">
        <v>4437</v>
      </c>
    </row>
    <row r="783" spans="1:7">
      <c r="A783" t="s">
        <v>4089</v>
      </c>
      <c r="B783">
        <v>5508097</v>
      </c>
      <c r="G783" t="s">
        <v>4437</v>
      </c>
    </row>
    <row r="784" spans="1:7">
      <c r="A784" t="s">
        <v>4431</v>
      </c>
      <c r="G784" t="s">
        <v>4437</v>
      </c>
    </row>
    <row r="785" spans="1:7">
      <c r="A785" t="s">
        <v>4256</v>
      </c>
      <c r="G785" t="s">
        <v>4437</v>
      </c>
    </row>
    <row r="786" spans="1:7">
      <c r="A786" t="s">
        <v>4432</v>
      </c>
      <c r="G786" t="s">
        <v>4437</v>
      </c>
    </row>
    <row r="787" spans="1:7">
      <c r="A787" t="s">
        <v>4265</v>
      </c>
      <c r="B787">
        <v>5521097</v>
      </c>
      <c r="G787" t="s">
        <v>4437</v>
      </c>
    </row>
    <row r="788" spans="1:7">
      <c r="A788" t="s">
        <v>4427</v>
      </c>
      <c r="G788" t="s">
        <v>4437</v>
      </c>
    </row>
    <row r="789" spans="1:7">
      <c r="A789" t="s">
        <v>4197</v>
      </c>
      <c r="G789" t="s">
        <v>4437</v>
      </c>
    </row>
    <row r="790" spans="1:7">
      <c r="A790" t="s">
        <v>4408</v>
      </c>
      <c r="G790" t="s">
        <v>4437</v>
      </c>
    </row>
    <row r="791" spans="1:7">
      <c r="A791" t="s">
        <v>4327</v>
      </c>
      <c r="G791" t="s">
        <v>4437</v>
      </c>
    </row>
    <row r="792" spans="1:7">
      <c r="A792" t="s">
        <v>4258</v>
      </c>
      <c r="G792" t="s">
        <v>4437</v>
      </c>
    </row>
    <row r="793" spans="1:7">
      <c r="A793" t="s">
        <v>4255</v>
      </c>
      <c r="G793" t="s">
        <v>4437</v>
      </c>
    </row>
    <row r="794" spans="1:7">
      <c r="A794" t="s">
        <v>4404</v>
      </c>
      <c r="G794" t="s">
        <v>4437</v>
      </c>
    </row>
    <row r="795" spans="1:7">
      <c r="A795" t="s">
        <v>4165</v>
      </c>
      <c r="G795" t="s">
        <v>4438</v>
      </c>
    </row>
    <row r="796" spans="1:7">
      <c r="A796" t="s">
        <v>4085</v>
      </c>
      <c r="G796" t="s">
        <v>4439</v>
      </c>
    </row>
    <row r="797" spans="1:8">
      <c r="A797" t="s">
        <v>4432</v>
      </c>
      <c r="G797" t="s">
        <v>4439</v>
      </c>
      <c r="H797">
        <v>5495097</v>
      </c>
    </row>
    <row r="798" spans="1:7">
      <c r="A798" t="s">
        <v>4434</v>
      </c>
      <c r="G798" t="s">
        <v>4439</v>
      </c>
    </row>
    <row r="799" spans="1:7">
      <c r="A799" t="s">
        <v>4440</v>
      </c>
      <c r="G799" t="s">
        <v>4439</v>
      </c>
    </row>
    <row r="800" spans="1:7">
      <c r="A800" t="s">
        <v>4048</v>
      </c>
      <c r="G800" t="s">
        <v>4439</v>
      </c>
    </row>
    <row r="801" spans="1:7">
      <c r="A801" t="s">
        <v>4089</v>
      </c>
      <c r="G801" t="s">
        <v>4439</v>
      </c>
    </row>
    <row r="802" spans="1:7">
      <c r="A802" t="s">
        <v>4256</v>
      </c>
      <c r="G802" t="s">
        <v>4439</v>
      </c>
    </row>
    <row r="803" spans="1:7">
      <c r="A803" t="s">
        <v>4431</v>
      </c>
      <c r="G803" t="s">
        <v>4439</v>
      </c>
    </row>
    <row r="804" spans="1:7">
      <c r="A804" t="s">
        <v>4276</v>
      </c>
      <c r="G804" t="s">
        <v>4439</v>
      </c>
    </row>
    <row r="805" spans="1:7">
      <c r="A805" t="s">
        <v>4265</v>
      </c>
      <c r="B805">
        <v>5520097</v>
      </c>
      <c r="G805" t="s">
        <v>4439</v>
      </c>
    </row>
    <row r="806" spans="1:7">
      <c r="A806" t="s">
        <v>4427</v>
      </c>
      <c r="G806" t="s">
        <v>4439</v>
      </c>
    </row>
    <row r="807" spans="1:7">
      <c r="A807" t="s">
        <v>4197</v>
      </c>
      <c r="G807" t="s">
        <v>4439</v>
      </c>
    </row>
    <row r="808" spans="1:7">
      <c r="A808" t="s">
        <v>4258</v>
      </c>
      <c r="G808" t="s">
        <v>4439</v>
      </c>
    </row>
    <row r="809" spans="1:7">
      <c r="A809" t="s">
        <v>4255</v>
      </c>
      <c r="G809" t="s">
        <v>4439</v>
      </c>
    </row>
    <row r="810" spans="1:7">
      <c r="A810" t="s">
        <v>4404</v>
      </c>
      <c r="G810" t="s">
        <v>4439</v>
      </c>
    </row>
    <row r="811" spans="1:7">
      <c r="A811" t="s">
        <v>4303</v>
      </c>
      <c r="G811" t="s">
        <v>4439</v>
      </c>
    </row>
    <row r="812" spans="1:7">
      <c r="A812" t="s">
        <v>4085</v>
      </c>
      <c r="G812" t="s">
        <v>4439</v>
      </c>
    </row>
    <row r="813" spans="1:7">
      <c r="A813" t="s">
        <v>4432</v>
      </c>
      <c r="G813" t="s">
        <v>4439</v>
      </c>
    </row>
    <row r="814" spans="1:7">
      <c r="A814" t="s">
        <v>4327</v>
      </c>
      <c r="G814" t="s">
        <v>4439</v>
      </c>
    </row>
    <row r="815" spans="1:7">
      <c r="A815" t="s">
        <v>4089</v>
      </c>
      <c r="G815" t="s">
        <v>4439</v>
      </c>
    </row>
    <row r="816" spans="1:7">
      <c r="A816" t="s">
        <v>4256</v>
      </c>
      <c r="G816" t="s">
        <v>4439</v>
      </c>
    </row>
    <row r="817" spans="1:7">
      <c r="A817" t="s">
        <v>4165</v>
      </c>
      <c r="G817" t="s">
        <v>4439</v>
      </c>
    </row>
    <row r="818" spans="1:7">
      <c r="A818" t="s">
        <v>4276</v>
      </c>
      <c r="B818">
        <v>5507097</v>
      </c>
      <c r="G818" t="s">
        <v>4439</v>
      </c>
    </row>
    <row r="819" spans="1:7">
      <c r="A819" t="s">
        <v>4080</v>
      </c>
      <c r="B819">
        <v>5519097</v>
      </c>
      <c r="G819" t="s">
        <v>4439</v>
      </c>
    </row>
    <row r="820" spans="1:7">
      <c r="A820" t="s">
        <v>4085</v>
      </c>
      <c r="G820" t="s">
        <v>4441</v>
      </c>
    </row>
    <row r="821" spans="1:7">
      <c r="A821" t="s">
        <v>4276</v>
      </c>
      <c r="G821" t="s">
        <v>4442</v>
      </c>
    </row>
    <row r="822" spans="1:8">
      <c r="A822" t="s">
        <v>4427</v>
      </c>
      <c r="G822" t="s">
        <v>4443</v>
      </c>
      <c r="H822">
        <v>5211097</v>
      </c>
    </row>
    <row r="823" spans="1:7">
      <c r="A823" t="s">
        <v>4135</v>
      </c>
      <c r="G823" t="s">
        <v>4444</v>
      </c>
    </row>
    <row r="824" spans="1:7">
      <c r="A824" t="s">
        <v>4288</v>
      </c>
      <c r="G824" t="s">
        <v>4444</v>
      </c>
    </row>
    <row r="825" spans="1:7">
      <c r="A825" t="s">
        <v>4258</v>
      </c>
      <c r="G825" t="s">
        <v>4444</v>
      </c>
    </row>
    <row r="826" spans="1:7">
      <c r="A826" t="s">
        <v>4255</v>
      </c>
      <c r="G826" t="s">
        <v>4444</v>
      </c>
    </row>
    <row r="827" spans="1:7">
      <c r="A827" t="s">
        <v>4404</v>
      </c>
      <c r="G827" t="s">
        <v>4445</v>
      </c>
    </row>
    <row r="828" spans="1:7">
      <c r="A828" t="s">
        <v>4250</v>
      </c>
      <c r="G828" t="s">
        <v>4445</v>
      </c>
    </row>
    <row r="829" spans="1:7">
      <c r="A829" t="s">
        <v>4446</v>
      </c>
      <c r="G829" t="s">
        <v>4445</v>
      </c>
    </row>
    <row r="830" spans="1:7">
      <c r="A830" t="s">
        <v>4165</v>
      </c>
      <c r="G830" t="s">
        <v>3984</v>
      </c>
    </row>
    <row r="831" spans="1:8">
      <c r="A831" t="s">
        <v>4112</v>
      </c>
      <c r="G831" t="s">
        <v>4447</v>
      </c>
      <c r="H831">
        <v>5477097</v>
      </c>
    </row>
    <row r="832" spans="1:7">
      <c r="A832" t="s">
        <v>4432</v>
      </c>
      <c r="B832">
        <v>5504097</v>
      </c>
      <c r="G832" t="s">
        <v>4447</v>
      </c>
    </row>
    <row r="833" spans="1:7">
      <c r="A833" t="s">
        <v>4265</v>
      </c>
      <c r="G833" t="s">
        <v>4447</v>
      </c>
    </row>
    <row r="834" spans="1:7">
      <c r="A834" t="s">
        <v>4327</v>
      </c>
      <c r="G834" t="s">
        <v>4447</v>
      </c>
    </row>
    <row r="835" spans="1:7">
      <c r="A835" t="s">
        <v>4089</v>
      </c>
      <c r="G835" t="s">
        <v>4082</v>
      </c>
    </row>
    <row r="836" spans="1:7">
      <c r="A836" t="s">
        <v>4269</v>
      </c>
      <c r="G836" t="s">
        <v>4082</v>
      </c>
    </row>
    <row r="837" spans="1:7">
      <c r="A837" t="s">
        <v>4256</v>
      </c>
      <c r="G837" t="s">
        <v>4082</v>
      </c>
    </row>
    <row r="838" spans="1:7">
      <c r="A838" t="s">
        <v>4197</v>
      </c>
      <c r="G838" t="s">
        <v>4082</v>
      </c>
    </row>
    <row r="839" spans="1:7">
      <c r="A839" t="s">
        <v>4448</v>
      </c>
      <c r="B839">
        <v>5517097</v>
      </c>
      <c r="G839" t="s">
        <v>4082</v>
      </c>
    </row>
    <row r="840" spans="1:7">
      <c r="A840" t="s">
        <v>4449</v>
      </c>
      <c r="G840" t="s">
        <v>4082</v>
      </c>
    </row>
    <row r="841" spans="1:7">
      <c r="A841" t="s">
        <v>4276</v>
      </c>
      <c r="G841" t="s">
        <v>4082</v>
      </c>
    </row>
    <row r="842" spans="1:7">
      <c r="A842" t="s">
        <v>4450</v>
      </c>
      <c r="G842" t="s">
        <v>4082</v>
      </c>
    </row>
    <row r="843" spans="1:7">
      <c r="A843" t="s">
        <v>4087</v>
      </c>
      <c r="G843" t="s">
        <v>4082</v>
      </c>
    </row>
    <row r="844" spans="1:7">
      <c r="A844" t="s">
        <v>4258</v>
      </c>
      <c r="G844" t="s">
        <v>4082</v>
      </c>
    </row>
    <row r="845" spans="1:7">
      <c r="A845" t="s">
        <v>4154</v>
      </c>
      <c r="G845" t="s">
        <v>4082</v>
      </c>
    </row>
    <row r="846" spans="1:7">
      <c r="A846" t="s">
        <v>4115</v>
      </c>
      <c r="G846" t="s">
        <v>4082</v>
      </c>
    </row>
    <row r="847" spans="1:7">
      <c r="A847" t="s">
        <v>4080</v>
      </c>
      <c r="B847">
        <v>5503097</v>
      </c>
      <c r="G847" t="s">
        <v>4082</v>
      </c>
    </row>
    <row r="848" spans="1:7">
      <c r="A848" t="s">
        <v>4451</v>
      </c>
      <c r="G848" t="s">
        <v>4082</v>
      </c>
    </row>
    <row r="849" spans="1:7">
      <c r="A849" t="s">
        <v>4234</v>
      </c>
      <c r="G849" t="s">
        <v>4082</v>
      </c>
    </row>
    <row r="850" spans="1:7">
      <c r="A850" t="s">
        <v>4452</v>
      </c>
      <c r="G850" t="s">
        <v>4082</v>
      </c>
    </row>
    <row r="851" spans="1:7">
      <c r="A851" t="s">
        <v>4453</v>
      </c>
      <c r="G851" t="s">
        <v>4082</v>
      </c>
    </row>
    <row r="852" spans="1:7">
      <c r="A852" t="s">
        <v>4122</v>
      </c>
      <c r="G852" t="s">
        <v>4082</v>
      </c>
    </row>
    <row r="853" spans="1:7">
      <c r="A853" t="s">
        <v>4454</v>
      </c>
      <c r="G853" t="s">
        <v>4082</v>
      </c>
    </row>
    <row r="854" spans="1:7">
      <c r="A854" t="s">
        <v>4205</v>
      </c>
      <c r="G854" t="s">
        <v>4082</v>
      </c>
    </row>
    <row r="855" spans="1:7">
      <c r="A855" t="s">
        <v>4048</v>
      </c>
      <c r="G855" t="s">
        <v>4082</v>
      </c>
    </row>
    <row r="856" spans="1:7">
      <c r="A856" t="s">
        <v>4136</v>
      </c>
      <c r="G856" t="s">
        <v>4082</v>
      </c>
    </row>
    <row r="857" spans="1:7">
      <c r="A857" t="s">
        <v>4127</v>
      </c>
      <c r="G857" t="s">
        <v>4082</v>
      </c>
    </row>
    <row r="858" spans="1:7">
      <c r="A858" t="s">
        <v>4079</v>
      </c>
      <c r="G858" t="s">
        <v>4082</v>
      </c>
    </row>
    <row r="859" spans="1:7">
      <c r="A859" t="s">
        <v>4455</v>
      </c>
      <c r="G859" t="s">
        <v>4082</v>
      </c>
    </row>
    <row r="860" spans="1:7">
      <c r="A860" t="s">
        <v>4456</v>
      </c>
      <c r="G860" t="s">
        <v>4082</v>
      </c>
    </row>
    <row r="861" spans="1:7">
      <c r="A861" t="s">
        <v>4457</v>
      </c>
      <c r="G861" t="s">
        <v>4082</v>
      </c>
    </row>
    <row r="862" spans="1:7">
      <c r="A862" t="s">
        <v>4427</v>
      </c>
      <c r="B862">
        <v>5514097</v>
      </c>
      <c r="G862" t="s">
        <v>4082</v>
      </c>
    </row>
    <row r="863" spans="1:7">
      <c r="A863" t="s">
        <v>4085</v>
      </c>
      <c r="G863" t="s">
        <v>4082</v>
      </c>
    </row>
    <row r="864" spans="1:7">
      <c r="A864" t="s">
        <v>4276</v>
      </c>
      <c r="G864" t="s">
        <v>4082</v>
      </c>
    </row>
    <row r="865" spans="1:7">
      <c r="A865" t="s">
        <v>4255</v>
      </c>
      <c r="G865" t="s">
        <v>4082</v>
      </c>
    </row>
    <row r="866" spans="1:7">
      <c r="A866" t="s">
        <v>4197</v>
      </c>
      <c r="G866" t="s">
        <v>4082</v>
      </c>
    </row>
    <row r="867" spans="1:7">
      <c r="A867" t="s">
        <v>4265</v>
      </c>
      <c r="G867" t="s">
        <v>4082</v>
      </c>
    </row>
    <row r="868" spans="1:7">
      <c r="A868" t="s">
        <v>4258</v>
      </c>
      <c r="G868" t="s">
        <v>4082</v>
      </c>
    </row>
    <row r="869" spans="1:7">
      <c r="A869" t="s">
        <v>4327</v>
      </c>
      <c r="G869" t="s">
        <v>4082</v>
      </c>
    </row>
    <row r="870" spans="1:7">
      <c r="A870" t="s">
        <v>4165</v>
      </c>
      <c r="G870" t="s">
        <v>4082</v>
      </c>
    </row>
    <row r="871" spans="1:7">
      <c r="A871" t="s">
        <v>4432</v>
      </c>
      <c r="G871" t="s">
        <v>4082</v>
      </c>
    </row>
    <row r="872" spans="1:7">
      <c r="A872" t="s">
        <v>4089</v>
      </c>
      <c r="G872" t="s">
        <v>4082</v>
      </c>
    </row>
    <row r="873" spans="1:8">
      <c r="A873" t="s">
        <v>4458</v>
      </c>
      <c r="G873" t="s">
        <v>4082</v>
      </c>
      <c r="H873">
        <v>5208097</v>
      </c>
    </row>
    <row r="874" spans="1:7">
      <c r="A874" t="s">
        <v>4256</v>
      </c>
      <c r="G874" t="s">
        <v>4082</v>
      </c>
    </row>
    <row r="875" spans="1:7">
      <c r="A875" t="s">
        <v>4404</v>
      </c>
      <c r="G875" t="s">
        <v>4082</v>
      </c>
    </row>
    <row r="876" spans="1:7">
      <c r="A876" t="s">
        <v>4427</v>
      </c>
      <c r="B876">
        <v>5513097</v>
      </c>
      <c r="G876" t="s">
        <v>4082</v>
      </c>
    </row>
    <row r="877" spans="1:7">
      <c r="A877" t="s">
        <v>4085</v>
      </c>
      <c r="G877" t="s">
        <v>4082</v>
      </c>
    </row>
    <row r="878" spans="1:7">
      <c r="A878" t="s">
        <v>4276</v>
      </c>
      <c r="B878">
        <v>5500097</v>
      </c>
      <c r="G878" t="s">
        <v>4082</v>
      </c>
    </row>
    <row r="879" spans="1:7">
      <c r="A879" t="s">
        <v>4197</v>
      </c>
      <c r="G879" t="s">
        <v>4082</v>
      </c>
    </row>
    <row r="880" spans="1:7">
      <c r="A880" t="s">
        <v>4265</v>
      </c>
      <c r="G880" t="s">
        <v>4082</v>
      </c>
    </row>
    <row r="881" spans="1:7">
      <c r="A881" t="s">
        <v>4258</v>
      </c>
      <c r="G881" t="s">
        <v>4082</v>
      </c>
    </row>
    <row r="882" spans="1:7">
      <c r="A882" t="s">
        <v>4255</v>
      </c>
      <c r="G882" t="s">
        <v>4082</v>
      </c>
    </row>
    <row r="883" spans="1:7">
      <c r="A883" t="s">
        <v>4459</v>
      </c>
      <c r="G883" t="s">
        <v>4004</v>
      </c>
    </row>
    <row r="884" spans="1:7">
      <c r="A884" t="s">
        <v>4327</v>
      </c>
      <c r="G884" t="s">
        <v>4004</v>
      </c>
    </row>
    <row r="885" spans="1:7">
      <c r="A885" t="s">
        <v>4200</v>
      </c>
      <c r="G885" t="s">
        <v>4004</v>
      </c>
    </row>
    <row r="886" spans="1:7">
      <c r="A886" t="s">
        <v>4165</v>
      </c>
      <c r="G886" t="s">
        <v>4004</v>
      </c>
    </row>
    <row r="887" spans="1:7">
      <c r="A887" t="s">
        <v>4432</v>
      </c>
      <c r="G887" t="s">
        <v>4004</v>
      </c>
    </row>
    <row r="888" spans="1:7">
      <c r="A888" t="s">
        <v>4430</v>
      </c>
      <c r="G888" t="s">
        <v>4460</v>
      </c>
    </row>
    <row r="889" spans="1:7">
      <c r="A889" t="s">
        <v>4089</v>
      </c>
      <c r="G889" t="s">
        <v>4461</v>
      </c>
    </row>
    <row r="890" spans="1:7">
      <c r="A890" t="s">
        <v>4462</v>
      </c>
      <c r="G890" t="s">
        <v>4461</v>
      </c>
    </row>
    <row r="891" spans="1:7">
      <c r="A891" t="s">
        <v>4256</v>
      </c>
      <c r="G891" t="s">
        <v>4025</v>
      </c>
    </row>
    <row r="892" spans="1:7">
      <c r="A892" t="s">
        <v>4404</v>
      </c>
      <c r="G892" t="s">
        <v>4463</v>
      </c>
    </row>
    <row r="893" spans="1:7">
      <c r="A893" t="s">
        <v>4116</v>
      </c>
      <c r="B893">
        <v>5512097</v>
      </c>
      <c r="G893" t="s">
        <v>4463</v>
      </c>
    </row>
    <row r="894" spans="1:7">
      <c r="A894" t="s">
        <v>4307</v>
      </c>
      <c r="G894" t="s">
        <v>4463</v>
      </c>
    </row>
    <row r="895" spans="1:7">
      <c r="A895" t="s">
        <v>4035</v>
      </c>
      <c r="G895" t="s">
        <v>4463</v>
      </c>
    </row>
    <row r="896" spans="1:7">
      <c r="A896" t="s">
        <v>4258</v>
      </c>
      <c r="G896" t="s">
        <v>4463</v>
      </c>
    </row>
    <row r="897" spans="1:7">
      <c r="A897" t="s">
        <v>4464</v>
      </c>
      <c r="G897" t="s">
        <v>4463</v>
      </c>
    </row>
    <row r="898" spans="1:7">
      <c r="A898" t="s">
        <v>4465</v>
      </c>
      <c r="G898" t="s">
        <v>4466</v>
      </c>
    </row>
    <row r="899" spans="1:8">
      <c r="A899" t="s">
        <v>4467</v>
      </c>
      <c r="G899" t="s">
        <v>4468</v>
      </c>
      <c r="H899">
        <v>5292097</v>
      </c>
    </row>
    <row r="900" spans="1:7">
      <c r="A900" t="s">
        <v>4293</v>
      </c>
      <c r="G900" t="s">
        <v>4469</v>
      </c>
    </row>
    <row r="901" spans="1:7">
      <c r="A901" t="s">
        <v>4272</v>
      </c>
      <c r="G901" t="s">
        <v>4469</v>
      </c>
    </row>
    <row r="902" spans="1:8">
      <c r="A902" t="s">
        <v>4187</v>
      </c>
      <c r="G902" t="s">
        <v>4469</v>
      </c>
      <c r="H902">
        <v>5415097</v>
      </c>
    </row>
    <row r="903" spans="1:7">
      <c r="A903" t="s">
        <v>4424</v>
      </c>
      <c r="G903" t="s">
        <v>4470</v>
      </c>
    </row>
    <row r="904" spans="1:7">
      <c r="A904" t="s">
        <v>4303</v>
      </c>
      <c r="B904">
        <v>5509097</v>
      </c>
      <c r="G904" t="s">
        <v>4471</v>
      </c>
    </row>
    <row r="905" spans="1:7">
      <c r="A905" t="s">
        <v>4258</v>
      </c>
      <c r="G905" t="s">
        <v>4471</v>
      </c>
    </row>
    <row r="906" spans="1:7">
      <c r="A906" t="s">
        <v>4250</v>
      </c>
      <c r="G906" t="s">
        <v>4471</v>
      </c>
    </row>
    <row r="907" spans="1:8">
      <c r="A907" t="s">
        <v>4276</v>
      </c>
      <c r="B907">
        <v>5499097</v>
      </c>
      <c r="G907" t="s">
        <v>4471</v>
      </c>
      <c r="H907">
        <v>5314097</v>
      </c>
    </row>
    <row r="908" spans="1:7">
      <c r="A908" t="s">
        <v>4215</v>
      </c>
      <c r="G908" t="s">
        <v>4363</v>
      </c>
    </row>
    <row r="909" spans="1:7">
      <c r="A909" t="s">
        <v>4154</v>
      </c>
      <c r="G909" t="s">
        <v>4363</v>
      </c>
    </row>
    <row r="910" spans="1:7">
      <c r="A910" t="s">
        <v>4252</v>
      </c>
      <c r="G910" t="s">
        <v>4363</v>
      </c>
    </row>
    <row r="911" spans="1:7">
      <c r="A911" t="s">
        <v>4104</v>
      </c>
      <c r="G911" t="s">
        <v>4363</v>
      </c>
    </row>
    <row r="912" spans="1:7">
      <c r="A912" t="s">
        <v>4226</v>
      </c>
      <c r="G912" t="s">
        <v>4363</v>
      </c>
    </row>
    <row r="913" spans="1:8">
      <c r="A913" t="s">
        <v>4104</v>
      </c>
      <c r="B913">
        <v>5508097</v>
      </c>
      <c r="G913" t="s">
        <v>4363</v>
      </c>
      <c r="H913">
        <v>5385097</v>
      </c>
    </row>
    <row r="914" spans="1:7">
      <c r="A914" t="s">
        <v>4374</v>
      </c>
      <c r="G914" t="s">
        <v>4363</v>
      </c>
    </row>
    <row r="915" spans="1:7">
      <c r="A915" t="s">
        <v>4233</v>
      </c>
      <c r="G915" t="s">
        <v>4363</v>
      </c>
    </row>
    <row r="916" spans="1:7">
      <c r="A916" t="s">
        <v>4113</v>
      </c>
      <c r="G916" t="s">
        <v>4363</v>
      </c>
    </row>
    <row r="917" spans="1:7">
      <c r="A917" t="s">
        <v>4205</v>
      </c>
      <c r="G917" t="s">
        <v>4363</v>
      </c>
    </row>
    <row r="918" spans="1:7">
      <c r="A918" t="s">
        <v>4472</v>
      </c>
      <c r="G918" t="s">
        <v>4363</v>
      </c>
    </row>
    <row r="919" spans="1:7">
      <c r="A919" t="s">
        <v>4075</v>
      </c>
      <c r="G919" t="s">
        <v>4363</v>
      </c>
    </row>
    <row r="920" spans="1:7">
      <c r="A920" t="s">
        <v>4245</v>
      </c>
      <c r="G920" t="s">
        <v>4363</v>
      </c>
    </row>
    <row r="921" spans="1:7">
      <c r="A921" t="s">
        <v>4473</v>
      </c>
      <c r="G921" t="s">
        <v>4363</v>
      </c>
    </row>
    <row r="922" spans="1:8">
      <c r="A922" t="s">
        <v>4107</v>
      </c>
      <c r="G922" t="s">
        <v>4363</v>
      </c>
      <c r="H922">
        <v>5116097</v>
      </c>
    </row>
    <row r="923" spans="1:7">
      <c r="A923" t="s">
        <v>4186</v>
      </c>
      <c r="G923" t="s">
        <v>4363</v>
      </c>
    </row>
    <row r="924" spans="1:7">
      <c r="A924" t="s">
        <v>4055</v>
      </c>
      <c r="G924" t="s">
        <v>4363</v>
      </c>
    </row>
    <row r="925" spans="1:8">
      <c r="A925" t="s">
        <v>4126</v>
      </c>
      <c r="G925" t="s">
        <v>4363</v>
      </c>
      <c r="H925">
        <v>5060097</v>
      </c>
    </row>
    <row r="926" spans="1:8">
      <c r="A926" t="s">
        <v>4009</v>
      </c>
      <c r="G926" t="s">
        <v>4363</v>
      </c>
      <c r="H926">
        <v>5059097</v>
      </c>
    </row>
    <row r="927" spans="1:7">
      <c r="A927" t="s">
        <v>4088</v>
      </c>
      <c r="G927" t="s">
        <v>4363</v>
      </c>
    </row>
    <row r="928" spans="1:7">
      <c r="A928" t="s">
        <v>4086</v>
      </c>
      <c r="G928" t="s">
        <v>4363</v>
      </c>
    </row>
    <row r="929" spans="1:7">
      <c r="A929" t="s">
        <v>4375</v>
      </c>
      <c r="G929" t="s">
        <v>4363</v>
      </c>
    </row>
    <row r="930" spans="1:7">
      <c r="A930" t="s">
        <v>4474</v>
      </c>
      <c r="G930" t="s">
        <v>4363</v>
      </c>
    </row>
    <row r="931" spans="1:7">
      <c r="A931" t="s">
        <v>4286</v>
      </c>
      <c r="G931" t="s">
        <v>4363</v>
      </c>
    </row>
    <row r="932" spans="1:7">
      <c r="A932" t="s">
        <v>4258</v>
      </c>
      <c r="G932" t="s">
        <v>4363</v>
      </c>
    </row>
    <row r="933" spans="1:7">
      <c r="A933" t="s">
        <v>4475</v>
      </c>
      <c r="G933" t="s">
        <v>4363</v>
      </c>
    </row>
    <row r="934" spans="1:7">
      <c r="A934" t="s">
        <v>4182</v>
      </c>
      <c r="B934">
        <v>5496097</v>
      </c>
      <c r="G934" t="s">
        <v>4363</v>
      </c>
    </row>
    <row r="935" spans="1:7">
      <c r="A935" t="s">
        <v>4445</v>
      </c>
      <c r="G935" t="s">
        <v>4363</v>
      </c>
    </row>
    <row r="936" spans="1:8">
      <c r="A936" t="s">
        <v>4136</v>
      </c>
      <c r="G936" t="s">
        <v>4363</v>
      </c>
      <c r="H936">
        <v>4915097</v>
      </c>
    </row>
    <row r="937" spans="1:7">
      <c r="A937" t="s">
        <v>4476</v>
      </c>
      <c r="G937" t="s">
        <v>4363</v>
      </c>
    </row>
    <row r="938" spans="1:7">
      <c r="A938" t="s">
        <v>4393</v>
      </c>
      <c r="G938" t="s">
        <v>4363</v>
      </c>
    </row>
    <row r="939" spans="1:7">
      <c r="A939" t="s">
        <v>4122</v>
      </c>
      <c r="G939" t="s">
        <v>4363</v>
      </c>
    </row>
    <row r="940" spans="1:8">
      <c r="A940" t="s">
        <v>4369</v>
      </c>
      <c r="G940" t="s">
        <v>4363</v>
      </c>
      <c r="H940">
        <v>4909097</v>
      </c>
    </row>
    <row r="941" spans="1:8">
      <c r="A941" t="s">
        <v>4112</v>
      </c>
      <c r="G941" t="s">
        <v>4363</v>
      </c>
      <c r="H941">
        <v>4890097</v>
      </c>
    </row>
    <row r="942" spans="1:7">
      <c r="A942" t="s">
        <v>4477</v>
      </c>
      <c r="G942" t="s">
        <v>4363</v>
      </c>
    </row>
    <row r="943" spans="1:7">
      <c r="A943" t="s">
        <v>4211</v>
      </c>
      <c r="G943" t="s">
        <v>4363</v>
      </c>
    </row>
    <row r="944" spans="1:7">
      <c r="A944" t="s">
        <v>4478</v>
      </c>
      <c r="G944" t="s">
        <v>4363</v>
      </c>
    </row>
    <row r="945" spans="1:7">
      <c r="A945" t="s">
        <v>4098</v>
      </c>
      <c r="G945" t="s">
        <v>4363</v>
      </c>
    </row>
    <row r="946" spans="1:7">
      <c r="A946" t="s">
        <v>4194</v>
      </c>
      <c r="G946" t="s">
        <v>4363</v>
      </c>
    </row>
    <row r="947" spans="1:7">
      <c r="A947" t="s">
        <v>4479</v>
      </c>
      <c r="G947" t="s">
        <v>4363</v>
      </c>
    </row>
    <row r="948" spans="1:7">
      <c r="A948" t="s">
        <v>4197</v>
      </c>
      <c r="B948">
        <v>5507097</v>
      </c>
      <c r="G948" t="s">
        <v>4363</v>
      </c>
    </row>
    <row r="949" spans="1:7">
      <c r="A949" t="s">
        <v>4215</v>
      </c>
      <c r="G949" t="s">
        <v>4363</v>
      </c>
    </row>
    <row r="950" spans="1:7">
      <c r="A950" t="s">
        <v>4085</v>
      </c>
      <c r="G950" t="s">
        <v>4363</v>
      </c>
    </row>
    <row r="951" spans="1:7">
      <c r="A951" t="s">
        <v>4258</v>
      </c>
      <c r="G951" t="s">
        <v>4363</v>
      </c>
    </row>
    <row r="952" spans="1:7">
      <c r="A952" t="s">
        <v>4269</v>
      </c>
      <c r="G952" t="s">
        <v>4363</v>
      </c>
    </row>
    <row r="953" spans="1:7">
      <c r="A953" t="s">
        <v>4272</v>
      </c>
      <c r="G953" t="s">
        <v>4363</v>
      </c>
    </row>
    <row r="954" spans="1:7">
      <c r="A954" t="s">
        <v>4256</v>
      </c>
      <c r="G954" t="s">
        <v>4363</v>
      </c>
    </row>
    <row r="955" spans="1:8">
      <c r="A955" t="s">
        <v>4165</v>
      </c>
      <c r="G955" t="s">
        <v>4363</v>
      </c>
      <c r="H955">
        <v>4779097</v>
      </c>
    </row>
    <row r="956" spans="1:7">
      <c r="A956" t="s">
        <v>4263</v>
      </c>
      <c r="G956" t="s">
        <v>4363</v>
      </c>
    </row>
    <row r="957" spans="1:7">
      <c r="A957" t="s">
        <v>4344</v>
      </c>
      <c r="G957" t="s">
        <v>4363</v>
      </c>
    </row>
    <row r="958" spans="1:7">
      <c r="A958" t="s">
        <v>4261</v>
      </c>
      <c r="G958" t="s">
        <v>4363</v>
      </c>
    </row>
    <row r="959" spans="1:7">
      <c r="A959" t="s">
        <v>4187</v>
      </c>
      <c r="G959" t="s">
        <v>4363</v>
      </c>
    </row>
    <row r="960" spans="1:7">
      <c r="A960" t="s">
        <v>4254</v>
      </c>
      <c r="G960" t="s">
        <v>4363</v>
      </c>
    </row>
    <row r="961" spans="1:7">
      <c r="A961" t="s">
        <v>4403</v>
      </c>
      <c r="G961" t="s">
        <v>4363</v>
      </c>
    </row>
    <row r="962" spans="1:7">
      <c r="A962" t="s">
        <v>4334</v>
      </c>
      <c r="B962">
        <v>5504097</v>
      </c>
      <c r="G962" t="s">
        <v>4363</v>
      </c>
    </row>
    <row r="963" spans="1:7">
      <c r="A963" t="s">
        <v>4347</v>
      </c>
      <c r="B963">
        <v>5495097</v>
      </c>
      <c r="G963" t="s">
        <v>4363</v>
      </c>
    </row>
    <row r="964" spans="1:8">
      <c r="A964" t="s">
        <v>4480</v>
      </c>
      <c r="G964" t="s">
        <v>4363</v>
      </c>
      <c r="H964">
        <v>4730097</v>
      </c>
    </row>
    <row r="965" spans="1:7">
      <c r="A965" t="s">
        <v>4481</v>
      </c>
      <c r="G965" t="s">
        <v>4363</v>
      </c>
    </row>
    <row r="966" spans="1:7">
      <c r="A966" t="s">
        <v>4331</v>
      </c>
      <c r="G966" t="s">
        <v>4482</v>
      </c>
    </row>
    <row r="967" spans="1:7">
      <c r="A967" t="s">
        <v>4356</v>
      </c>
      <c r="G967" t="s">
        <v>4157</v>
      </c>
    </row>
    <row r="968" spans="1:8">
      <c r="A968" t="s">
        <v>4359</v>
      </c>
      <c r="G968" t="s">
        <v>4157</v>
      </c>
      <c r="H968">
        <v>5444097</v>
      </c>
    </row>
    <row r="969" spans="1:7">
      <c r="A969" t="s">
        <v>4483</v>
      </c>
      <c r="G969" t="s">
        <v>4157</v>
      </c>
    </row>
    <row r="970" spans="1:7">
      <c r="A970" t="s">
        <v>4387</v>
      </c>
      <c r="G970" t="s">
        <v>4157</v>
      </c>
    </row>
    <row r="971" spans="1:7">
      <c r="A971" t="s">
        <v>4377</v>
      </c>
      <c r="G971" t="s">
        <v>4157</v>
      </c>
    </row>
    <row r="972" spans="1:7">
      <c r="A972" t="s">
        <v>4484</v>
      </c>
      <c r="G972" t="s">
        <v>4157</v>
      </c>
    </row>
    <row r="973" spans="1:7">
      <c r="A973" t="s">
        <v>4485</v>
      </c>
      <c r="G973" t="s">
        <v>4157</v>
      </c>
    </row>
    <row r="974" spans="1:7">
      <c r="A974" t="s">
        <v>4363</v>
      </c>
      <c r="G974" t="s">
        <v>4157</v>
      </c>
    </row>
    <row r="975" spans="1:8">
      <c r="A975" t="s">
        <v>4352</v>
      </c>
      <c r="G975" t="s">
        <v>4157</v>
      </c>
      <c r="H975">
        <v>5253097</v>
      </c>
    </row>
    <row r="976" spans="1:7">
      <c r="A976" t="s">
        <v>4358</v>
      </c>
      <c r="G976" t="s">
        <v>4157</v>
      </c>
    </row>
    <row r="977" spans="1:7">
      <c r="A977" t="s">
        <v>4304</v>
      </c>
      <c r="B977">
        <v>5503097</v>
      </c>
      <c r="G977" t="s">
        <v>4486</v>
      </c>
    </row>
    <row r="978" spans="1:7">
      <c r="A978" t="s">
        <v>4487</v>
      </c>
      <c r="G978" t="s">
        <v>4373</v>
      </c>
    </row>
    <row r="979" spans="1:7">
      <c r="A979" t="s">
        <v>3987</v>
      </c>
      <c r="G979" t="s">
        <v>4373</v>
      </c>
    </row>
    <row r="980" spans="1:7">
      <c r="A980" t="s">
        <v>4018</v>
      </c>
      <c r="G980" t="s">
        <v>4373</v>
      </c>
    </row>
    <row r="981" spans="1:8">
      <c r="A981" t="s">
        <v>3976</v>
      </c>
      <c r="G981" t="s">
        <v>4373</v>
      </c>
      <c r="H981">
        <v>5375097</v>
      </c>
    </row>
    <row r="982" spans="1:7">
      <c r="A982" t="s">
        <v>4004</v>
      </c>
      <c r="G982" t="s">
        <v>4373</v>
      </c>
    </row>
    <row r="983" spans="1:7">
      <c r="A983" t="s">
        <v>4488</v>
      </c>
      <c r="G983" t="s">
        <v>4373</v>
      </c>
    </row>
    <row r="984" spans="1:7">
      <c r="A984" t="s">
        <v>4226</v>
      </c>
      <c r="G984" t="s">
        <v>4373</v>
      </c>
    </row>
    <row r="985" spans="1:7">
      <c r="A985" t="s">
        <v>4307</v>
      </c>
      <c r="G985" t="s">
        <v>4489</v>
      </c>
    </row>
    <row r="986" spans="1:7">
      <c r="A986" t="s">
        <v>4490</v>
      </c>
      <c r="G986" t="s">
        <v>4489</v>
      </c>
    </row>
    <row r="987" spans="1:7">
      <c r="A987" t="s">
        <v>4491</v>
      </c>
      <c r="G987" t="s">
        <v>4492</v>
      </c>
    </row>
    <row r="988" spans="1:7">
      <c r="A988" t="s">
        <v>4305</v>
      </c>
      <c r="G988" t="s">
        <v>4492</v>
      </c>
    </row>
    <row r="989" spans="1:7">
      <c r="A989" t="s">
        <v>4493</v>
      </c>
      <c r="G989" t="s">
        <v>4492</v>
      </c>
    </row>
    <row r="990" spans="1:7">
      <c r="A990" t="s">
        <v>4494</v>
      </c>
      <c r="G990" t="s">
        <v>4068</v>
      </c>
    </row>
    <row r="991" spans="1:7">
      <c r="A991" t="s">
        <v>4495</v>
      </c>
      <c r="G991" t="s">
        <v>4068</v>
      </c>
    </row>
    <row r="992" spans="1:7">
      <c r="A992" t="s">
        <v>4027</v>
      </c>
      <c r="G992" t="s">
        <v>4496</v>
      </c>
    </row>
    <row r="993" spans="1:7">
      <c r="A993" t="s">
        <v>4497</v>
      </c>
      <c r="G993" t="s">
        <v>4496</v>
      </c>
    </row>
    <row r="994" spans="1:7">
      <c r="A994" t="s">
        <v>4002</v>
      </c>
      <c r="G994" t="s">
        <v>4446</v>
      </c>
    </row>
    <row r="995" spans="1:7">
      <c r="A995" t="s">
        <v>4309</v>
      </c>
      <c r="G995" t="s">
        <v>4498</v>
      </c>
    </row>
    <row r="996" spans="1:7">
      <c r="A996" t="s">
        <v>4406</v>
      </c>
      <c r="G996" t="s">
        <v>4498</v>
      </c>
    </row>
    <row r="997" spans="1:7">
      <c r="A997" t="s">
        <v>4499</v>
      </c>
      <c r="G997" t="s">
        <v>4498</v>
      </c>
    </row>
    <row r="998" spans="1:7">
      <c r="A998" t="s">
        <v>4488</v>
      </c>
      <c r="G998" t="s">
        <v>4500</v>
      </c>
    </row>
    <row r="999" spans="1:7">
      <c r="A999" t="s">
        <v>4501</v>
      </c>
      <c r="G999" t="s">
        <v>4502</v>
      </c>
    </row>
    <row r="1000" spans="1:7">
      <c r="A1000" t="s">
        <v>4294</v>
      </c>
      <c r="G1000" t="s">
        <v>4502</v>
      </c>
    </row>
    <row r="1001" spans="1:7">
      <c r="A1001" t="s">
        <v>4503</v>
      </c>
      <c r="G1001" t="s">
        <v>4502</v>
      </c>
    </row>
    <row r="1002" spans="1:7">
      <c r="A1002" t="s">
        <v>3979</v>
      </c>
      <c r="G1002" t="s">
        <v>4504</v>
      </c>
    </row>
    <row r="1003" spans="1:7">
      <c r="A1003" t="s">
        <v>4505</v>
      </c>
      <c r="G1003" t="s">
        <v>4504</v>
      </c>
    </row>
    <row r="1004" spans="1:7">
      <c r="A1004" t="s">
        <v>4506</v>
      </c>
      <c r="G1004" t="s">
        <v>4507</v>
      </c>
    </row>
    <row r="1005" spans="1:7">
      <c r="A1005" t="s">
        <v>4508</v>
      </c>
      <c r="G1005" t="s">
        <v>4324</v>
      </c>
    </row>
    <row r="1006" spans="1:8">
      <c r="A1006" t="s">
        <v>4509</v>
      </c>
      <c r="G1006" t="s">
        <v>4324</v>
      </c>
      <c r="H1006">
        <v>5099097</v>
      </c>
    </row>
    <row r="1007" spans="1:7">
      <c r="A1007" t="s">
        <v>4510</v>
      </c>
      <c r="B1007">
        <v>5494097</v>
      </c>
      <c r="G1007" t="s">
        <v>4324</v>
      </c>
    </row>
    <row r="1008" spans="1:7">
      <c r="A1008" t="s">
        <v>4128</v>
      </c>
      <c r="B1008">
        <v>5500097</v>
      </c>
      <c r="G1008" t="s">
        <v>4324</v>
      </c>
    </row>
    <row r="1009" spans="1:7">
      <c r="A1009" t="s">
        <v>4113</v>
      </c>
      <c r="G1009" t="s">
        <v>4324</v>
      </c>
    </row>
    <row r="1010" spans="1:8">
      <c r="A1010" t="s">
        <v>4205</v>
      </c>
      <c r="G1010" t="s">
        <v>4511</v>
      </c>
      <c r="H1010">
        <v>4784097</v>
      </c>
    </row>
    <row r="1011" spans="1:7">
      <c r="A1011" t="s">
        <v>4245</v>
      </c>
      <c r="G1011" t="s">
        <v>4511</v>
      </c>
    </row>
    <row r="1012" spans="1:8">
      <c r="A1012" t="s">
        <v>4122</v>
      </c>
      <c r="G1012" t="s">
        <v>4511</v>
      </c>
      <c r="H1012">
        <v>4705097</v>
      </c>
    </row>
    <row r="1013" spans="1:7">
      <c r="A1013" t="s">
        <v>4473</v>
      </c>
      <c r="G1013" t="s">
        <v>4512</v>
      </c>
    </row>
    <row r="1014" spans="1:7">
      <c r="A1014" t="s">
        <v>4513</v>
      </c>
      <c r="G1014" t="s">
        <v>4514</v>
      </c>
    </row>
    <row r="1015" spans="1:7">
      <c r="A1015" t="s">
        <v>4291</v>
      </c>
      <c r="G1015" t="s">
        <v>4515</v>
      </c>
    </row>
    <row r="1016" spans="1:7">
      <c r="A1016" t="s">
        <v>4375</v>
      </c>
      <c r="G1016" t="s">
        <v>4515</v>
      </c>
    </row>
    <row r="1017" spans="1:7">
      <c r="A1017" t="s">
        <v>4472</v>
      </c>
      <c r="G1017" t="s">
        <v>4218</v>
      </c>
    </row>
    <row r="1018" spans="1:7">
      <c r="A1018" t="s">
        <v>4115</v>
      </c>
      <c r="G1018" t="s">
        <v>4218</v>
      </c>
    </row>
    <row r="1019" spans="1:7">
      <c r="A1019" t="s">
        <v>4092</v>
      </c>
      <c r="G1019" t="s">
        <v>4218</v>
      </c>
    </row>
    <row r="1020" spans="1:7">
      <c r="A1020" t="s">
        <v>4478</v>
      </c>
      <c r="G1020" t="s">
        <v>4218</v>
      </c>
    </row>
    <row r="1021" spans="1:7">
      <c r="A1021" t="s">
        <v>4098</v>
      </c>
      <c r="G1021" t="s">
        <v>4218</v>
      </c>
    </row>
    <row r="1022" spans="1:7">
      <c r="A1022" t="s">
        <v>4194</v>
      </c>
      <c r="G1022" t="s">
        <v>4218</v>
      </c>
    </row>
    <row r="1023" spans="1:7">
      <c r="A1023" t="s">
        <v>4009</v>
      </c>
      <c r="G1023" t="s">
        <v>4218</v>
      </c>
    </row>
    <row r="1024" spans="1:7">
      <c r="A1024" t="s">
        <v>4088</v>
      </c>
      <c r="G1024" t="s">
        <v>4218</v>
      </c>
    </row>
    <row r="1025" spans="1:7">
      <c r="A1025" t="s">
        <v>4452</v>
      </c>
      <c r="G1025" t="s">
        <v>4218</v>
      </c>
    </row>
    <row r="1026" spans="1:7">
      <c r="A1026" t="s">
        <v>4258</v>
      </c>
      <c r="G1026" t="s">
        <v>4218</v>
      </c>
    </row>
    <row r="1027" spans="1:7">
      <c r="A1027" t="s">
        <v>4109</v>
      </c>
      <c r="G1027" t="s">
        <v>4218</v>
      </c>
    </row>
    <row r="1028" spans="1:7">
      <c r="A1028" t="s">
        <v>4086</v>
      </c>
      <c r="G1028" t="s">
        <v>4218</v>
      </c>
    </row>
    <row r="1029" spans="1:7">
      <c r="A1029" t="s">
        <v>4233</v>
      </c>
      <c r="G1029" t="s">
        <v>4218</v>
      </c>
    </row>
    <row r="1030" spans="1:7">
      <c r="A1030" t="s">
        <v>4479</v>
      </c>
      <c r="G1030" t="s">
        <v>4218</v>
      </c>
    </row>
    <row r="1031" spans="1:7">
      <c r="A1031" t="s">
        <v>4474</v>
      </c>
      <c r="G1031" t="s">
        <v>4218</v>
      </c>
    </row>
    <row r="1032" spans="1:7">
      <c r="A1032" t="s">
        <v>4369</v>
      </c>
      <c r="G1032" t="s">
        <v>4218</v>
      </c>
    </row>
    <row r="1033" spans="1:7">
      <c r="A1033" t="s">
        <v>4211</v>
      </c>
      <c r="G1033" t="s">
        <v>4218</v>
      </c>
    </row>
    <row r="1034" spans="1:7">
      <c r="A1034" t="s">
        <v>4516</v>
      </c>
      <c r="G1034" t="s">
        <v>4218</v>
      </c>
    </row>
    <row r="1035" spans="1:7">
      <c r="A1035" t="s">
        <v>4080</v>
      </c>
      <c r="G1035" t="s">
        <v>4218</v>
      </c>
    </row>
    <row r="1036" spans="1:7">
      <c r="A1036" t="s">
        <v>4112</v>
      </c>
      <c r="G1036" t="s">
        <v>4218</v>
      </c>
    </row>
    <row r="1037" spans="1:7">
      <c r="A1037" t="s">
        <v>4113</v>
      </c>
      <c r="B1037">
        <v>5499097</v>
      </c>
      <c r="G1037" t="s">
        <v>4218</v>
      </c>
    </row>
    <row r="1038" spans="1:7">
      <c r="A1038" t="s">
        <v>4205</v>
      </c>
      <c r="B1038">
        <v>5493097</v>
      </c>
      <c r="G1038" t="s">
        <v>4517</v>
      </c>
    </row>
    <row r="1039" spans="1:7">
      <c r="A1039" t="s">
        <v>4086</v>
      </c>
      <c r="G1039" t="s">
        <v>4517</v>
      </c>
    </row>
    <row r="1040" spans="1:7">
      <c r="A1040" t="s">
        <v>4245</v>
      </c>
      <c r="G1040" t="s">
        <v>4517</v>
      </c>
    </row>
    <row r="1041" spans="1:7">
      <c r="A1041" t="s">
        <v>4473</v>
      </c>
      <c r="G1041" t="s">
        <v>4517</v>
      </c>
    </row>
    <row r="1042" spans="1:7">
      <c r="A1042" t="s">
        <v>4518</v>
      </c>
      <c r="G1042" t="s">
        <v>4517</v>
      </c>
    </row>
    <row r="1043" spans="1:7">
      <c r="A1043" t="s">
        <v>4055</v>
      </c>
      <c r="G1043" t="s">
        <v>4517</v>
      </c>
    </row>
    <row r="1044" spans="1:7">
      <c r="A1044" t="s">
        <v>4519</v>
      </c>
      <c r="G1044" t="s">
        <v>4517</v>
      </c>
    </row>
    <row r="1045" spans="1:7">
      <c r="A1045" t="s">
        <v>4520</v>
      </c>
      <c r="G1045" t="s">
        <v>4517</v>
      </c>
    </row>
    <row r="1046" spans="1:7">
      <c r="A1046" t="s">
        <v>4097</v>
      </c>
      <c r="G1046" t="s">
        <v>4517</v>
      </c>
    </row>
    <row r="1047" spans="1:7">
      <c r="A1047" t="s">
        <v>4262</v>
      </c>
      <c r="G1047" t="s">
        <v>4517</v>
      </c>
    </row>
    <row r="1048" spans="1:7">
      <c r="A1048" t="s">
        <v>4098</v>
      </c>
      <c r="G1048" t="s">
        <v>4517</v>
      </c>
    </row>
    <row r="1049" spans="1:7">
      <c r="A1049" t="s">
        <v>4521</v>
      </c>
      <c r="G1049" t="s">
        <v>4517</v>
      </c>
    </row>
    <row r="1050" spans="1:7">
      <c r="A1050" t="s">
        <v>4126</v>
      </c>
      <c r="G1050" t="s">
        <v>4517</v>
      </c>
    </row>
    <row r="1051" spans="1:7">
      <c r="A1051" t="s">
        <v>4369</v>
      </c>
      <c r="G1051" t="s">
        <v>4517</v>
      </c>
    </row>
    <row r="1052" spans="1:7">
      <c r="A1052" t="s">
        <v>4124</v>
      </c>
      <c r="G1052" t="s">
        <v>4517</v>
      </c>
    </row>
    <row r="1053" spans="1:7">
      <c r="A1053" t="s">
        <v>4112</v>
      </c>
      <c r="G1053" t="s">
        <v>4517</v>
      </c>
    </row>
    <row r="1054" spans="1:7">
      <c r="A1054" t="s">
        <v>4285</v>
      </c>
      <c r="G1054" t="s">
        <v>4032</v>
      </c>
    </row>
    <row r="1055" spans="1:7">
      <c r="A1055" t="s">
        <v>4516</v>
      </c>
      <c r="G1055" t="s">
        <v>4522</v>
      </c>
    </row>
    <row r="1056" spans="1:7">
      <c r="A1056" t="s">
        <v>4291</v>
      </c>
      <c r="G1056" t="s">
        <v>4523</v>
      </c>
    </row>
    <row r="1057" spans="1:7">
      <c r="A1057" t="s">
        <v>4474</v>
      </c>
      <c r="G1057" t="s">
        <v>4450</v>
      </c>
    </row>
    <row r="1058" spans="1:7">
      <c r="A1058" t="s">
        <v>4092</v>
      </c>
      <c r="G1058" t="s">
        <v>4450</v>
      </c>
    </row>
    <row r="1059" spans="1:8">
      <c r="A1059" t="s">
        <v>4107</v>
      </c>
      <c r="G1059" t="s">
        <v>4450</v>
      </c>
      <c r="H1059">
        <v>5488097</v>
      </c>
    </row>
    <row r="1060" spans="1:7">
      <c r="A1060" t="s">
        <v>4375</v>
      </c>
      <c r="G1060" t="s">
        <v>4450</v>
      </c>
    </row>
    <row r="1061" spans="1:7">
      <c r="A1061" t="s">
        <v>4479</v>
      </c>
      <c r="G1061" t="s">
        <v>4450</v>
      </c>
    </row>
    <row r="1062" spans="1:7">
      <c r="A1062" t="s">
        <v>4194</v>
      </c>
      <c r="G1062" t="s">
        <v>4450</v>
      </c>
    </row>
    <row r="1063" spans="1:7">
      <c r="A1063" t="s">
        <v>4218</v>
      </c>
      <c r="G1063" t="s">
        <v>4450</v>
      </c>
    </row>
    <row r="1064" spans="1:7">
      <c r="A1064" t="s">
        <v>4524</v>
      </c>
      <c r="B1064">
        <v>5496097</v>
      </c>
      <c r="G1064" t="s">
        <v>4450</v>
      </c>
    </row>
    <row r="1065" spans="1:7">
      <c r="A1065" t="s">
        <v>4525</v>
      </c>
      <c r="G1065" t="s">
        <v>4450</v>
      </c>
    </row>
    <row r="1066" spans="1:7">
      <c r="A1066" t="s">
        <v>4526</v>
      </c>
      <c r="G1066" t="s">
        <v>4450</v>
      </c>
    </row>
    <row r="1067" spans="1:7">
      <c r="A1067" t="s">
        <v>4439</v>
      </c>
      <c r="G1067" t="s">
        <v>4450</v>
      </c>
    </row>
    <row r="1068" spans="1:7">
      <c r="A1068" t="s">
        <v>4527</v>
      </c>
      <c r="G1068" t="s">
        <v>4450</v>
      </c>
    </row>
    <row r="1069" spans="1:7">
      <c r="A1069" t="s">
        <v>4528</v>
      </c>
      <c r="G1069" t="s">
        <v>4450</v>
      </c>
    </row>
    <row r="1070" spans="1:7">
      <c r="A1070" t="s">
        <v>4517</v>
      </c>
      <c r="G1070" t="s">
        <v>4450</v>
      </c>
    </row>
    <row r="1071" spans="1:7">
      <c r="A1071" t="s">
        <v>4529</v>
      </c>
      <c r="G1071" t="s">
        <v>4450</v>
      </c>
    </row>
    <row r="1072" spans="1:7">
      <c r="A1072" t="s">
        <v>4262</v>
      </c>
      <c r="G1072" t="s">
        <v>4450</v>
      </c>
    </row>
    <row r="1073" spans="1:7">
      <c r="A1073" t="s">
        <v>4530</v>
      </c>
      <c r="G1073" t="s">
        <v>4450</v>
      </c>
    </row>
    <row r="1074" spans="1:7">
      <c r="A1074" t="s">
        <v>4086</v>
      </c>
      <c r="G1074" t="s">
        <v>4450</v>
      </c>
    </row>
    <row r="1075" spans="1:7">
      <c r="A1075" t="s">
        <v>4531</v>
      </c>
      <c r="G1075" t="s">
        <v>4450</v>
      </c>
    </row>
    <row r="1076" spans="1:7">
      <c r="A1076" t="s">
        <v>4532</v>
      </c>
      <c r="G1076" t="s">
        <v>4450</v>
      </c>
    </row>
    <row r="1077" spans="1:7">
      <c r="A1077" t="s">
        <v>4518</v>
      </c>
      <c r="G1077" t="s">
        <v>4450</v>
      </c>
    </row>
    <row r="1078" spans="1:7">
      <c r="A1078" t="s">
        <v>4533</v>
      </c>
      <c r="G1078" t="s">
        <v>4450</v>
      </c>
    </row>
    <row r="1079" spans="1:7">
      <c r="A1079" t="s">
        <v>4237</v>
      </c>
      <c r="G1079" t="s">
        <v>4450</v>
      </c>
    </row>
    <row r="1080" spans="1:7">
      <c r="A1080" t="s">
        <v>4534</v>
      </c>
      <c r="B1080">
        <v>5492097</v>
      </c>
      <c r="G1080" t="s">
        <v>4450</v>
      </c>
    </row>
    <row r="1081" spans="1:7">
      <c r="A1081" t="s">
        <v>4085</v>
      </c>
      <c r="G1081" t="s">
        <v>4450</v>
      </c>
    </row>
    <row r="1082" spans="1:7">
      <c r="A1082" t="s">
        <v>4535</v>
      </c>
      <c r="G1082" t="s">
        <v>4450</v>
      </c>
    </row>
    <row r="1083" spans="1:7">
      <c r="A1083" t="s">
        <v>4536</v>
      </c>
      <c r="G1083" t="s">
        <v>4450</v>
      </c>
    </row>
    <row r="1084" spans="1:7">
      <c r="A1084" t="s">
        <v>4537</v>
      </c>
      <c r="G1084" t="s">
        <v>4450</v>
      </c>
    </row>
    <row r="1085" spans="1:7">
      <c r="A1085" t="s">
        <v>4107</v>
      </c>
      <c r="G1085" t="s">
        <v>4450</v>
      </c>
    </row>
    <row r="1086" spans="1:7">
      <c r="A1086" t="s">
        <v>4538</v>
      </c>
      <c r="G1086" t="s">
        <v>4450</v>
      </c>
    </row>
    <row r="1087" spans="1:7">
      <c r="A1087" t="s">
        <v>4539</v>
      </c>
      <c r="G1087" t="s">
        <v>4450</v>
      </c>
    </row>
    <row r="1088" spans="1:7">
      <c r="A1088" t="s">
        <v>4171</v>
      </c>
      <c r="G1088" t="s">
        <v>4450</v>
      </c>
    </row>
    <row r="1089" spans="1:7">
      <c r="A1089" t="s">
        <v>4115</v>
      </c>
      <c r="G1089" t="s">
        <v>4450</v>
      </c>
    </row>
    <row r="1090" spans="1:7">
      <c r="A1090" t="s">
        <v>4444</v>
      </c>
      <c r="G1090" t="s">
        <v>4540</v>
      </c>
    </row>
    <row r="1091" spans="1:7">
      <c r="A1091" t="s">
        <v>4541</v>
      </c>
      <c r="G1091" t="s">
        <v>3995</v>
      </c>
    </row>
    <row r="1092" spans="1:7">
      <c r="A1092" t="s">
        <v>4542</v>
      </c>
      <c r="G1092" t="s">
        <v>4456</v>
      </c>
    </row>
    <row r="1093" spans="1:7">
      <c r="A1093" t="s">
        <v>4439</v>
      </c>
      <c r="B1093">
        <v>5495097</v>
      </c>
      <c r="G1093" t="s">
        <v>4456</v>
      </c>
    </row>
    <row r="1094" spans="1:7">
      <c r="A1094" t="s">
        <v>4527</v>
      </c>
      <c r="G1094" t="s">
        <v>4543</v>
      </c>
    </row>
    <row r="1095" spans="1:7">
      <c r="A1095" t="s">
        <v>4524</v>
      </c>
      <c r="G1095" t="s">
        <v>4543</v>
      </c>
    </row>
    <row r="1096" spans="1:7">
      <c r="A1096" t="s">
        <v>4532</v>
      </c>
      <c r="G1096" t="s">
        <v>4543</v>
      </c>
    </row>
    <row r="1097" spans="1:7">
      <c r="A1097" t="s">
        <v>4525</v>
      </c>
      <c r="G1097" t="s">
        <v>4543</v>
      </c>
    </row>
    <row r="1098" spans="1:7">
      <c r="A1098" t="s">
        <v>4531</v>
      </c>
      <c r="G1098" t="s">
        <v>4543</v>
      </c>
    </row>
    <row r="1099" spans="1:7">
      <c r="A1099" t="s">
        <v>4444</v>
      </c>
      <c r="G1099" t="s">
        <v>4543</v>
      </c>
    </row>
    <row r="1100" spans="1:7">
      <c r="A1100" t="s">
        <v>4541</v>
      </c>
      <c r="G1100" t="s">
        <v>4543</v>
      </c>
    </row>
    <row r="1101" spans="1:7">
      <c r="A1101" t="s">
        <v>4526</v>
      </c>
      <c r="G1101" t="s">
        <v>4543</v>
      </c>
    </row>
    <row r="1102" spans="1:7">
      <c r="A1102" t="s">
        <v>4542</v>
      </c>
      <c r="G1102" t="s">
        <v>4543</v>
      </c>
    </row>
    <row r="1103" spans="1:7">
      <c r="A1103" t="s">
        <v>4171</v>
      </c>
      <c r="G1103" t="s">
        <v>4543</v>
      </c>
    </row>
    <row r="1104" spans="1:7">
      <c r="A1104" t="s">
        <v>4517</v>
      </c>
      <c r="G1104" t="s">
        <v>4543</v>
      </c>
    </row>
    <row r="1105" spans="1:7">
      <c r="A1105" t="s">
        <v>4529</v>
      </c>
      <c r="G1105" t="s">
        <v>4543</v>
      </c>
    </row>
    <row r="1106" spans="1:7">
      <c r="A1106" t="s">
        <v>4136</v>
      </c>
      <c r="G1106" t="s">
        <v>4543</v>
      </c>
    </row>
    <row r="1107" spans="1:7">
      <c r="A1107" t="s">
        <v>4262</v>
      </c>
      <c r="G1107" t="s">
        <v>4543</v>
      </c>
    </row>
    <row r="1108" spans="1:8">
      <c r="A1108" t="s">
        <v>4098</v>
      </c>
      <c r="G1108" t="s">
        <v>4543</v>
      </c>
      <c r="H1108">
        <v>5124097</v>
      </c>
    </row>
    <row r="1109" spans="1:7">
      <c r="A1109" t="s">
        <v>4530</v>
      </c>
      <c r="G1109" t="s">
        <v>4543</v>
      </c>
    </row>
    <row r="1110" spans="1:7">
      <c r="A1110" t="s">
        <v>4086</v>
      </c>
      <c r="G1110" t="s">
        <v>4544</v>
      </c>
    </row>
    <row r="1111" spans="1:8">
      <c r="A1111" t="s">
        <v>4539</v>
      </c>
      <c r="G1111" t="s">
        <v>4544</v>
      </c>
      <c r="H1111">
        <v>5029097</v>
      </c>
    </row>
    <row r="1112" spans="1:7">
      <c r="A1112" t="s">
        <v>4092</v>
      </c>
      <c r="G1112" t="s">
        <v>4544</v>
      </c>
    </row>
    <row r="1113" spans="1:7">
      <c r="A1113" t="s">
        <v>4457</v>
      </c>
      <c r="G1113" t="s">
        <v>4091</v>
      </c>
    </row>
    <row r="1114" spans="1:8">
      <c r="A1114" t="s">
        <v>4163</v>
      </c>
      <c r="G1114" t="s">
        <v>4091</v>
      </c>
      <c r="H1114">
        <v>5609097</v>
      </c>
    </row>
    <row r="1115" spans="1:7">
      <c r="A1115" t="s">
        <v>4155</v>
      </c>
      <c r="G1115" t="s">
        <v>4091</v>
      </c>
    </row>
    <row r="1116" spans="1:7">
      <c r="A1116" t="s">
        <v>4454</v>
      </c>
      <c r="G1116" t="s">
        <v>4091</v>
      </c>
    </row>
    <row r="1117" spans="1:7">
      <c r="A1117" t="s">
        <v>4237</v>
      </c>
      <c r="G1117" t="s">
        <v>4091</v>
      </c>
    </row>
    <row r="1118" spans="1:7">
      <c r="A1118" t="s">
        <v>4538</v>
      </c>
      <c r="G1118" t="s">
        <v>4091</v>
      </c>
    </row>
    <row r="1119" spans="1:7">
      <c r="A1119" t="s">
        <v>4534</v>
      </c>
      <c r="G1119" t="s">
        <v>4091</v>
      </c>
    </row>
    <row r="1120" spans="1:8">
      <c r="A1120" t="s">
        <v>4518</v>
      </c>
      <c r="G1120" t="s">
        <v>4091</v>
      </c>
      <c r="H1120">
        <v>5459097</v>
      </c>
    </row>
    <row r="1121" spans="1:7">
      <c r="A1121" t="s">
        <v>4536</v>
      </c>
      <c r="G1121" t="s">
        <v>4091</v>
      </c>
    </row>
    <row r="1122" spans="1:7">
      <c r="A1122" t="s">
        <v>4537</v>
      </c>
      <c r="G1122" t="s">
        <v>4091</v>
      </c>
    </row>
    <row r="1123" spans="1:7">
      <c r="A1123" t="s">
        <v>4233</v>
      </c>
      <c r="G1123" t="s">
        <v>4091</v>
      </c>
    </row>
    <row r="1124" spans="1:7">
      <c r="A1124" t="s">
        <v>4285</v>
      </c>
      <c r="G1124" t="s">
        <v>4091</v>
      </c>
    </row>
    <row r="1125" spans="1:7">
      <c r="A1125" t="s">
        <v>4545</v>
      </c>
      <c r="G1125" t="s">
        <v>4091</v>
      </c>
    </row>
    <row r="1126" spans="1:7">
      <c r="A1126" t="s">
        <v>4546</v>
      </c>
      <c r="G1126" t="s">
        <v>4091</v>
      </c>
    </row>
    <row r="1127" spans="1:7">
      <c r="A1127" t="s">
        <v>4547</v>
      </c>
      <c r="G1127" t="s">
        <v>4091</v>
      </c>
    </row>
    <row r="1128" spans="1:7">
      <c r="A1128" t="s">
        <v>4548</v>
      </c>
      <c r="B1128">
        <v>5491097</v>
      </c>
      <c r="G1128" t="s">
        <v>4091</v>
      </c>
    </row>
    <row r="1129" spans="1:7">
      <c r="A1129" t="s">
        <v>4372</v>
      </c>
      <c r="G1129" t="s">
        <v>4091</v>
      </c>
    </row>
    <row r="1130" spans="1:7">
      <c r="A1130" t="s">
        <v>4450</v>
      </c>
      <c r="G1130" t="s">
        <v>4091</v>
      </c>
    </row>
    <row r="1131" spans="1:7">
      <c r="A1131" t="s">
        <v>4085</v>
      </c>
      <c r="G1131" t="s">
        <v>4091</v>
      </c>
    </row>
    <row r="1132" spans="1:7">
      <c r="A1132" t="s">
        <v>4089</v>
      </c>
      <c r="G1132" t="s">
        <v>4091</v>
      </c>
    </row>
    <row r="1133" spans="1:7">
      <c r="A1133" t="s">
        <v>4109</v>
      </c>
      <c r="G1133" t="s">
        <v>4091</v>
      </c>
    </row>
    <row r="1134" spans="1:7">
      <c r="A1134" t="s">
        <v>4528</v>
      </c>
      <c r="G1134" t="s">
        <v>4091</v>
      </c>
    </row>
    <row r="1135" spans="1:7">
      <c r="A1135" t="s">
        <v>4062</v>
      </c>
      <c r="G1135" t="s">
        <v>4091</v>
      </c>
    </row>
    <row r="1136" spans="1:7">
      <c r="A1136" t="s">
        <v>4535</v>
      </c>
      <c r="G1136" t="s">
        <v>4091</v>
      </c>
    </row>
    <row r="1137" spans="1:7">
      <c r="A1137" t="s">
        <v>4536</v>
      </c>
      <c r="B1137">
        <v>5494097</v>
      </c>
      <c r="G1137" t="s">
        <v>4091</v>
      </c>
    </row>
    <row r="1138" spans="1:7">
      <c r="A1138" t="s">
        <v>4532</v>
      </c>
      <c r="G1138" t="s">
        <v>4091</v>
      </c>
    </row>
    <row r="1139" spans="1:7">
      <c r="A1139" t="s">
        <v>4528</v>
      </c>
      <c r="G1139" t="s">
        <v>4091</v>
      </c>
    </row>
    <row r="1140" spans="1:7">
      <c r="A1140" t="s">
        <v>4530</v>
      </c>
      <c r="G1140" t="s">
        <v>4091</v>
      </c>
    </row>
    <row r="1141" spans="1:7">
      <c r="A1141" t="s">
        <v>4237</v>
      </c>
      <c r="G1141" t="s">
        <v>4091</v>
      </c>
    </row>
    <row r="1142" spans="1:7">
      <c r="A1142" t="s">
        <v>4526</v>
      </c>
      <c r="G1142" t="s">
        <v>4091</v>
      </c>
    </row>
    <row r="1143" spans="1:7">
      <c r="A1143" t="s">
        <v>4086</v>
      </c>
      <c r="G1143" t="s">
        <v>4091</v>
      </c>
    </row>
    <row r="1144" spans="1:7">
      <c r="A1144" t="s">
        <v>4539</v>
      </c>
      <c r="G1144" t="s">
        <v>4091</v>
      </c>
    </row>
    <row r="1145" spans="1:7">
      <c r="A1145" t="s">
        <v>4524</v>
      </c>
      <c r="G1145" t="s">
        <v>4091</v>
      </c>
    </row>
    <row r="1146" spans="1:7">
      <c r="A1146" t="s">
        <v>4454</v>
      </c>
      <c r="G1146" t="s">
        <v>4091</v>
      </c>
    </row>
    <row r="1147" spans="1:7">
      <c r="A1147" t="s">
        <v>4538</v>
      </c>
      <c r="G1147" t="s">
        <v>4091</v>
      </c>
    </row>
    <row r="1148" spans="1:7">
      <c r="A1148" t="s">
        <v>4549</v>
      </c>
      <c r="G1148" t="s">
        <v>4091</v>
      </c>
    </row>
    <row r="1149" spans="1:7">
      <c r="A1149" t="s">
        <v>4085</v>
      </c>
      <c r="G1149" t="s">
        <v>4091</v>
      </c>
    </row>
    <row r="1150" spans="1:7">
      <c r="A1150" t="s">
        <v>4135</v>
      </c>
      <c r="G1150" t="s">
        <v>4091</v>
      </c>
    </row>
    <row r="1151" spans="1:7">
      <c r="A1151" t="s">
        <v>4134</v>
      </c>
      <c r="G1151" t="s">
        <v>4091</v>
      </c>
    </row>
    <row r="1152" spans="1:7">
      <c r="A1152" t="s">
        <v>4518</v>
      </c>
      <c r="G1152" t="s">
        <v>4091</v>
      </c>
    </row>
    <row r="1153" spans="1:7">
      <c r="A1153" t="s">
        <v>4058</v>
      </c>
      <c r="G1153" t="s">
        <v>4091</v>
      </c>
    </row>
    <row r="1154" spans="1:7">
      <c r="A1154" t="s">
        <v>4537</v>
      </c>
      <c r="G1154" t="s">
        <v>4091</v>
      </c>
    </row>
    <row r="1155" spans="1:7">
      <c r="A1155" t="s">
        <v>4232</v>
      </c>
      <c r="G1155" t="s">
        <v>4091</v>
      </c>
    </row>
    <row r="1156" spans="1:7">
      <c r="A1156" t="s">
        <v>4107</v>
      </c>
      <c r="G1156" t="s">
        <v>4091</v>
      </c>
    </row>
    <row r="1157" spans="1:7">
      <c r="A1157" t="s">
        <v>4550</v>
      </c>
      <c r="G1157" t="s">
        <v>4091</v>
      </c>
    </row>
    <row r="1158" spans="1:7">
      <c r="A1158" t="s">
        <v>4547</v>
      </c>
      <c r="G1158" t="s">
        <v>4091</v>
      </c>
    </row>
    <row r="1159" spans="1:7">
      <c r="A1159" t="s">
        <v>4551</v>
      </c>
      <c r="G1159" t="s">
        <v>4091</v>
      </c>
    </row>
    <row r="1160" spans="1:8">
      <c r="A1160" t="s">
        <v>4552</v>
      </c>
      <c r="G1160" t="s">
        <v>4091</v>
      </c>
      <c r="H1160">
        <v>5107097</v>
      </c>
    </row>
    <row r="1161" spans="1:7">
      <c r="A1161" t="s">
        <v>4238</v>
      </c>
      <c r="G1161" t="s">
        <v>4091</v>
      </c>
    </row>
    <row r="1162" spans="1:7">
      <c r="A1162" t="s">
        <v>4171</v>
      </c>
      <c r="G1162" t="s">
        <v>4091</v>
      </c>
    </row>
    <row r="1163" spans="1:7">
      <c r="A1163" t="s">
        <v>4531</v>
      </c>
      <c r="G1163" t="s">
        <v>4091</v>
      </c>
    </row>
    <row r="1164" spans="1:7">
      <c r="A1164" t="s">
        <v>4542</v>
      </c>
      <c r="G1164" t="s">
        <v>4091</v>
      </c>
    </row>
    <row r="1165" spans="1:7">
      <c r="A1165" t="s">
        <v>4439</v>
      </c>
      <c r="G1165" t="s">
        <v>4091</v>
      </c>
    </row>
    <row r="1166" spans="1:7">
      <c r="A1166" t="s">
        <v>4517</v>
      </c>
      <c r="G1166" t="s">
        <v>4091</v>
      </c>
    </row>
    <row r="1167" spans="1:7">
      <c r="A1167" t="s">
        <v>4262</v>
      </c>
      <c r="G1167" t="s">
        <v>4091</v>
      </c>
    </row>
    <row r="1168" spans="1:7">
      <c r="A1168" t="s">
        <v>4531</v>
      </c>
      <c r="B1168">
        <v>5493097</v>
      </c>
      <c r="G1168" t="s">
        <v>4091</v>
      </c>
    </row>
    <row r="1169" spans="1:7">
      <c r="A1169" t="s">
        <v>4526</v>
      </c>
      <c r="G1169" t="s">
        <v>4091</v>
      </c>
    </row>
    <row r="1170" spans="1:7">
      <c r="A1170" t="s">
        <v>4370</v>
      </c>
      <c r="G1170" t="s">
        <v>4091</v>
      </c>
    </row>
    <row r="1171" spans="1:7">
      <c r="A1171" t="s">
        <v>4528</v>
      </c>
      <c r="G1171" t="s">
        <v>4553</v>
      </c>
    </row>
    <row r="1172" spans="1:7">
      <c r="A1172" t="s">
        <v>4237</v>
      </c>
      <c r="B1172">
        <v>5490097</v>
      </c>
      <c r="G1172" t="s">
        <v>4553</v>
      </c>
    </row>
    <row r="1173" spans="1:7">
      <c r="A1173" t="s">
        <v>4444</v>
      </c>
      <c r="G1173" t="s">
        <v>4553</v>
      </c>
    </row>
    <row r="1174" spans="1:7">
      <c r="A1174" t="s">
        <v>4541</v>
      </c>
      <c r="G1174" t="s">
        <v>4553</v>
      </c>
    </row>
    <row r="1175" spans="1:7">
      <c r="A1175" t="s">
        <v>4542</v>
      </c>
      <c r="G1175" t="s">
        <v>4553</v>
      </c>
    </row>
    <row r="1176" spans="1:7">
      <c r="A1176" t="s">
        <v>4554</v>
      </c>
      <c r="G1176" t="s">
        <v>4553</v>
      </c>
    </row>
    <row r="1177" spans="1:7">
      <c r="A1177" t="s">
        <v>4439</v>
      </c>
      <c r="G1177" t="s">
        <v>4555</v>
      </c>
    </row>
    <row r="1178" spans="1:7">
      <c r="A1178" t="s">
        <v>4535</v>
      </c>
      <c r="G1178" t="s">
        <v>4556</v>
      </c>
    </row>
    <row r="1179" spans="1:8">
      <c r="A1179" t="s">
        <v>4517</v>
      </c>
      <c r="G1179" t="s">
        <v>4556</v>
      </c>
      <c r="H1179">
        <v>5457097</v>
      </c>
    </row>
    <row r="1180" spans="1:7">
      <c r="A1180" t="s">
        <v>4529</v>
      </c>
      <c r="G1180" t="s">
        <v>4556</v>
      </c>
    </row>
    <row r="1181" spans="1:7">
      <c r="A1181" t="s">
        <v>4136</v>
      </c>
      <c r="G1181" t="s">
        <v>4556</v>
      </c>
    </row>
    <row r="1182" spans="1:7">
      <c r="A1182" t="s">
        <v>4530</v>
      </c>
      <c r="G1182" t="s">
        <v>4556</v>
      </c>
    </row>
    <row r="1183" spans="1:7">
      <c r="A1183" t="s">
        <v>4128</v>
      </c>
      <c r="G1183" t="s">
        <v>4557</v>
      </c>
    </row>
    <row r="1184" spans="1:7">
      <c r="A1184" t="s">
        <v>4262</v>
      </c>
      <c r="G1184" t="s">
        <v>4557</v>
      </c>
    </row>
    <row r="1185" spans="1:7">
      <c r="A1185" t="s">
        <v>4539</v>
      </c>
      <c r="G1185" t="s">
        <v>4557</v>
      </c>
    </row>
    <row r="1186" spans="1:7">
      <c r="A1186" t="s">
        <v>4532</v>
      </c>
      <c r="G1186" t="s">
        <v>4212</v>
      </c>
    </row>
    <row r="1187" spans="1:7">
      <c r="A1187" t="s">
        <v>4524</v>
      </c>
      <c r="G1187" t="s">
        <v>4558</v>
      </c>
    </row>
    <row r="1188" spans="1:7">
      <c r="A1188" t="s">
        <v>4086</v>
      </c>
      <c r="G1188" t="s">
        <v>4558</v>
      </c>
    </row>
    <row r="1189" spans="1:7">
      <c r="A1189" t="s">
        <v>4092</v>
      </c>
      <c r="G1189" t="s">
        <v>4558</v>
      </c>
    </row>
    <row r="1190" spans="1:7">
      <c r="A1190" t="s">
        <v>4533</v>
      </c>
      <c r="G1190" t="s">
        <v>4558</v>
      </c>
    </row>
    <row r="1191" spans="1:7">
      <c r="A1191" t="s">
        <v>4559</v>
      </c>
      <c r="G1191" t="s">
        <v>4560</v>
      </c>
    </row>
    <row r="1192" spans="1:7">
      <c r="A1192" t="s">
        <v>4538</v>
      </c>
      <c r="G1192" t="s">
        <v>4560</v>
      </c>
    </row>
    <row r="1193" spans="1:7">
      <c r="A1193" t="s">
        <v>4085</v>
      </c>
      <c r="G1193" t="s">
        <v>4560</v>
      </c>
    </row>
    <row r="1194" spans="1:7">
      <c r="A1194" t="s">
        <v>4171</v>
      </c>
      <c r="G1194" t="s">
        <v>4560</v>
      </c>
    </row>
    <row r="1195" spans="1:7">
      <c r="A1195" t="s">
        <v>4296</v>
      </c>
      <c r="G1195" t="s">
        <v>4560</v>
      </c>
    </row>
    <row r="1196" spans="1:7">
      <c r="A1196" t="s">
        <v>4536</v>
      </c>
      <c r="G1196" t="s">
        <v>4560</v>
      </c>
    </row>
    <row r="1197" spans="1:7">
      <c r="A1197" t="s">
        <v>4537</v>
      </c>
      <c r="G1197" t="s">
        <v>4560</v>
      </c>
    </row>
    <row r="1198" spans="1:7">
      <c r="A1198" t="s">
        <v>4561</v>
      </c>
      <c r="G1198" t="s">
        <v>4560</v>
      </c>
    </row>
    <row r="1199" spans="1:7">
      <c r="A1199" t="s">
        <v>4562</v>
      </c>
      <c r="G1199" t="s">
        <v>4560</v>
      </c>
    </row>
    <row r="1200" spans="1:7">
      <c r="A1200" t="s">
        <v>4525</v>
      </c>
      <c r="G1200" t="s">
        <v>4560</v>
      </c>
    </row>
    <row r="1201" spans="1:7">
      <c r="A1201" t="s">
        <v>4548</v>
      </c>
      <c r="G1201" t="s">
        <v>4479</v>
      </c>
    </row>
    <row r="1202" spans="1:7">
      <c r="A1202" t="s">
        <v>4563</v>
      </c>
      <c r="G1202" t="s">
        <v>4479</v>
      </c>
    </row>
    <row r="1203" spans="1:7">
      <c r="A1203" t="s">
        <v>4519</v>
      </c>
      <c r="G1203" t="s">
        <v>4479</v>
      </c>
    </row>
    <row r="1204" spans="1:8">
      <c r="A1204" t="s">
        <v>4518</v>
      </c>
      <c r="G1204" t="s">
        <v>4479</v>
      </c>
      <c r="H1204">
        <v>5458097</v>
      </c>
    </row>
    <row r="1205" spans="1:7">
      <c r="A1205" t="s">
        <v>4564</v>
      </c>
      <c r="G1205" t="s">
        <v>4479</v>
      </c>
    </row>
    <row r="1206" spans="1:7">
      <c r="A1206" t="s">
        <v>4089</v>
      </c>
      <c r="G1206" t="s">
        <v>4479</v>
      </c>
    </row>
    <row r="1207" spans="1:7">
      <c r="A1207" t="s">
        <v>4527</v>
      </c>
      <c r="G1207" t="s">
        <v>4474</v>
      </c>
    </row>
    <row r="1208" spans="1:7">
      <c r="A1208" t="s">
        <v>4233</v>
      </c>
      <c r="G1208" t="s">
        <v>4474</v>
      </c>
    </row>
    <row r="1209" spans="1:7">
      <c r="A1209" t="s">
        <v>4115</v>
      </c>
      <c r="G1209" t="s">
        <v>4474</v>
      </c>
    </row>
    <row r="1210" spans="1:7">
      <c r="A1210" t="s">
        <v>4524</v>
      </c>
      <c r="B1210">
        <v>5492097</v>
      </c>
      <c r="G1210" t="s">
        <v>4474</v>
      </c>
    </row>
    <row r="1211" spans="1:7">
      <c r="A1211" t="s">
        <v>4450</v>
      </c>
      <c r="B1211">
        <v>5488097</v>
      </c>
      <c r="G1211" t="s">
        <v>4474</v>
      </c>
    </row>
    <row r="1212" spans="1:7">
      <c r="A1212" t="s">
        <v>4439</v>
      </c>
      <c r="G1212" t="s">
        <v>4474</v>
      </c>
    </row>
    <row r="1213" spans="1:7">
      <c r="A1213" t="s">
        <v>4531</v>
      </c>
      <c r="G1213" t="s">
        <v>4474</v>
      </c>
    </row>
    <row r="1214" spans="1:7">
      <c r="A1214" t="s">
        <v>4532</v>
      </c>
      <c r="G1214" t="s">
        <v>4474</v>
      </c>
    </row>
    <row r="1215" spans="1:7">
      <c r="A1215" t="s">
        <v>4565</v>
      </c>
      <c r="G1215" t="s">
        <v>4474</v>
      </c>
    </row>
    <row r="1216" spans="1:7">
      <c r="A1216" t="s">
        <v>4526</v>
      </c>
      <c r="G1216" t="s">
        <v>4474</v>
      </c>
    </row>
    <row r="1217" spans="1:7">
      <c r="A1217" t="s">
        <v>4542</v>
      </c>
      <c r="G1217" t="s">
        <v>4474</v>
      </c>
    </row>
    <row r="1218" spans="1:7">
      <c r="A1218" t="s">
        <v>4454</v>
      </c>
      <c r="G1218" t="s">
        <v>4474</v>
      </c>
    </row>
    <row r="1219" spans="1:7">
      <c r="A1219" t="s">
        <v>4527</v>
      </c>
      <c r="G1219" t="s">
        <v>4474</v>
      </c>
    </row>
    <row r="1220" spans="1:7">
      <c r="A1220" t="s">
        <v>4136</v>
      </c>
      <c r="G1220" t="s">
        <v>4474</v>
      </c>
    </row>
    <row r="1221" spans="1:7">
      <c r="A1221" t="s">
        <v>4566</v>
      </c>
      <c r="G1221" t="s">
        <v>4474</v>
      </c>
    </row>
    <row r="1222" spans="1:7">
      <c r="A1222" t="s">
        <v>4517</v>
      </c>
      <c r="G1222" t="s">
        <v>4474</v>
      </c>
    </row>
    <row r="1223" spans="1:7">
      <c r="A1223" t="s">
        <v>4234</v>
      </c>
      <c r="G1223" t="s">
        <v>4283</v>
      </c>
    </row>
    <row r="1224" spans="1:7">
      <c r="A1224" t="s">
        <v>4262</v>
      </c>
      <c r="G1224" t="s">
        <v>4283</v>
      </c>
    </row>
    <row r="1225" spans="1:8">
      <c r="A1225" t="s">
        <v>4567</v>
      </c>
      <c r="G1225" t="s">
        <v>4283</v>
      </c>
      <c r="H1225">
        <v>5484097</v>
      </c>
    </row>
    <row r="1226" spans="1:8">
      <c r="A1226" t="s">
        <v>4539</v>
      </c>
      <c r="G1226" t="s">
        <v>4283</v>
      </c>
      <c r="H1226">
        <v>5463097</v>
      </c>
    </row>
    <row r="1227" spans="1:7">
      <c r="A1227" t="s">
        <v>4568</v>
      </c>
      <c r="G1227" t="s">
        <v>4283</v>
      </c>
    </row>
    <row r="1228" spans="1:7">
      <c r="A1228" t="s">
        <v>4163</v>
      </c>
      <c r="G1228" t="s">
        <v>4283</v>
      </c>
    </row>
    <row r="1229" spans="1:8">
      <c r="A1229" t="s">
        <v>4375</v>
      </c>
      <c r="G1229" t="s">
        <v>4283</v>
      </c>
      <c r="H1229">
        <v>5451097</v>
      </c>
    </row>
    <row r="1230" spans="1:7">
      <c r="A1230" t="s">
        <v>4166</v>
      </c>
      <c r="G1230" t="s">
        <v>4283</v>
      </c>
    </row>
    <row r="1231" spans="1:7">
      <c r="A1231" t="s">
        <v>4237</v>
      </c>
      <c r="G1231" t="s">
        <v>4283</v>
      </c>
    </row>
    <row r="1232" spans="1:7">
      <c r="A1232" t="s">
        <v>4538</v>
      </c>
      <c r="G1232" t="s">
        <v>4283</v>
      </c>
    </row>
    <row r="1233" spans="1:7">
      <c r="A1233" t="s">
        <v>4534</v>
      </c>
      <c r="G1233" t="s">
        <v>4430</v>
      </c>
    </row>
    <row r="1234" spans="1:7">
      <c r="A1234" t="s">
        <v>4230</v>
      </c>
      <c r="G1234" t="s">
        <v>4430</v>
      </c>
    </row>
    <row r="1235" spans="1:7">
      <c r="A1235" t="s">
        <v>4569</v>
      </c>
      <c r="G1235" t="s">
        <v>4430</v>
      </c>
    </row>
    <row r="1236" spans="1:7">
      <c r="A1236" t="s">
        <v>4085</v>
      </c>
      <c r="G1236" t="s">
        <v>4430</v>
      </c>
    </row>
    <row r="1237" spans="1:7">
      <c r="A1237" t="s">
        <v>4135</v>
      </c>
      <c r="B1237">
        <v>5487097</v>
      </c>
      <c r="G1237" t="s">
        <v>4038</v>
      </c>
    </row>
    <row r="1238" spans="1:7">
      <c r="A1238" t="s">
        <v>4134</v>
      </c>
      <c r="G1238" t="s">
        <v>4038</v>
      </c>
    </row>
    <row r="1239" spans="1:7">
      <c r="A1239" t="s">
        <v>4171</v>
      </c>
      <c r="G1239" t="s">
        <v>4038</v>
      </c>
    </row>
    <row r="1240" spans="1:7">
      <c r="A1240" t="s">
        <v>4536</v>
      </c>
      <c r="G1240" t="s">
        <v>4038</v>
      </c>
    </row>
    <row r="1241" spans="1:7">
      <c r="A1241" t="s">
        <v>4537</v>
      </c>
      <c r="G1241" t="s">
        <v>4038</v>
      </c>
    </row>
    <row r="1242" spans="1:8">
      <c r="A1242" t="s">
        <v>4474</v>
      </c>
      <c r="G1242" t="s">
        <v>4038</v>
      </c>
      <c r="H1242">
        <v>5531097</v>
      </c>
    </row>
    <row r="1243" spans="1:8">
      <c r="A1243" t="s">
        <v>4086</v>
      </c>
      <c r="G1243" t="s">
        <v>4038</v>
      </c>
      <c r="H1243">
        <v>5514097</v>
      </c>
    </row>
    <row r="1244" spans="1:7">
      <c r="A1244" t="s">
        <v>4286</v>
      </c>
      <c r="G1244" t="s">
        <v>4038</v>
      </c>
    </row>
    <row r="1245" spans="1:7">
      <c r="A1245" t="s">
        <v>4437</v>
      </c>
      <c r="G1245" t="s">
        <v>4038</v>
      </c>
    </row>
    <row r="1246" spans="1:7">
      <c r="A1246" t="s">
        <v>4112</v>
      </c>
      <c r="G1246" t="s">
        <v>4038</v>
      </c>
    </row>
    <row r="1247" spans="1:7">
      <c r="A1247" t="s">
        <v>4570</v>
      </c>
      <c r="G1247" t="s">
        <v>4038</v>
      </c>
    </row>
    <row r="1248" spans="1:8">
      <c r="A1248" t="s">
        <v>4561</v>
      </c>
      <c r="G1248" t="s">
        <v>4038</v>
      </c>
      <c r="H1248">
        <v>5210097</v>
      </c>
    </row>
    <row r="1249" spans="1:7">
      <c r="A1249" t="s">
        <v>4562</v>
      </c>
      <c r="G1249" t="s">
        <v>4038</v>
      </c>
    </row>
    <row r="1250" spans="1:7">
      <c r="A1250" t="s">
        <v>4530</v>
      </c>
      <c r="G1250" t="s">
        <v>4038</v>
      </c>
    </row>
    <row r="1251" spans="1:7">
      <c r="A1251" t="s">
        <v>4418</v>
      </c>
      <c r="G1251" t="s">
        <v>4038</v>
      </c>
    </row>
    <row r="1252" spans="1:7">
      <c r="A1252" t="s">
        <v>4362</v>
      </c>
      <c r="G1252" t="s">
        <v>4038</v>
      </c>
    </row>
    <row r="1253" spans="1:7">
      <c r="A1253" t="s">
        <v>4389</v>
      </c>
      <c r="G1253" t="s">
        <v>4038</v>
      </c>
    </row>
    <row r="1254" spans="1:7">
      <c r="A1254" t="s">
        <v>4518</v>
      </c>
      <c r="G1254" t="s">
        <v>4554</v>
      </c>
    </row>
    <row r="1255" spans="1:7">
      <c r="A1255" t="s">
        <v>4089</v>
      </c>
      <c r="G1255" t="s">
        <v>4040</v>
      </c>
    </row>
    <row r="1256" spans="1:7">
      <c r="A1256" t="s">
        <v>4528</v>
      </c>
      <c r="B1256">
        <v>5486097</v>
      </c>
      <c r="G1256" t="s">
        <v>4035</v>
      </c>
    </row>
    <row r="1257" spans="1:7">
      <c r="A1257" t="s">
        <v>4080</v>
      </c>
      <c r="G1257" t="s">
        <v>4035</v>
      </c>
    </row>
    <row r="1258" spans="1:7">
      <c r="A1258" t="s">
        <v>4530</v>
      </c>
      <c r="B1258">
        <v>5491097</v>
      </c>
      <c r="G1258" t="s">
        <v>4035</v>
      </c>
    </row>
    <row r="1259" spans="1:7">
      <c r="A1259" t="s">
        <v>4532</v>
      </c>
      <c r="G1259" t="s">
        <v>4035</v>
      </c>
    </row>
    <row r="1260" spans="1:7">
      <c r="A1260" t="s">
        <v>4450</v>
      </c>
      <c r="G1260" t="s">
        <v>4035</v>
      </c>
    </row>
    <row r="1261" spans="1:7">
      <c r="A1261" t="s">
        <v>4531</v>
      </c>
      <c r="G1261" t="s">
        <v>4035</v>
      </c>
    </row>
    <row r="1262" spans="1:7">
      <c r="A1262" t="s">
        <v>4536</v>
      </c>
      <c r="G1262" t="s">
        <v>4035</v>
      </c>
    </row>
    <row r="1263" spans="1:7">
      <c r="A1263" t="s">
        <v>4524</v>
      </c>
      <c r="G1263" t="s">
        <v>4035</v>
      </c>
    </row>
    <row r="1264" spans="1:7">
      <c r="A1264" t="s">
        <v>4439</v>
      </c>
      <c r="G1264" t="s">
        <v>4035</v>
      </c>
    </row>
    <row r="1265" spans="1:7">
      <c r="A1265" t="s">
        <v>4542</v>
      </c>
      <c r="G1265" t="s">
        <v>4035</v>
      </c>
    </row>
    <row r="1266" spans="1:7">
      <c r="A1266" t="s">
        <v>4571</v>
      </c>
      <c r="G1266" t="s">
        <v>4035</v>
      </c>
    </row>
    <row r="1267" spans="1:7">
      <c r="A1267" t="s">
        <v>4517</v>
      </c>
      <c r="G1267" t="s">
        <v>4035</v>
      </c>
    </row>
    <row r="1268" spans="1:7">
      <c r="A1268" t="s">
        <v>4136</v>
      </c>
      <c r="G1268" t="s">
        <v>4035</v>
      </c>
    </row>
    <row r="1269" spans="1:7">
      <c r="A1269" t="s">
        <v>4262</v>
      </c>
      <c r="G1269" t="s">
        <v>4035</v>
      </c>
    </row>
    <row r="1270" spans="1:7">
      <c r="A1270" t="s">
        <v>4567</v>
      </c>
      <c r="G1270" t="s">
        <v>4035</v>
      </c>
    </row>
    <row r="1271" spans="1:7">
      <c r="A1271" t="s">
        <v>4539</v>
      </c>
      <c r="G1271" t="s">
        <v>4035</v>
      </c>
    </row>
    <row r="1272" spans="1:7">
      <c r="A1272" t="s">
        <v>4572</v>
      </c>
      <c r="G1272" t="s">
        <v>4035</v>
      </c>
    </row>
    <row r="1273" spans="1:7">
      <c r="A1273" t="s">
        <v>4092</v>
      </c>
      <c r="G1273" t="s">
        <v>4573</v>
      </c>
    </row>
    <row r="1274" spans="1:7">
      <c r="A1274" t="s">
        <v>4559</v>
      </c>
      <c r="G1274" t="s">
        <v>4573</v>
      </c>
    </row>
    <row r="1275" spans="1:7">
      <c r="A1275" t="s">
        <v>4186</v>
      </c>
      <c r="G1275" t="s">
        <v>4573</v>
      </c>
    </row>
    <row r="1276" spans="1:7">
      <c r="A1276" t="s">
        <v>4112</v>
      </c>
      <c r="G1276" t="s">
        <v>4573</v>
      </c>
    </row>
    <row r="1277" spans="1:7">
      <c r="A1277" t="s">
        <v>4237</v>
      </c>
      <c r="G1277" t="s">
        <v>4573</v>
      </c>
    </row>
    <row r="1278" spans="1:7">
      <c r="A1278" t="s">
        <v>4538</v>
      </c>
      <c r="G1278" t="s">
        <v>4573</v>
      </c>
    </row>
    <row r="1279" spans="1:8">
      <c r="A1279" t="s">
        <v>4549</v>
      </c>
      <c r="G1279" t="s">
        <v>4573</v>
      </c>
      <c r="H1279">
        <v>4835097</v>
      </c>
    </row>
    <row r="1280" spans="1:7">
      <c r="A1280" t="s">
        <v>4534</v>
      </c>
      <c r="G1280" t="s">
        <v>4573</v>
      </c>
    </row>
    <row r="1281" spans="1:7">
      <c r="A1281" t="s">
        <v>4104</v>
      </c>
      <c r="G1281" t="s">
        <v>4573</v>
      </c>
    </row>
    <row r="1282" spans="1:7">
      <c r="A1282" t="s">
        <v>4171</v>
      </c>
      <c r="G1282" t="s">
        <v>4573</v>
      </c>
    </row>
    <row r="1283" spans="1:7">
      <c r="A1283" t="s">
        <v>4519</v>
      </c>
      <c r="G1283" t="s">
        <v>4574</v>
      </c>
    </row>
    <row r="1284" spans="1:7">
      <c r="A1284" t="s">
        <v>4230</v>
      </c>
      <c r="B1284">
        <v>5484097</v>
      </c>
      <c r="G1284" t="s">
        <v>4574</v>
      </c>
    </row>
    <row r="1285" spans="1:7">
      <c r="A1285" t="s">
        <v>4245</v>
      </c>
      <c r="G1285" t="s">
        <v>4575</v>
      </c>
    </row>
    <row r="1286" spans="1:7">
      <c r="A1286" t="s">
        <v>4135</v>
      </c>
      <c r="G1286" t="s">
        <v>4575</v>
      </c>
    </row>
    <row r="1287" spans="1:7">
      <c r="A1287" t="s">
        <v>4134</v>
      </c>
      <c r="G1287" t="s">
        <v>4575</v>
      </c>
    </row>
    <row r="1288" spans="1:7">
      <c r="A1288" t="s">
        <v>4233</v>
      </c>
      <c r="G1288" t="s">
        <v>4310</v>
      </c>
    </row>
    <row r="1289" spans="1:7">
      <c r="A1289" t="s">
        <v>4576</v>
      </c>
      <c r="G1289" t="s">
        <v>4310</v>
      </c>
    </row>
    <row r="1290" spans="1:7">
      <c r="A1290" t="s">
        <v>4086</v>
      </c>
      <c r="G1290" t="s">
        <v>4577</v>
      </c>
    </row>
    <row r="1291" spans="1:7">
      <c r="A1291" t="s">
        <v>4537</v>
      </c>
      <c r="G1291" t="s">
        <v>4208</v>
      </c>
    </row>
    <row r="1292" spans="1:7">
      <c r="A1292" t="s">
        <v>4128</v>
      </c>
      <c r="G1292" t="s">
        <v>4208</v>
      </c>
    </row>
    <row r="1293" spans="1:7">
      <c r="A1293" t="s">
        <v>4561</v>
      </c>
      <c r="G1293" t="s">
        <v>4208</v>
      </c>
    </row>
    <row r="1294" spans="1:7">
      <c r="A1294" t="s">
        <v>4562</v>
      </c>
      <c r="G1294" t="s">
        <v>4208</v>
      </c>
    </row>
    <row r="1295" spans="1:7">
      <c r="A1295" t="s">
        <v>4085</v>
      </c>
      <c r="G1295" t="s">
        <v>4290</v>
      </c>
    </row>
    <row r="1296" spans="1:7">
      <c r="A1296" t="s">
        <v>4375</v>
      </c>
      <c r="G1296" t="s">
        <v>4290</v>
      </c>
    </row>
    <row r="1297" spans="1:7">
      <c r="A1297" t="s">
        <v>4518</v>
      </c>
      <c r="G1297" t="s">
        <v>4290</v>
      </c>
    </row>
    <row r="1298" spans="1:7">
      <c r="A1298" t="s">
        <v>4527</v>
      </c>
      <c r="G1298" t="s">
        <v>4290</v>
      </c>
    </row>
    <row r="1299" spans="1:7">
      <c r="A1299" t="s">
        <v>4528</v>
      </c>
      <c r="G1299" t="s">
        <v>4290</v>
      </c>
    </row>
    <row r="1300" spans="1:7">
      <c r="A1300" t="s">
        <v>4526</v>
      </c>
      <c r="G1300" t="s">
        <v>4290</v>
      </c>
    </row>
    <row r="1301" spans="1:7">
      <c r="A1301" t="s">
        <v>4194</v>
      </c>
      <c r="G1301" t="s">
        <v>4290</v>
      </c>
    </row>
    <row r="1302" spans="1:7">
      <c r="A1302" t="s">
        <v>4531</v>
      </c>
      <c r="B1302">
        <v>5490097</v>
      </c>
      <c r="G1302" t="s">
        <v>4290</v>
      </c>
    </row>
    <row r="1303" spans="1:7">
      <c r="A1303" t="s">
        <v>4532</v>
      </c>
      <c r="G1303" t="s">
        <v>4290</v>
      </c>
    </row>
    <row r="1304" spans="1:7">
      <c r="A1304" t="s">
        <v>4234</v>
      </c>
      <c r="G1304" t="s">
        <v>4290</v>
      </c>
    </row>
    <row r="1305" spans="1:7">
      <c r="A1305" t="s">
        <v>4524</v>
      </c>
      <c r="G1305" t="s">
        <v>4290</v>
      </c>
    </row>
    <row r="1306" spans="1:7">
      <c r="A1306" t="s">
        <v>4564</v>
      </c>
      <c r="G1306" t="s">
        <v>4290</v>
      </c>
    </row>
    <row r="1307" spans="1:7">
      <c r="A1307" t="s">
        <v>4439</v>
      </c>
      <c r="G1307" t="s">
        <v>4290</v>
      </c>
    </row>
    <row r="1308" spans="1:8">
      <c r="A1308" t="s">
        <v>4542</v>
      </c>
      <c r="G1308" t="s">
        <v>4290</v>
      </c>
      <c r="H1308">
        <v>5251097</v>
      </c>
    </row>
    <row r="1309" spans="1:7">
      <c r="A1309" t="s">
        <v>4136</v>
      </c>
      <c r="G1309" t="s">
        <v>4290</v>
      </c>
    </row>
    <row r="1310" spans="1:7">
      <c r="A1310" t="s">
        <v>4517</v>
      </c>
      <c r="G1310" t="s">
        <v>4290</v>
      </c>
    </row>
    <row r="1311" spans="1:7">
      <c r="A1311" t="s">
        <v>4530</v>
      </c>
      <c r="G1311" t="s">
        <v>4290</v>
      </c>
    </row>
    <row r="1312" spans="1:7">
      <c r="A1312" t="s">
        <v>4262</v>
      </c>
      <c r="G1312" t="s">
        <v>4290</v>
      </c>
    </row>
    <row r="1313" spans="1:7">
      <c r="A1313" t="s">
        <v>4567</v>
      </c>
      <c r="G1313" t="s">
        <v>4290</v>
      </c>
    </row>
    <row r="1314" spans="1:7">
      <c r="A1314" t="s">
        <v>4539</v>
      </c>
      <c r="G1314" t="s">
        <v>4290</v>
      </c>
    </row>
    <row r="1315" spans="1:7">
      <c r="A1315" t="s">
        <v>4166</v>
      </c>
      <c r="G1315" t="s">
        <v>4290</v>
      </c>
    </row>
    <row r="1316" spans="1:7">
      <c r="A1316" t="s">
        <v>4092</v>
      </c>
      <c r="G1316" t="s">
        <v>4290</v>
      </c>
    </row>
    <row r="1317" spans="1:7">
      <c r="A1317" t="s">
        <v>4152</v>
      </c>
      <c r="G1317" t="s">
        <v>4290</v>
      </c>
    </row>
    <row r="1318" spans="1:7">
      <c r="A1318" t="s">
        <v>4454</v>
      </c>
      <c r="G1318" t="s">
        <v>4290</v>
      </c>
    </row>
    <row r="1319" spans="1:7">
      <c r="A1319" t="s">
        <v>4237</v>
      </c>
      <c r="G1319" t="s">
        <v>4290</v>
      </c>
    </row>
    <row r="1320" spans="1:7">
      <c r="A1320" t="s">
        <v>4538</v>
      </c>
      <c r="G1320" t="s">
        <v>4290</v>
      </c>
    </row>
    <row r="1321" spans="1:7">
      <c r="A1321" t="s">
        <v>4518</v>
      </c>
      <c r="G1321" t="s">
        <v>4290</v>
      </c>
    </row>
    <row r="1322" spans="1:7">
      <c r="A1322" t="s">
        <v>4194</v>
      </c>
      <c r="G1322" t="s">
        <v>4290</v>
      </c>
    </row>
    <row r="1323" spans="1:7">
      <c r="A1323" t="s">
        <v>4519</v>
      </c>
      <c r="G1323" t="s">
        <v>4290</v>
      </c>
    </row>
    <row r="1324" spans="1:7">
      <c r="A1324" t="s">
        <v>4085</v>
      </c>
      <c r="G1324" t="s">
        <v>4290</v>
      </c>
    </row>
    <row r="1325" spans="1:8">
      <c r="A1325" t="s">
        <v>4450</v>
      </c>
      <c r="G1325" t="s">
        <v>4290</v>
      </c>
      <c r="H1325">
        <v>4811097</v>
      </c>
    </row>
    <row r="1326" spans="1:7">
      <c r="A1326" t="s">
        <v>4135</v>
      </c>
      <c r="G1326" t="s">
        <v>4290</v>
      </c>
    </row>
    <row r="1327" spans="1:8">
      <c r="A1327" t="s">
        <v>4536</v>
      </c>
      <c r="G1327" t="s">
        <v>4290</v>
      </c>
      <c r="H1327">
        <v>4789097</v>
      </c>
    </row>
    <row r="1328" spans="1:7">
      <c r="A1328" t="s">
        <v>4578</v>
      </c>
      <c r="G1328" t="s">
        <v>4290</v>
      </c>
    </row>
    <row r="1329" spans="1:8">
      <c r="A1329" t="s">
        <v>4579</v>
      </c>
      <c r="G1329" t="s">
        <v>4580</v>
      </c>
      <c r="H1329">
        <v>5098097</v>
      </c>
    </row>
    <row r="1330" spans="1:7">
      <c r="A1330" t="s">
        <v>4233</v>
      </c>
      <c r="G1330" t="s">
        <v>4580</v>
      </c>
    </row>
    <row r="1331" spans="1:7">
      <c r="A1331" t="s">
        <v>4086</v>
      </c>
      <c r="G1331" t="s">
        <v>4581</v>
      </c>
    </row>
    <row r="1332" spans="1:7">
      <c r="A1332" t="s">
        <v>4537</v>
      </c>
      <c r="G1332" t="s">
        <v>4581</v>
      </c>
    </row>
    <row r="1333" spans="1:7">
      <c r="A1333" t="s">
        <v>4418</v>
      </c>
      <c r="G1333" t="s">
        <v>4581</v>
      </c>
    </row>
    <row r="1334" spans="1:7">
      <c r="A1334" t="s">
        <v>4562</v>
      </c>
      <c r="G1334" t="s">
        <v>4581</v>
      </c>
    </row>
    <row r="1335" spans="1:7">
      <c r="A1335" t="s">
        <v>4549</v>
      </c>
      <c r="G1335" t="s">
        <v>4581</v>
      </c>
    </row>
    <row r="1336" spans="1:7">
      <c r="A1336" t="s">
        <v>4527</v>
      </c>
      <c r="G1336" t="s">
        <v>4581</v>
      </c>
    </row>
    <row r="1337" spans="1:7">
      <c r="A1337" t="s">
        <v>4528</v>
      </c>
      <c r="G1337" t="s">
        <v>4581</v>
      </c>
    </row>
    <row r="1338" spans="1:7">
      <c r="A1338" t="s">
        <v>4218</v>
      </c>
      <c r="G1338" t="s">
        <v>4581</v>
      </c>
    </row>
    <row r="1339" spans="1:7">
      <c r="A1339" t="s">
        <v>4526</v>
      </c>
      <c r="G1339" t="s">
        <v>4581</v>
      </c>
    </row>
    <row r="1340" spans="1:8">
      <c r="A1340" t="s">
        <v>4171</v>
      </c>
      <c r="G1340" t="s">
        <v>4581</v>
      </c>
      <c r="H1340">
        <v>5215097</v>
      </c>
    </row>
    <row r="1341" spans="1:7">
      <c r="A1341" t="s">
        <v>4564</v>
      </c>
      <c r="B1341">
        <v>5488097</v>
      </c>
      <c r="G1341" t="s">
        <v>4581</v>
      </c>
    </row>
    <row r="1342" spans="1:7">
      <c r="A1342" t="s">
        <v>4518</v>
      </c>
      <c r="G1342" t="s">
        <v>4581</v>
      </c>
    </row>
    <row r="1343" spans="1:7">
      <c r="A1343" t="s">
        <v>4089</v>
      </c>
      <c r="G1343" t="s">
        <v>4581</v>
      </c>
    </row>
    <row r="1344" spans="1:7">
      <c r="A1344" t="s">
        <v>4542</v>
      </c>
      <c r="G1344" t="s">
        <v>4581</v>
      </c>
    </row>
    <row r="1345" spans="1:7">
      <c r="A1345" t="s">
        <v>4171</v>
      </c>
      <c r="G1345" t="s">
        <v>4582</v>
      </c>
    </row>
    <row r="1346" spans="1:7">
      <c r="A1346" t="s">
        <v>4370</v>
      </c>
      <c r="G1346" t="s">
        <v>4583</v>
      </c>
    </row>
    <row r="1347" spans="1:7">
      <c r="A1347" t="s">
        <v>4517</v>
      </c>
      <c r="G1347" t="s">
        <v>4584</v>
      </c>
    </row>
    <row r="1348" spans="1:7">
      <c r="A1348" t="s">
        <v>4527</v>
      </c>
      <c r="G1348" t="s">
        <v>4584</v>
      </c>
    </row>
    <row r="1349" spans="1:7">
      <c r="A1349" t="s">
        <v>4262</v>
      </c>
      <c r="G1349" t="s">
        <v>4585</v>
      </c>
    </row>
    <row r="1350" spans="1:7">
      <c r="A1350" t="s">
        <v>4086</v>
      </c>
      <c r="G1350" t="s">
        <v>4252</v>
      </c>
    </row>
    <row r="1351" spans="1:7">
      <c r="A1351" t="s">
        <v>4170</v>
      </c>
      <c r="G1351" t="s">
        <v>4252</v>
      </c>
    </row>
    <row r="1352" spans="1:7">
      <c r="A1352" t="s">
        <v>4147</v>
      </c>
      <c r="G1352" t="s">
        <v>4252</v>
      </c>
    </row>
    <row r="1353" spans="1:7">
      <c r="A1353" t="s">
        <v>4571</v>
      </c>
      <c r="G1353" t="s">
        <v>4252</v>
      </c>
    </row>
    <row r="1354" spans="1:7">
      <c r="A1354" t="s">
        <v>4296</v>
      </c>
      <c r="G1354" t="s">
        <v>4252</v>
      </c>
    </row>
    <row r="1355" spans="1:7">
      <c r="A1355" t="s">
        <v>4085</v>
      </c>
      <c r="G1355" t="s">
        <v>4252</v>
      </c>
    </row>
    <row r="1356" spans="1:7">
      <c r="A1356" t="s">
        <v>4135</v>
      </c>
      <c r="G1356" t="s">
        <v>4586</v>
      </c>
    </row>
    <row r="1357" spans="1:7">
      <c r="A1357" t="s">
        <v>4134</v>
      </c>
      <c r="G1357" t="s">
        <v>4587</v>
      </c>
    </row>
    <row r="1358" spans="1:8">
      <c r="A1358" t="s">
        <v>4058</v>
      </c>
      <c r="G1358" t="s">
        <v>4587</v>
      </c>
      <c r="H1358">
        <v>5455097</v>
      </c>
    </row>
    <row r="1359" spans="1:7">
      <c r="A1359" t="s">
        <v>4232</v>
      </c>
      <c r="G1359" t="s">
        <v>4588</v>
      </c>
    </row>
    <row r="1360" spans="1:7">
      <c r="A1360" t="s">
        <v>4107</v>
      </c>
      <c r="B1360">
        <v>5482097</v>
      </c>
      <c r="G1360" t="s">
        <v>4588</v>
      </c>
    </row>
    <row r="1361" spans="1:7">
      <c r="A1361" t="s">
        <v>4551</v>
      </c>
      <c r="G1361" t="s">
        <v>4588</v>
      </c>
    </row>
    <row r="1362" spans="1:8">
      <c r="A1362" t="s">
        <v>4112</v>
      </c>
      <c r="G1362" t="s">
        <v>4588</v>
      </c>
      <c r="H1362">
        <v>4932097</v>
      </c>
    </row>
    <row r="1363" spans="1:7">
      <c r="A1363" t="s">
        <v>4589</v>
      </c>
      <c r="G1363" t="s">
        <v>4075</v>
      </c>
    </row>
    <row r="1364" spans="1:7">
      <c r="A1364" t="s">
        <v>4552</v>
      </c>
      <c r="G1364" t="s">
        <v>4075</v>
      </c>
    </row>
    <row r="1365" spans="1:7">
      <c r="A1365" t="s">
        <v>4445</v>
      </c>
      <c r="G1365" t="s">
        <v>4075</v>
      </c>
    </row>
    <row r="1366" spans="1:7">
      <c r="A1366" t="s">
        <v>4549</v>
      </c>
      <c r="G1366" t="s">
        <v>4075</v>
      </c>
    </row>
    <row r="1367" spans="1:7">
      <c r="A1367" t="s">
        <v>4370</v>
      </c>
      <c r="B1367">
        <v>5487097</v>
      </c>
      <c r="G1367" t="s">
        <v>4075</v>
      </c>
    </row>
    <row r="1368" spans="1:7">
      <c r="A1368" t="s">
        <v>4089</v>
      </c>
      <c r="G1368" t="s">
        <v>4075</v>
      </c>
    </row>
    <row r="1369" spans="1:7">
      <c r="A1369" t="s">
        <v>4170</v>
      </c>
      <c r="G1369" t="s">
        <v>4075</v>
      </c>
    </row>
    <row r="1370" spans="1:7">
      <c r="A1370" t="s">
        <v>4171</v>
      </c>
      <c r="G1370" t="s">
        <v>4075</v>
      </c>
    </row>
    <row r="1371" spans="1:7">
      <c r="A1371" t="s">
        <v>4542</v>
      </c>
      <c r="G1371" t="s">
        <v>4075</v>
      </c>
    </row>
    <row r="1372" spans="1:7">
      <c r="A1372" t="s">
        <v>4457</v>
      </c>
      <c r="G1372" t="s">
        <v>4075</v>
      </c>
    </row>
    <row r="1373" spans="1:7">
      <c r="A1373" t="s">
        <v>4590</v>
      </c>
      <c r="G1373" t="s">
        <v>4075</v>
      </c>
    </row>
    <row r="1374" spans="1:7">
      <c r="A1374" t="s">
        <v>4262</v>
      </c>
      <c r="G1374" t="s">
        <v>4075</v>
      </c>
    </row>
    <row r="1375" spans="1:7">
      <c r="A1375" t="s">
        <v>4086</v>
      </c>
      <c r="G1375" t="s">
        <v>4075</v>
      </c>
    </row>
    <row r="1376" spans="1:7">
      <c r="A1376" t="s">
        <v>4518</v>
      </c>
      <c r="G1376" t="s">
        <v>4075</v>
      </c>
    </row>
    <row r="1377" spans="1:7">
      <c r="A1377" t="s">
        <v>4296</v>
      </c>
      <c r="G1377" t="s">
        <v>4075</v>
      </c>
    </row>
    <row r="1378" spans="1:7">
      <c r="A1378" t="s">
        <v>4104</v>
      </c>
      <c r="G1378" t="s">
        <v>4075</v>
      </c>
    </row>
    <row r="1379" spans="1:7">
      <c r="A1379" t="s">
        <v>4085</v>
      </c>
      <c r="G1379" t="s">
        <v>4075</v>
      </c>
    </row>
    <row r="1380" spans="1:7">
      <c r="A1380" t="s">
        <v>4445</v>
      </c>
      <c r="G1380" t="s">
        <v>4202</v>
      </c>
    </row>
    <row r="1381" spans="1:8">
      <c r="A1381" t="s">
        <v>4535</v>
      </c>
      <c r="G1381" t="s">
        <v>4202</v>
      </c>
      <c r="H1381">
        <v>5603097</v>
      </c>
    </row>
    <row r="1382" spans="1:8">
      <c r="A1382" t="s">
        <v>4547</v>
      </c>
      <c r="G1382" t="s">
        <v>4202</v>
      </c>
      <c r="H1382">
        <v>5567097</v>
      </c>
    </row>
    <row r="1383" spans="1:7">
      <c r="A1383" t="s">
        <v>4087</v>
      </c>
      <c r="G1383" t="s">
        <v>4202</v>
      </c>
    </row>
    <row r="1384" spans="1:7">
      <c r="A1384" t="s">
        <v>4564</v>
      </c>
      <c r="G1384" t="s">
        <v>4202</v>
      </c>
    </row>
    <row r="1385" spans="1:7">
      <c r="A1385" t="s">
        <v>4186</v>
      </c>
      <c r="G1385" t="s">
        <v>4591</v>
      </c>
    </row>
    <row r="1386" spans="1:7">
      <c r="A1386" t="s">
        <v>4198</v>
      </c>
      <c r="B1386">
        <v>5486097</v>
      </c>
      <c r="G1386" t="s">
        <v>4591</v>
      </c>
    </row>
    <row r="1387" spans="1:7">
      <c r="A1387" t="s">
        <v>4592</v>
      </c>
      <c r="B1387">
        <v>5481097</v>
      </c>
      <c r="G1387" t="s">
        <v>4593</v>
      </c>
    </row>
    <row r="1388" spans="1:7">
      <c r="A1388" t="s">
        <v>4262</v>
      </c>
      <c r="G1388" t="s">
        <v>4594</v>
      </c>
    </row>
    <row r="1389" spans="1:8">
      <c r="A1389" t="s">
        <v>4303</v>
      </c>
      <c r="G1389" t="s">
        <v>4594</v>
      </c>
      <c r="H1389">
        <v>5254097</v>
      </c>
    </row>
    <row r="1390" spans="1:7">
      <c r="A1390" t="s">
        <v>4499</v>
      </c>
      <c r="G1390" t="s">
        <v>4594</v>
      </c>
    </row>
    <row r="1391" spans="1:7">
      <c r="A1391" t="s">
        <v>4407</v>
      </c>
      <c r="G1391" t="s">
        <v>4594</v>
      </c>
    </row>
    <row r="1392" spans="1:7">
      <c r="A1392" t="s">
        <v>4307</v>
      </c>
      <c r="G1392" t="s">
        <v>4594</v>
      </c>
    </row>
    <row r="1393" spans="1:7">
      <c r="A1393" t="s">
        <v>4077</v>
      </c>
      <c r="G1393" t="s">
        <v>4594</v>
      </c>
    </row>
    <row r="1394" spans="1:7">
      <c r="A1394" t="s">
        <v>4595</v>
      </c>
      <c r="G1394" t="s">
        <v>4478</v>
      </c>
    </row>
    <row r="1395" spans="1:7">
      <c r="A1395" t="s">
        <v>4571</v>
      </c>
      <c r="G1395" t="s">
        <v>4478</v>
      </c>
    </row>
    <row r="1396" spans="1:7">
      <c r="A1396" t="s">
        <v>4035</v>
      </c>
      <c r="G1396" t="s">
        <v>4478</v>
      </c>
    </row>
    <row r="1397" spans="1:7">
      <c r="A1397" t="s">
        <v>4219</v>
      </c>
      <c r="G1397" t="s">
        <v>4478</v>
      </c>
    </row>
    <row r="1398" spans="1:7">
      <c r="A1398" t="s">
        <v>4208</v>
      </c>
      <c r="G1398" t="s">
        <v>4478</v>
      </c>
    </row>
    <row r="1399" spans="1:7">
      <c r="A1399" t="s">
        <v>4459</v>
      </c>
      <c r="G1399" t="s">
        <v>4478</v>
      </c>
    </row>
    <row r="1400" spans="1:7">
      <c r="A1400" t="s">
        <v>4218</v>
      </c>
      <c r="G1400" t="s">
        <v>4478</v>
      </c>
    </row>
    <row r="1401" spans="1:7">
      <c r="A1401" t="s">
        <v>4327</v>
      </c>
      <c r="G1401" t="s">
        <v>4478</v>
      </c>
    </row>
    <row r="1402" spans="1:7">
      <c r="A1402" t="s">
        <v>4221</v>
      </c>
      <c r="G1402" t="s">
        <v>4478</v>
      </c>
    </row>
    <row r="1403" spans="1:7">
      <c r="A1403" t="s">
        <v>4596</v>
      </c>
      <c r="G1403" t="s">
        <v>4478</v>
      </c>
    </row>
    <row r="1404" spans="1:7">
      <c r="A1404" t="s">
        <v>4597</v>
      </c>
      <c r="G1404" t="s">
        <v>4478</v>
      </c>
    </row>
    <row r="1405" spans="1:7">
      <c r="A1405" t="s">
        <v>4598</v>
      </c>
      <c r="G1405" t="s">
        <v>4478</v>
      </c>
    </row>
    <row r="1406" spans="1:7">
      <c r="A1406" t="s">
        <v>4215</v>
      </c>
      <c r="G1406" t="s">
        <v>4478</v>
      </c>
    </row>
    <row r="1407" spans="1:7">
      <c r="A1407" t="s">
        <v>4052</v>
      </c>
      <c r="G1407" t="s">
        <v>4478</v>
      </c>
    </row>
    <row r="1408" spans="1:7">
      <c r="A1408" t="s">
        <v>4599</v>
      </c>
      <c r="G1408" t="s">
        <v>4600</v>
      </c>
    </row>
    <row r="1409" spans="1:8">
      <c r="A1409" t="s">
        <v>4601</v>
      </c>
      <c r="G1409" t="s">
        <v>4602</v>
      </c>
      <c r="H1409">
        <v>5221097</v>
      </c>
    </row>
    <row r="1410" spans="1:7">
      <c r="A1410" t="s">
        <v>3977</v>
      </c>
      <c r="G1410" t="s">
        <v>4603</v>
      </c>
    </row>
    <row r="1411" spans="1:7">
      <c r="A1411" t="s">
        <v>4389</v>
      </c>
      <c r="G1411" t="s">
        <v>4603</v>
      </c>
    </row>
    <row r="1412" spans="1:7">
      <c r="A1412" t="s">
        <v>4604</v>
      </c>
      <c r="G1412" t="s">
        <v>4152</v>
      </c>
    </row>
    <row r="1413" spans="1:7">
      <c r="A1413" t="s">
        <v>4605</v>
      </c>
      <c r="G1413" t="s">
        <v>4152</v>
      </c>
    </row>
    <row r="1414" spans="1:7">
      <c r="A1414" t="s">
        <v>4283</v>
      </c>
      <c r="B1414">
        <v>5484097</v>
      </c>
      <c r="G1414" t="s">
        <v>4152</v>
      </c>
    </row>
    <row r="1415" spans="1:7">
      <c r="A1415" t="s">
        <v>4266</v>
      </c>
      <c r="G1415" t="s">
        <v>4152</v>
      </c>
    </row>
    <row r="1416" spans="1:7">
      <c r="A1416" t="s">
        <v>4112</v>
      </c>
      <c r="G1416" t="s">
        <v>4152</v>
      </c>
    </row>
    <row r="1417" spans="1:7">
      <c r="A1417" t="s">
        <v>4606</v>
      </c>
      <c r="G1417" t="s">
        <v>4152</v>
      </c>
    </row>
    <row r="1418" spans="1:7">
      <c r="A1418" t="s">
        <v>4211</v>
      </c>
      <c r="G1418" t="s">
        <v>4152</v>
      </c>
    </row>
    <row r="1419" spans="1:7">
      <c r="A1419" t="s">
        <v>4161</v>
      </c>
      <c r="G1419" t="s">
        <v>4152</v>
      </c>
    </row>
    <row r="1420" spans="1:7">
      <c r="A1420" t="s">
        <v>4478</v>
      </c>
      <c r="G1420" t="s">
        <v>4152</v>
      </c>
    </row>
    <row r="1421" spans="1:7">
      <c r="A1421" t="s">
        <v>4109</v>
      </c>
      <c r="G1421" t="s">
        <v>4152</v>
      </c>
    </row>
    <row r="1422" spans="1:7">
      <c r="A1422" t="s">
        <v>4325</v>
      </c>
      <c r="G1422" t="s">
        <v>4152</v>
      </c>
    </row>
    <row r="1423" spans="1:7">
      <c r="A1423" t="s">
        <v>4290</v>
      </c>
      <c r="G1423" t="s">
        <v>4152</v>
      </c>
    </row>
    <row r="1424" spans="1:7">
      <c r="A1424" t="s">
        <v>4475</v>
      </c>
      <c r="G1424" t="s">
        <v>4152</v>
      </c>
    </row>
    <row r="1425" spans="1:7">
      <c r="A1425" t="s">
        <v>4245</v>
      </c>
      <c r="G1425" t="s">
        <v>4152</v>
      </c>
    </row>
    <row r="1426" spans="1:7">
      <c r="A1426" t="s">
        <v>4108</v>
      </c>
      <c r="G1426" t="s">
        <v>4152</v>
      </c>
    </row>
    <row r="1427" spans="1:7">
      <c r="A1427" t="s">
        <v>4055</v>
      </c>
      <c r="G1427" t="s">
        <v>4152</v>
      </c>
    </row>
    <row r="1428" spans="1:7">
      <c r="A1428" t="s">
        <v>4154</v>
      </c>
      <c r="G1428" t="s">
        <v>4152</v>
      </c>
    </row>
    <row r="1429" spans="1:7">
      <c r="A1429" t="s">
        <v>4095</v>
      </c>
      <c r="G1429" t="s">
        <v>4152</v>
      </c>
    </row>
    <row r="1430" spans="1:7">
      <c r="A1430" t="s">
        <v>4107</v>
      </c>
      <c r="G1430" t="s">
        <v>4152</v>
      </c>
    </row>
    <row r="1431" spans="1:7">
      <c r="A1431" t="s">
        <v>4607</v>
      </c>
      <c r="G1431" t="s">
        <v>4608</v>
      </c>
    </row>
    <row r="1432" spans="1:7">
      <c r="A1432" t="s">
        <v>4609</v>
      </c>
      <c r="G1432" t="s">
        <v>4116</v>
      </c>
    </row>
    <row r="1433" spans="1:7">
      <c r="A1433" t="s">
        <v>4454</v>
      </c>
      <c r="G1433" t="s">
        <v>4116</v>
      </c>
    </row>
    <row r="1434" spans="1:8">
      <c r="A1434" t="s">
        <v>4200</v>
      </c>
      <c r="G1434" t="s">
        <v>4116</v>
      </c>
      <c r="H1434">
        <v>5512097</v>
      </c>
    </row>
    <row r="1435" spans="1:7">
      <c r="A1435" t="s">
        <v>4610</v>
      </c>
      <c r="G1435" t="s">
        <v>4116</v>
      </c>
    </row>
    <row r="1436" spans="1:7">
      <c r="A1436" t="s">
        <v>4611</v>
      </c>
      <c r="G1436" t="s">
        <v>4116</v>
      </c>
    </row>
    <row r="1437" spans="1:7">
      <c r="A1437" t="s">
        <v>4140</v>
      </c>
      <c r="B1437">
        <v>5477097</v>
      </c>
      <c r="G1437" t="s">
        <v>4116</v>
      </c>
    </row>
    <row r="1438" spans="1:7">
      <c r="A1438" t="s">
        <v>4248</v>
      </c>
      <c r="G1438" t="s">
        <v>4116</v>
      </c>
    </row>
    <row r="1439" spans="1:7">
      <c r="A1439" t="s">
        <v>4218</v>
      </c>
      <c r="G1439" t="s">
        <v>4612</v>
      </c>
    </row>
    <row r="1440" spans="1:7">
      <c r="A1440" t="s">
        <v>4613</v>
      </c>
      <c r="G1440" t="s">
        <v>4129</v>
      </c>
    </row>
    <row r="1441" spans="1:7">
      <c r="A1441" t="s">
        <v>4147</v>
      </c>
      <c r="G1441" t="s">
        <v>4245</v>
      </c>
    </row>
    <row r="1442" spans="1:7">
      <c r="A1442" t="s">
        <v>4585</v>
      </c>
      <c r="G1442" t="s">
        <v>4245</v>
      </c>
    </row>
    <row r="1443" spans="1:7">
      <c r="A1443" t="s">
        <v>4614</v>
      </c>
      <c r="G1443" t="s">
        <v>4245</v>
      </c>
    </row>
    <row r="1444" spans="1:7">
      <c r="A1444" t="s">
        <v>4135</v>
      </c>
      <c r="G1444" t="s">
        <v>4245</v>
      </c>
    </row>
    <row r="1445" spans="1:7">
      <c r="A1445" t="s">
        <v>4091</v>
      </c>
      <c r="G1445" t="s">
        <v>4245</v>
      </c>
    </row>
    <row r="1446" spans="1:7">
      <c r="A1446" t="s">
        <v>4136</v>
      </c>
      <c r="G1446" t="s">
        <v>4245</v>
      </c>
    </row>
    <row r="1447" spans="1:7">
      <c r="A1447" t="s">
        <v>4285</v>
      </c>
      <c r="G1447" t="s">
        <v>4245</v>
      </c>
    </row>
    <row r="1448" spans="1:7">
      <c r="A1448" t="s">
        <v>4098</v>
      </c>
      <c r="G1448" t="s">
        <v>4245</v>
      </c>
    </row>
    <row r="1449" spans="1:7">
      <c r="A1449" t="s">
        <v>4279</v>
      </c>
      <c r="G1449" t="s">
        <v>4615</v>
      </c>
    </row>
    <row r="1450" spans="1:8">
      <c r="A1450" t="s">
        <v>4262</v>
      </c>
      <c r="G1450" t="s">
        <v>4615</v>
      </c>
      <c r="H1450">
        <v>5162097</v>
      </c>
    </row>
    <row r="1451" spans="1:7">
      <c r="A1451" t="s">
        <v>4153</v>
      </c>
      <c r="G1451" t="s">
        <v>4616</v>
      </c>
    </row>
    <row r="1452" spans="1:7">
      <c r="A1452" t="s">
        <v>4617</v>
      </c>
      <c r="G1452" t="s">
        <v>4616</v>
      </c>
    </row>
    <row r="1453" spans="1:7">
      <c r="A1453" t="s">
        <v>4520</v>
      </c>
      <c r="G1453" t="s">
        <v>4255</v>
      </c>
    </row>
    <row r="1454" spans="1:7">
      <c r="A1454" t="s">
        <v>4085</v>
      </c>
      <c r="G1454" t="s">
        <v>4255</v>
      </c>
    </row>
    <row r="1455" spans="1:7">
      <c r="A1455" t="s">
        <v>4618</v>
      </c>
      <c r="G1455" t="s">
        <v>4255</v>
      </c>
    </row>
    <row r="1456" spans="1:7">
      <c r="A1456" t="s">
        <v>4559</v>
      </c>
      <c r="G1456" t="s">
        <v>4255</v>
      </c>
    </row>
    <row r="1457" spans="1:7">
      <c r="A1457" t="s">
        <v>4619</v>
      </c>
      <c r="G1457" t="s">
        <v>4255</v>
      </c>
    </row>
    <row r="1458" spans="1:7">
      <c r="A1458" t="s">
        <v>4620</v>
      </c>
      <c r="G1458" t="s">
        <v>4255</v>
      </c>
    </row>
    <row r="1459" spans="1:7">
      <c r="A1459" t="s">
        <v>4062</v>
      </c>
      <c r="G1459" t="s">
        <v>4255</v>
      </c>
    </row>
    <row r="1460" spans="1:7">
      <c r="A1460" t="s">
        <v>4562</v>
      </c>
      <c r="G1460" t="s">
        <v>4255</v>
      </c>
    </row>
    <row r="1461" spans="1:7">
      <c r="A1461" t="s">
        <v>4276</v>
      </c>
      <c r="G1461" t="s">
        <v>4255</v>
      </c>
    </row>
    <row r="1462" spans="1:7">
      <c r="A1462" t="s">
        <v>4621</v>
      </c>
      <c r="G1462" t="s">
        <v>4255</v>
      </c>
    </row>
    <row r="1463" spans="1:7">
      <c r="A1463" t="s">
        <v>4056</v>
      </c>
      <c r="G1463" t="s">
        <v>4255</v>
      </c>
    </row>
    <row r="1464" spans="1:7">
      <c r="A1464" t="s">
        <v>4174</v>
      </c>
      <c r="G1464" t="s">
        <v>4255</v>
      </c>
    </row>
    <row r="1465" spans="1:7">
      <c r="A1465" t="s">
        <v>4521</v>
      </c>
      <c r="G1465" t="s">
        <v>4255</v>
      </c>
    </row>
    <row r="1466" spans="1:7">
      <c r="A1466" t="s">
        <v>4622</v>
      </c>
      <c r="G1466" t="s">
        <v>4255</v>
      </c>
    </row>
    <row r="1467" spans="1:7">
      <c r="A1467" t="s">
        <v>4113</v>
      </c>
      <c r="G1467" t="s">
        <v>4255</v>
      </c>
    </row>
    <row r="1468" spans="1:7">
      <c r="A1468" t="s">
        <v>4623</v>
      </c>
      <c r="G1468" t="s">
        <v>4624</v>
      </c>
    </row>
    <row r="1469" spans="1:7">
      <c r="A1469" t="s">
        <v>4581</v>
      </c>
      <c r="G1469" t="s">
        <v>4624</v>
      </c>
    </row>
    <row r="1470" spans="1:8">
      <c r="A1470" t="s">
        <v>4625</v>
      </c>
      <c r="G1470" t="s">
        <v>4592</v>
      </c>
      <c r="H1470">
        <v>5481097</v>
      </c>
    </row>
    <row r="1471" spans="1:7">
      <c r="A1471" t="s">
        <v>4477</v>
      </c>
      <c r="G1471" t="s">
        <v>4626</v>
      </c>
    </row>
    <row r="1472" spans="1:7">
      <c r="A1472" t="s">
        <v>4398</v>
      </c>
      <c r="B1472">
        <v>5474097</v>
      </c>
      <c r="G1472" t="s">
        <v>4626</v>
      </c>
    </row>
    <row r="1473" spans="1:7">
      <c r="A1473" t="s">
        <v>4166</v>
      </c>
      <c r="G1473" t="s">
        <v>4626</v>
      </c>
    </row>
    <row r="1474" spans="1:7">
      <c r="A1474" t="s">
        <v>4627</v>
      </c>
      <c r="G1474" t="s">
        <v>4626</v>
      </c>
    </row>
    <row r="1475" spans="1:7">
      <c r="A1475" t="s">
        <v>4152</v>
      </c>
      <c r="G1475" t="s">
        <v>4626</v>
      </c>
    </row>
    <row r="1476" spans="1:7">
      <c r="A1476" t="s">
        <v>4556</v>
      </c>
      <c r="G1476" t="s">
        <v>4628</v>
      </c>
    </row>
    <row r="1477" spans="1:7">
      <c r="A1477" t="s">
        <v>4374</v>
      </c>
      <c r="G1477" t="s">
        <v>4629</v>
      </c>
    </row>
    <row r="1478" spans="1:7">
      <c r="A1478" t="s">
        <v>4364</v>
      </c>
      <c r="G1478" t="s">
        <v>4629</v>
      </c>
    </row>
    <row r="1479" spans="1:7">
      <c r="A1479" t="s">
        <v>4630</v>
      </c>
      <c r="G1479" t="s">
        <v>4631</v>
      </c>
    </row>
    <row r="1480" spans="1:7">
      <c r="A1480" t="s">
        <v>4181</v>
      </c>
      <c r="G1480" t="s">
        <v>4631</v>
      </c>
    </row>
    <row r="1481" spans="1:7">
      <c r="A1481" t="s">
        <v>4518</v>
      </c>
      <c r="G1481" t="s">
        <v>4631</v>
      </c>
    </row>
    <row r="1482" spans="1:7">
      <c r="A1482" t="s">
        <v>4104</v>
      </c>
      <c r="G1482" t="s">
        <v>4632</v>
      </c>
    </row>
    <row r="1483" spans="1:7">
      <c r="A1483" t="s">
        <v>4080</v>
      </c>
      <c r="G1483" t="s">
        <v>4632</v>
      </c>
    </row>
    <row r="1484" spans="1:7">
      <c r="A1484" t="s">
        <v>4633</v>
      </c>
      <c r="G1484" t="s">
        <v>4632</v>
      </c>
    </row>
    <row r="1485" spans="1:7">
      <c r="A1485" t="s">
        <v>4103</v>
      </c>
      <c r="G1485" t="s">
        <v>4632</v>
      </c>
    </row>
    <row r="1486" spans="1:7">
      <c r="A1486" t="s">
        <v>4126</v>
      </c>
      <c r="B1486">
        <v>5473097</v>
      </c>
      <c r="G1486" t="s">
        <v>4632</v>
      </c>
    </row>
    <row r="1487" spans="1:7">
      <c r="A1487" t="s">
        <v>4082</v>
      </c>
      <c r="G1487" t="s">
        <v>4632</v>
      </c>
    </row>
    <row r="1488" spans="1:7">
      <c r="A1488" t="s">
        <v>4171</v>
      </c>
      <c r="G1488" t="s">
        <v>4632</v>
      </c>
    </row>
    <row r="1489" spans="1:7">
      <c r="A1489" t="s">
        <v>4009</v>
      </c>
      <c r="G1489" t="s">
        <v>4632</v>
      </c>
    </row>
    <row r="1490" spans="1:8">
      <c r="A1490" t="s">
        <v>4307</v>
      </c>
      <c r="B1490">
        <v>5482097</v>
      </c>
      <c r="G1490" t="s">
        <v>4632</v>
      </c>
      <c r="H1490">
        <v>4997097</v>
      </c>
    </row>
    <row r="1491" spans="1:7">
      <c r="A1491" t="s">
        <v>4634</v>
      </c>
      <c r="G1491" t="s">
        <v>4632</v>
      </c>
    </row>
    <row r="1492" spans="1:7">
      <c r="A1492" t="s">
        <v>4635</v>
      </c>
      <c r="G1492" t="s">
        <v>4632</v>
      </c>
    </row>
    <row r="1493" spans="1:7">
      <c r="A1493" t="s">
        <v>4303</v>
      </c>
      <c r="G1493" t="s">
        <v>4632</v>
      </c>
    </row>
    <row r="1494" spans="1:7">
      <c r="A1494" t="s">
        <v>4571</v>
      </c>
      <c r="G1494" t="s">
        <v>4632</v>
      </c>
    </row>
    <row r="1495" spans="1:7">
      <c r="A1495" t="s">
        <v>4636</v>
      </c>
      <c r="G1495" t="s">
        <v>4632</v>
      </c>
    </row>
    <row r="1496" spans="1:7">
      <c r="A1496" t="s">
        <v>4637</v>
      </c>
      <c r="G1496" t="s">
        <v>4632</v>
      </c>
    </row>
    <row r="1497" spans="1:7">
      <c r="A1497" t="s">
        <v>4262</v>
      </c>
      <c r="G1497" t="s">
        <v>4632</v>
      </c>
    </row>
    <row r="1498" spans="1:8">
      <c r="A1498" t="s">
        <v>4064</v>
      </c>
      <c r="B1498">
        <v>5471097</v>
      </c>
      <c r="G1498" t="s">
        <v>4632</v>
      </c>
      <c r="H1498">
        <v>4860097</v>
      </c>
    </row>
    <row r="1499" spans="1:7">
      <c r="A1499" t="s">
        <v>4123</v>
      </c>
      <c r="G1499" t="s">
        <v>4632</v>
      </c>
    </row>
    <row r="1500" spans="1:7">
      <c r="A1500" t="s">
        <v>4152</v>
      </c>
      <c r="G1500" t="s">
        <v>4632</v>
      </c>
    </row>
    <row r="1501" spans="1:7">
      <c r="A1501" t="s">
        <v>4638</v>
      </c>
      <c r="G1501" t="s">
        <v>4632</v>
      </c>
    </row>
    <row r="1502" spans="1:7">
      <c r="A1502" t="s">
        <v>4464</v>
      </c>
      <c r="G1502" t="s">
        <v>4632</v>
      </c>
    </row>
    <row r="1503" spans="1:7">
      <c r="A1503" t="s">
        <v>4639</v>
      </c>
      <c r="G1503" t="s">
        <v>4632</v>
      </c>
    </row>
    <row r="1504" spans="1:7">
      <c r="A1504" t="s">
        <v>4640</v>
      </c>
      <c r="G1504" t="s">
        <v>4632</v>
      </c>
    </row>
    <row r="1505" spans="1:7">
      <c r="A1505" t="s">
        <v>4641</v>
      </c>
      <c r="G1505" t="s">
        <v>4632</v>
      </c>
    </row>
    <row r="1506" spans="1:7">
      <c r="A1506" t="s">
        <v>4642</v>
      </c>
      <c r="G1506" t="s">
        <v>4632</v>
      </c>
    </row>
    <row r="1507" spans="1:8">
      <c r="A1507" t="s">
        <v>4085</v>
      </c>
      <c r="G1507" t="s">
        <v>4632</v>
      </c>
      <c r="H1507">
        <v>4842097</v>
      </c>
    </row>
    <row r="1508" spans="1:7">
      <c r="A1508" t="s">
        <v>4535</v>
      </c>
      <c r="G1508" t="s">
        <v>4632</v>
      </c>
    </row>
    <row r="1509" spans="1:7">
      <c r="A1509" t="s">
        <v>4514</v>
      </c>
      <c r="G1509" t="s">
        <v>4632</v>
      </c>
    </row>
    <row r="1510" spans="1:8">
      <c r="A1510" t="s">
        <v>4643</v>
      </c>
      <c r="G1510" t="s">
        <v>4632</v>
      </c>
      <c r="H1510">
        <v>4836097</v>
      </c>
    </row>
    <row r="1511" spans="1:7">
      <c r="A1511" t="s">
        <v>4644</v>
      </c>
      <c r="G1511" t="s">
        <v>4632</v>
      </c>
    </row>
    <row r="1512" spans="1:7">
      <c r="A1512" t="s">
        <v>4645</v>
      </c>
      <c r="G1512" t="s">
        <v>4632</v>
      </c>
    </row>
    <row r="1513" spans="1:7">
      <c r="A1513" t="s">
        <v>4035</v>
      </c>
      <c r="G1513" t="s">
        <v>4632</v>
      </c>
    </row>
    <row r="1514" spans="1:7">
      <c r="A1514" t="s">
        <v>4646</v>
      </c>
      <c r="G1514" t="s">
        <v>4632</v>
      </c>
    </row>
    <row r="1515" spans="1:7">
      <c r="A1515" t="s">
        <v>4026</v>
      </c>
      <c r="G1515" t="s">
        <v>4632</v>
      </c>
    </row>
    <row r="1516" spans="1:7">
      <c r="A1516" t="s">
        <v>4647</v>
      </c>
      <c r="G1516" t="s">
        <v>4632</v>
      </c>
    </row>
    <row r="1517" spans="1:7">
      <c r="A1517" t="s">
        <v>4648</v>
      </c>
      <c r="B1517">
        <v>5481097</v>
      </c>
      <c r="G1517" t="s">
        <v>4632</v>
      </c>
    </row>
    <row r="1518" spans="1:7">
      <c r="A1518" t="s">
        <v>4649</v>
      </c>
      <c r="G1518" t="s">
        <v>4632</v>
      </c>
    </row>
    <row r="1519" spans="1:7">
      <c r="A1519" t="s">
        <v>4156</v>
      </c>
      <c r="G1519" t="s">
        <v>4632</v>
      </c>
    </row>
    <row r="1520" spans="1:7">
      <c r="A1520" t="s">
        <v>4650</v>
      </c>
      <c r="G1520" t="s">
        <v>4632</v>
      </c>
    </row>
    <row r="1521" spans="1:7">
      <c r="A1521" t="s">
        <v>4058</v>
      </c>
      <c r="G1521" t="s">
        <v>4632</v>
      </c>
    </row>
    <row r="1522" spans="1:7">
      <c r="A1522" t="s">
        <v>4630</v>
      </c>
      <c r="G1522" t="s">
        <v>4632</v>
      </c>
    </row>
    <row r="1523" spans="1:7">
      <c r="A1523" t="s">
        <v>4651</v>
      </c>
      <c r="G1523" t="s">
        <v>4632</v>
      </c>
    </row>
    <row r="1524" spans="1:7">
      <c r="A1524" t="s">
        <v>4518</v>
      </c>
      <c r="G1524" t="s">
        <v>4632</v>
      </c>
    </row>
    <row r="1525" spans="1:7">
      <c r="A1525" t="s">
        <v>4652</v>
      </c>
      <c r="G1525" t="s">
        <v>4653</v>
      </c>
    </row>
    <row r="1526" spans="1:7">
      <c r="A1526" t="s">
        <v>4654</v>
      </c>
      <c r="G1526" t="s">
        <v>4103</v>
      </c>
    </row>
    <row r="1527" spans="1:7">
      <c r="A1527" t="s">
        <v>4091</v>
      </c>
      <c r="G1527" t="s">
        <v>4103</v>
      </c>
    </row>
    <row r="1528" spans="1:7">
      <c r="A1528" t="s">
        <v>4136</v>
      </c>
      <c r="G1528" t="s">
        <v>4103</v>
      </c>
    </row>
    <row r="1529" spans="1:7">
      <c r="A1529" t="s">
        <v>4085</v>
      </c>
      <c r="G1529" t="s">
        <v>4103</v>
      </c>
    </row>
    <row r="1530" spans="1:7">
      <c r="A1530" t="s">
        <v>4618</v>
      </c>
      <c r="G1530" t="s">
        <v>4103</v>
      </c>
    </row>
    <row r="1531" spans="1:7">
      <c r="A1531" t="s">
        <v>4159</v>
      </c>
      <c r="G1531" t="s">
        <v>4103</v>
      </c>
    </row>
    <row r="1532" spans="1:7">
      <c r="A1532" t="s">
        <v>4655</v>
      </c>
      <c r="G1532" t="s">
        <v>4103</v>
      </c>
    </row>
    <row r="1533" spans="1:7">
      <c r="A1533" t="s">
        <v>4562</v>
      </c>
      <c r="G1533" t="s">
        <v>4103</v>
      </c>
    </row>
    <row r="1534" spans="1:7">
      <c r="A1534" t="s">
        <v>4656</v>
      </c>
      <c r="G1534" t="s">
        <v>4103</v>
      </c>
    </row>
    <row r="1535" spans="1:7">
      <c r="A1535" t="s">
        <v>4103</v>
      </c>
      <c r="G1535" t="s">
        <v>4103</v>
      </c>
    </row>
    <row r="1536" spans="1:7">
      <c r="A1536" t="s">
        <v>4657</v>
      </c>
      <c r="G1536" t="s">
        <v>4103</v>
      </c>
    </row>
    <row r="1537" spans="1:7">
      <c r="A1537" t="s">
        <v>4658</v>
      </c>
      <c r="G1537" t="s">
        <v>4103</v>
      </c>
    </row>
    <row r="1538" spans="1:7">
      <c r="A1538" t="s">
        <v>4080</v>
      </c>
      <c r="G1538" t="s">
        <v>4103</v>
      </c>
    </row>
    <row r="1539" spans="1:7">
      <c r="A1539" t="s">
        <v>4113</v>
      </c>
      <c r="G1539" t="s">
        <v>4103</v>
      </c>
    </row>
    <row r="1540" spans="1:7">
      <c r="A1540" t="s">
        <v>4623</v>
      </c>
      <c r="G1540" t="s">
        <v>4659</v>
      </c>
    </row>
    <row r="1541" spans="1:7">
      <c r="A1541" t="s">
        <v>4131</v>
      </c>
      <c r="G1541" t="s">
        <v>4659</v>
      </c>
    </row>
    <row r="1542" spans="1:7">
      <c r="A1542" t="s">
        <v>4009</v>
      </c>
      <c r="G1542" t="s">
        <v>4659</v>
      </c>
    </row>
    <row r="1543" spans="1:7">
      <c r="A1543" t="s">
        <v>4176</v>
      </c>
      <c r="G1543" t="s">
        <v>4659</v>
      </c>
    </row>
    <row r="1544" spans="1:7">
      <c r="A1544" t="s">
        <v>4660</v>
      </c>
      <c r="G1544" t="s">
        <v>4659</v>
      </c>
    </row>
    <row r="1545" spans="1:7">
      <c r="A1545" t="s">
        <v>4661</v>
      </c>
      <c r="G1545" t="s">
        <v>4659</v>
      </c>
    </row>
    <row r="1546" spans="1:7">
      <c r="A1546" t="s">
        <v>4662</v>
      </c>
      <c r="G1546" t="s">
        <v>4659</v>
      </c>
    </row>
    <row r="1547" spans="1:7">
      <c r="A1547" t="s">
        <v>4147</v>
      </c>
      <c r="G1547" t="s">
        <v>4659</v>
      </c>
    </row>
    <row r="1548" spans="1:7">
      <c r="A1548" t="s">
        <v>4398</v>
      </c>
      <c r="G1548" t="s">
        <v>4659</v>
      </c>
    </row>
    <row r="1549" spans="1:7">
      <c r="A1549" t="s">
        <v>4312</v>
      </c>
      <c r="G1549" t="s">
        <v>4659</v>
      </c>
    </row>
    <row r="1550" spans="1:7">
      <c r="A1550" t="s">
        <v>4663</v>
      </c>
      <c r="G1550" t="s">
        <v>4659</v>
      </c>
    </row>
    <row r="1551" spans="1:7">
      <c r="A1551" t="s">
        <v>4082</v>
      </c>
      <c r="G1551" t="s">
        <v>4659</v>
      </c>
    </row>
    <row r="1552" spans="1:7">
      <c r="A1552" t="s">
        <v>4364</v>
      </c>
      <c r="G1552" t="s">
        <v>4659</v>
      </c>
    </row>
    <row r="1553" spans="1:7">
      <c r="A1553" t="s">
        <v>4055</v>
      </c>
      <c r="G1553" t="s">
        <v>4659</v>
      </c>
    </row>
    <row r="1554" spans="1:7">
      <c r="A1554" t="s">
        <v>4664</v>
      </c>
      <c r="G1554" t="s">
        <v>4659</v>
      </c>
    </row>
    <row r="1555" spans="1:7">
      <c r="A1555" t="s">
        <v>4187</v>
      </c>
      <c r="G1555" t="s">
        <v>4659</v>
      </c>
    </row>
    <row r="1556" spans="1:7">
      <c r="A1556" t="s">
        <v>4665</v>
      </c>
      <c r="G1556" t="s">
        <v>4659</v>
      </c>
    </row>
    <row r="1557" spans="1:7">
      <c r="A1557" t="s">
        <v>4666</v>
      </c>
      <c r="G1557" t="s">
        <v>4659</v>
      </c>
    </row>
    <row r="1558" spans="1:7">
      <c r="A1558" t="s">
        <v>4218</v>
      </c>
      <c r="G1558" t="s">
        <v>4659</v>
      </c>
    </row>
    <row r="1559" spans="1:7">
      <c r="A1559" t="s">
        <v>4420</v>
      </c>
      <c r="G1559" t="s">
        <v>4659</v>
      </c>
    </row>
    <row r="1560" spans="1:7">
      <c r="A1560" t="s">
        <v>4152</v>
      </c>
      <c r="G1560" t="s">
        <v>4659</v>
      </c>
    </row>
    <row r="1561" spans="1:7">
      <c r="A1561" t="s">
        <v>4667</v>
      </c>
      <c r="G1561" t="s">
        <v>4659</v>
      </c>
    </row>
    <row r="1562" spans="1:7">
      <c r="A1562" t="s">
        <v>4668</v>
      </c>
      <c r="G1562" t="s">
        <v>4659</v>
      </c>
    </row>
    <row r="1563" spans="1:7">
      <c r="A1563" t="s">
        <v>4450</v>
      </c>
      <c r="G1563" t="s">
        <v>4659</v>
      </c>
    </row>
    <row r="1564" spans="1:7">
      <c r="A1564" t="s">
        <v>4171</v>
      </c>
      <c r="G1564" t="s">
        <v>4659</v>
      </c>
    </row>
    <row r="1565" spans="1:7">
      <c r="A1565" t="s">
        <v>4669</v>
      </c>
      <c r="G1565" t="s">
        <v>4659</v>
      </c>
    </row>
    <row r="1566" spans="1:7">
      <c r="A1566" t="s">
        <v>4670</v>
      </c>
      <c r="G1566" t="s">
        <v>4659</v>
      </c>
    </row>
    <row r="1567" spans="1:7">
      <c r="A1567" t="s">
        <v>4447</v>
      </c>
      <c r="B1567">
        <v>5477097</v>
      </c>
      <c r="G1567" t="s">
        <v>4659</v>
      </c>
    </row>
    <row r="1568" spans="1:7">
      <c r="A1568" t="s">
        <v>4215</v>
      </c>
      <c r="G1568" t="s">
        <v>4659</v>
      </c>
    </row>
    <row r="1569" spans="1:7">
      <c r="A1569" t="s">
        <v>4571</v>
      </c>
      <c r="G1569" t="s">
        <v>4659</v>
      </c>
    </row>
    <row r="1570" spans="1:7">
      <c r="A1570" t="s">
        <v>4052</v>
      </c>
      <c r="G1570" t="s">
        <v>4659</v>
      </c>
    </row>
    <row r="1571" spans="1:7">
      <c r="A1571" t="s">
        <v>4075</v>
      </c>
      <c r="G1571" t="s">
        <v>4659</v>
      </c>
    </row>
    <row r="1572" spans="1:8">
      <c r="A1572" t="s">
        <v>4262</v>
      </c>
      <c r="G1572" t="s">
        <v>4659</v>
      </c>
      <c r="H1572">
        <v>4898097</v>
      </c>
    </row>
    <row r="1573" spans="1:7">
      <c r="A1573" t="s">
        <v>4035</v>
      </c>
      <c r="G1573" t="s">
        <v>4659</v>
      </c>
    </row>
    <row r="1574" spans="1:7">
      <c r="A1574" t="s">
        <v>4671</v>
      </c>
      <c r="G1574" t="s">
        <v>4659</v>
      </c>
    </row>
    <row r="1575" spans="1:7">
      <c r="A1575" t="s">
        <v>4327</v>
      </c>
      <c r="G1575" t="s">
        <v>4659</v>
      </c>
    </row>
    <row r="1576" spans="1:7">
      <c r="A1576" t="s">
        <v>3993</v>
      </c>
      <c r="G1576" t="s">
        <v>4659</v>
      </c>
    </row>
    <row r="1577" spans="1:7">
      <c r="A1577" t="s">
        <v>4328</v>
      </c>
      <c r="G1577" t="s">
        <v>4659</v>
      </c>
    </row>
    <row r="1578" spans="1:7">
      <c r="A1578" t="s">
        <v>4199</v>
      </c>
      <c r="G1578" t="s">
        <v>4659</v>
      </c>
    </row>
    <row r="1579" spans="1:7">
      <c r="A1579" t="s">
        <v>4440</v>
      </c>
      <c r="G1579" t="s">
        <v>4659</v>
      </c>
    </row>
    <row r="1580" spans="1:7">
      <c r="A1580" t="s">
        <v>4672</v>
      </c>
      <c r="G1580" t="s">
        <v>4659</v>
      </c>
    </row>
    <row r="1581" spans="1:7">
      <c r="A1581" t="s">
        <v>4606</v>
      </c>
      <c r="G1581" t="s">
        <v>4673</v>
      </c>
    </row>
    <row r="1582" spans="1:7">
      <c r="A1582" t="s">
        <v>4469</v>
      </c>
      <c r="G1582" t="s">
        <v>4673</v>
      </c>
    </row>
    <row r="1583" spans="1:7">
      <c r="A1583" t="s">
        <v>4674</v>
      </c>
      <c r="G1583" t="s">
        <v>4673</v>
      </c>
    </row>
    <row r="1584" spans="1:7">
      <c r="A1584" t="s">
        <v>4104</v>
      </c>
      <c r="G1584" t="s">
        <v>4673</v>
      </c>
    </row>
    <row r="1585" spans="1:7">
      <c r="A1585" t="s">
        <v>4198</v>
      </c>
      <c r="G1585" t="s">
        <v>4673</v>
      </c>
    </row>
    <row r="1586" spans="1:8">
      <c r="A1586" t="s">
        <v>4038</v>
      </c>
      <c r="G1586" t="s">
        <v>4210</v>
      </c>
      <c r="H1586">
        <v>5619097</v>
      </c>
    </row>
    <row r="1587" spans="1:7">
      <c r="A1587" t="s">
        <v>4217</v>
      </c>
      <c r="G1587" t="s">
        <v>4096</v>
      </c>
    </row>
    <row r="1588" spans="1:8">
      <c r="A1588" t="s">
        <v>4211</v>
      </c>
      <c r="G1588" t="s">
        <v>4096</v>
      </c>
      <c r="H1588">
        <v>5558097</v>
      </c>
    </row>
    <row r="1589" spans="1:7">
      <c r="A1589" t="s">
        <v>4675</v>
      </c>
      <c r="G1589" t="s">
        <v>4676</v>
      </c>
    </row>
    <row r="1590" spans="1:7">
      <c r="A1590" t="s">
        <v>4048</v>
      </c>
      <c r="G1590" t="s">
        <v>4106</v>
      </c>
    </row>
    <row r="1591" spans="1:7">
      <c r="A1591" t="s">
        <v>4677</v>
      </c>
      <c r="B1591">
        <v>5470097</v>
      </c>
      <c r="G1591" t="s">
        <v>4516</v>
      </c>
    </row>
    <row r="1592" spans="1:7">
      <c r="A1592" t="s">
        <v>4678</v>
      </c>
      <c r="G1592" t="s">
        <v>4516</v>
      </c>
    </row>
    <row r="1593" spans="1:7">
      <c r="A1593" t="s">
        <v>4389</v>
      </c>
      <c r="G1593" t="s">
        <v>4516</v>
      </c>
    </row>
    <row r="1594" spans="1:7">
      <c r="A1594" t="s">
        <v>4307</v>
      </c>
      <c r="G1594" t="s">
        <v>4516</v>
      </c>
    </row>
    <row r="1595" spans="1:7">
      <c r="A1595" t="s">
        <v>4679</v>
      </c>
      <c r="G1595" t="s">
        <v>4516</v>
      </c>
    </row>
    <row r="1596" spans="1:7">
      <c r="A1596" t="s">
        <v>4620</v>
      </c>
      <c r="G1596" t="s">
        <v>4516</v>
      </c>
    </row>
    <row r="1597" spans="1:7">
      <c r="A1597" t="s">
        <v>4208</v>
      </c>
      <c r="G1597" t="s">
        <v>4516</v>
      </c>
    </row>
    <row r="1598" spans="1:7">
      <c r="A1598" t="s">
        <v>4680</v>
      </c>
      <c r="G1598" t="s">
        <v>4516</v>
      </c>
    </row>
    <row r="1599" spans="1:7">
      <c r="A1599" t="s">
        <v>4617</v>
      </c>
      <c r="G1599" t="s">
        <v>4516</v>
      </c>
    </row>
    <row r="1600" spans="1:7">
      <c r="A1600" t="s">
        <v>4407</v>
      </c>
      <c r="G1600" t="s">
        <v>4516</v>
      </c>
    </row>
    <row r="1601" spans="1:7">
      <c r="A1601" t="s">
        <v>4464</v>
      </c>
      <c r="G1601" t="s">
        <v>4108</v>
      </c>
    </row>
    <row r="1602" spans="1:7">
      <c r="A1602" t="s">
        <v>4681</v>
      </c>
      <c r="B1602">
        <v>5474097</v>
      </c>
      <c r="G1602" t="s">
        <v>4108</v>
      </c>
    </row>
    <row r="1603" spans="1:7">
      <c r="A1603" t="s">
        <v>4682</v>
      </c>
      <c r="G1603" t="s">
        <v>4108</v>
      </c>
    </row>
    <row r="1604" spans="1:7">
      <c r="A1604" t="s">
        <v>4262</v>
      </c>
      <c r="G1604" t="s">
        <v>4108</v>
      </c>
    </row>
    <row r="1605" spans="1:7">
      <c r="A1605" t="s">
        <v>4331</v>
      </c>
      <c r="G1605" t="s">
        <v>4108</v>
      </c>
    </row>
    <row r="1606" spans="1:7">
      <c r="A1606" t="s">
        <v>4480</v>
      </c>
      <c r="G1606" t="s">
        <v>4108</v>
      </c>
    </row>
    <row r="1607" spans="1:7">
      <c r="A1607" t="s">
        <v>4378</v>
      </c>
      <c r="G1607" t="s">
        <v>4108</v>
      </c>
    </row>
    <row r="1608" spans="1:7">
      <c r="A1608" t="s">
        <v>4342</v>
      </c>
      <c r="G1608" t="s">
        <v>4108</v>
      </c>
    </row>
    <row r="1609" spans="1:7">
      <c r="A1609" t="s">
        <v>4349</v>
      </c>
      <c r="G1609" t="s">
        <v>4108</v>
      </c>
    </row>
    <row r="1610" spans="1:7">
      <c r="A1610" t="s">
        <v>4683</v>
      </c>
      <c r="G1610" t="s">
        <v>4108</v>
      </c>
    </row>
    <row r="1611" spans="1:7">
      <c r="A1611" t="s">
        <v>4361</v>
      </c>
      <c r="G1611" t="s">
        <v>4108</v>
      </c>
    </row>
    <row r="1612" spans="1:7">
      <c r="A1612" t="s">
        <v>4382</v>
      </c>
      <c r="G1612" t="s">
        <v>4108</v>
      </c>
    </row>
    <row r="1613" spans="1:7">
      <c r="A1613" t="s">
        <v>4083</v>
      </c>
      <c r="G1613" t="s">
        <v>4108</v>
      </c>
    </row>
    <row r="1614" spans="1:7">
      <c r="A1614" t="s">
        <v>4684</v>
      </c>
      <c r="G1614" t="s">
        <v>4685</v>
      </c>
    </row>
    <row r="1615" spans="1:7">
      <c r="A1615" t="s">
        <v>4686</v>
      </c>
      <c r="G1615" t="s">
        <v>4687</v>
      </c>
    </row>
    <row r="1616" spans="1:7">
      <c r="A1616" t="s">
        <v>4688</v>
      </c>
      <c r="B1616">
        <v>5473097</v>
      </c>
      <c r="G1616" t="s">
        <v>4687</v>
      </c>
    </row>
    <row r="1617" spans="1:7">
      <c r="A1617" t="s">
        <v>4064</v>
      </c>
      <c r="G1617" t="s">
        <v>4689</v>
      </c>
    </row>
    <row r="1618" spans="1:7">
      <c r="A1618" t="s">
        <v>4035</v>
      </c>
      <c r="G1618" t="s">
        <v>4689</v>
      </c>
    </row>
    <row r="1619" spans="1:7">
      <c r="A1619" t="s">
        <v>4690</v>
      </c>
      <c r="G1619" t="s">
        <v>4508</v>
      </c>
    </row>
    <row r="1620" spans="1:7">
      <c r="A1620" t="s">
        <v>4629</v>
      </c>
      <c r="G1620" t="s">
        <v>4508</v>
      </c>
    </row>
    <row r="1621" spans="1:7">
      <c r="A1621" t="s">
        <v>4691</v>
      </c>
      <c r="G1621" t="s">
        <v>4692</v>
      </c>
    </row>
    <row r="1622" spans="1:7">
      <c r="A1622" t="s">
        <v>4693</v>
      </c>
      <c r="G1622" t="s">
        <v>4692</v>
      </c>
    </row>
    <row r="1623" spans="1:7">
      <c r="A1623" t="s">
        <v>4694</v>
      </c>
      <c r="G1623" t="s">
        <v>4692</v>
      </c>
    </row>
    <row r="1624" spans="1:7">
      <c r="A1624" t="s">
        <v>4695</v>
      </c>
      <c r="G1624" t="s">
        <v>4692</v>
      </c>
    </row>
    <row r="1625" spans="1:7">
      <c r="A1625" t="s">
        <v>4696</v>
      </c>
      <c r="G1625" t="s">
        <v>4692</v>
      </c>
    </row>
    <row r="1626" spans="1:7">
      <c r="A1626" t="s">
        <v>4294</v>
      </c>
      <c r="G1626" t="s">
        <v>4697</v>
      </c>
    </row>
    <row r="1627" spans="1:8">
      <c r="A1627" t="s">
        <v>4698</v>
      </c>
      <c r="G1627" t="s">
        <v>4697</v>
      </c>
      <c r="H1627">
        <v>5409097</v>
      </c>
    </row>
    <row r="1628" spans="1:7">
      <c r="A1628" t="s">
        <v>4609</v>
      </c>
      <c r="B1628">
        <v>5471097</v>
      </c>
      <c r="G1628" t="s">
        <v>4697</v>
      </c>
    </row>
    <row r="1629" spans="1:7">
      <c r="A1629" t="s">
        <v>4188</v>
      </c>
      <c r="G1629" t="s">
        <v>4697</v>
      </c>
    </row>
    <row r="1630" spans="1:7">
      <c r="A1630" t="s">
        <v>4141</v>
      </c>
      <c r="G1630" t="s">
        <v>4697</v>
      </c>
    </row>
    <row r="1631" spans="1:7">
      <c r="A1631" t="s">
        <v>4699</v>
      </c>
      <c r="G1631" t="s">
        <v>4697</v>
      </c>
    </row>
    <row r="1632" spans="1:7">
      <c r="A1632" t="s">
        <v>4700</v>
      </c>
      <c r="B1632">
        <v>5464097</v>
      </c>
      <c r="G1632" t="s">
        <v>4697</v>
      </c>
    </row>
    <row r="1633" spans="1:7">
      <c r="A1633" t="s">
        <v>4633</v>
      </c>
      <c r="G1633" t="s">
        <v>4697</v>
      </c>
    </row>
    <row r="1634" spans="1:7">
      <c r="A1634" t="s">
        <v>4322</v>
      </c>
      <c r="G1634" t="s">
        <v>4697</v>
      </c>
    </row>
    <row r="1635" spans="1:7">
      <c r="A1635" t="s">
        <v>4142</v>
      </c>
      <c r="G1635" t="s">
        <v>4697</v>
      </c>
    </row>
    <row r="1636" spans="1:7">
      <c r="A1636" t="s">
        <v>4082</v>
      </c>
      <c r="G1636" t="s">
        <v>4697</v>
      </c>
    </row>
    <row r="1637" spans="1:7">
      <c r="A1637" t="s">
        <v>4375</v>
      </c>
      <c r="G1637" t="s">
        <v>4697</v>
      </c>
    </row>
    <row r="1638" spans="1:7">
      <c r="A1638" t="s">
        <v>4090</v>
      </c>
      <c r="G1638" t="s">
        <v>4697</v>
      </c>
    </row>
    <row r="1639" spans="1:7">
      <c r="A1639" t="s">
        <v>4127</v>
      </c>
      <c r="G1639" t="s">
        <v>4697</v>
      </c>
    </row>
    <row r="1640" spans="1:7">
      <c r="A1640" t="s">
        <v>4262</v>
      </c>
      <c r="G1640" t="s">
        <v>4697</v>
      </c>
    </row>
    <row r="1641" spans="1:7">
      <c r="A1641" t="s">
        <v>4701</v>
      </c>
      <c r="G1641" t="s">
        <v>4697</v>
      </c>
    </row>
    <row r="1642" spans="1:7">
      <c r="A1642" t="s">
        <v>4702</v>
      </c>
      <c r="G1642" t="s">
        <v>4697</v>
      </c>
    </row>
    <row r="1643" spans="1:7">
      <c r="A1643" t="s">
        <v>4703</v>
      </c>
      <c r="G1643" t="s">
        <v>4697</v>
      </c>
    </row>
    <row r="1644" spans="1:7">
      <c r="A1644" t="s">
        <v>4108</v>
      </c>
      <c r="G1644" t="s">
        <v>4697</v>
      </c>
    </row>
    <row r="1645" spans="1:8">
      <c r="A1645" t="s">
        <v>4095</v>
      </c>
      <c r="G1645" t="s">
        <v>4697</v>
      </c>
      <c r="H1645">
        <v>5191097</v>
      </c>
    </row>
    <row r="1646" spans="1:7">
      <c r="A1646" t="s">
        <v>4704</v>
      </c>
      <c r="G1646" t="s">
        <v>4697</v>
      </c>
    </row>
    <row r="1647" spans="1:7">
      <c r="A1647" t="s">
        <v>4205</v>
      </c>
      <c r="G1647" t="s">
        <v>4225</v>
      </c>
    </row>
    <row r="1648" spans="1:7">
      <c r="A1648" t="s">
        <v>4705</v>
      </c>
      <c r="G1648" t="s">
        <v>4706</v>
      </c>
    </row>
    <row r="1649" spans="1:7">
      <c r="A1649" t="s">
        <v>4707</v>
      </c>
      <c r="G1649" t="s">
        <v>4706</v>
      </c>
    </row>
    <row r="1650" spans="1:7">
      <c r="A1650" t="s">
        <v>4248</v>
      </c>
      <c r="G1650" t="s">
        <v>4706</v>
      </c>
    </row>
    <row r="1651" spans="1:7">
      <c r="A1651" t="s">
        <v>4052</v>
      </c>
      <c r="G1651" t="s">
        <v>4706</v>
      </c>
    </row>
    <row r="1652" spans="1:7">
      <c r="A1652" t="s">
        <v>4708</v>
      </c>
      <c r="G1652" t="s">
        <v>4177</v>
      </c>
    </row>
    <row r="1653" spans="1:7">
      <c r="A1653" t="s">
        <v>4156</v>
      </c>
      <c r="G1653" t="s">
        <v>4177</v>
      </c>
    </row>
    <row r="1654" spans="1:7">
      <c r="A1654" t="s">
        <v>4153</v>
      </c>
      <c r="G1654" t="s">
        <v>4177</v>
      </c>
    </row>
    <row r="1655" spans="1:7">
      <c r="A1655" t="s">
        <v>4709</v>
      </c>
      <c r="G1655" t="s">
        <v>4177</v>
      </c>
    </row>
    <row r="1656" spans="1:7">
      <c r="A1656" t="s">
        <v>4568</v>
      </c>
      <c r="G1656" t="s">
        <v>4710</v>
      </c>
    </row>
    <row r="1657" spans="1:7">
      <c r="A1657" t="s">
        <v>4115</v>
      </c>
      <c r="G1657" t="s">
        <v>4710</v>
      </c>
    </row>
    <row r="1658" spans="1:7">
      <c r="A1658" t="s">
        <v>4245</v>
      </c>
      <c r="G1658" t="s">
        <v>4710</v>
      </c>
    </row>
    <row r="1659" spans="1:7">
      <c r="A1659" t="s">
        <v>4437</v>
      </c>
      <c r="G1659" t="s">
        <v>4710</v>
      </c>
    </row>
    <row r="1660" spans="1:7">
      <c r="A1660" t="s">
        <v>4711</v>
      </c>
      <c r="G1660" t="s">
        <v>4333</v>
      </c>
    </row>
    <row r="1661" spans="1:7">
      <c r="A1661" t="s">
        <v>4372</v>
      </c>
      <c r="G1661" t="s">
        <v>4333</v>
      </c>
    </row>
    <row r="1662" spans="1:8">
      <c r="A1662" t="s">
        <v>4450</v>
      </c>
      <c r="G1662" t="s">
        <v>4333</v>
      </c>
      <c r="H1662">
        <v>5461097</v>
      </c>
    </row>
    <row r="1663" spans="1:8">
      <c r="A1663" t="s">
        <v>4712</v>
      </c>
      <c r="G1663" t="s">
        <v>4333</v>
      </c>
      <c r="H1663">
        <v>5460097</v>
      </c>
    </row>
    <row r="1664" spans="1:7">
      <c r="A1664" t="s">
        <v>4080</v>
      </c>
      <c r="G1664" t="s">
        <v>4333</v>
      </c>
    </row>
    <row r="1665" spans="1:7">
      <c r="A1665" t="s">
        <v>4620</v>
      </c>
      <c r="B1665">
        <v>5463097</v>
      </c>
      <c r="G1665" t="s">
        <v>4333</v>
      </c>
    </row>
    <row r="1666" spans="1:7">
      <c r="A1666" t="s">
        <v>4675</v>
      </c>
      <c r="G1666" t="s">
        <v>4333</v>
      </c>
    </row>
    <row r="1667" spans="1:7">
      <c r="A1667" t="s">
        <v>4148</v>
      </c>
      <c r="G1667" t="s">
        <v>4333</v>
      </c>
    </row>
    <row r="1668" spans="1:7">
      <c r="A1668" t="s">
        <v>4171</v>
      </c>
      <c r="G1668" t="s">
        <v>4333</v>
      </c>
    </row>
    <row r="1669" spans="1:7">
      <c r="A1669" t="s">
        <v>4606</v>
      </c>
      <c r="G1669" t="s">
        <v>4333</v>
      </c>
    </row>
    <row r="1670" spans="1:7">
      <c r="A1670" t="s">
        <v>4713</v>
      </c>
      <c r="G1670" t="s">
        <v>4333</v>
      </c>
    </row>
    <row r="1671" spans="1:7">
      <c r="A1671" t="s">
        <v>4124</v>
      </c>
      <c r="G1671" t="s">
        <v>4333</v>
      </c>
    </row>
    <row r="1672" spans="1:7">
      <c r="A1672" t="s">
        <v>4091</v>
      </c>
      <c r="G1672" t="s">
        <v>4333</v>
      </c>
    </row>
    <row r="1673" spans="1:8">
      <c r="A1673" t="s">
        <v>4112</v>
      </c>
      <c r="G1673" t="s">
        <v>4333</v>
      </c>
      <c r="H1673">
        <v>4900097</v>
      </c>
    </row>
    <row r="1674" spans="1:7">
      <c r="A1674" t="s">
        <v>4128</v>
      </c>
      <c r="G1674" t="s">
        <v>4714</v>
      </c>
    </row>
    <row r="1675" spans="1:7">
      <c r="A1675" t="s">
        <v>4241</v>
      </c>
      <c r="G1675" t="s">
        <v>4715</v>
      </c>
    </row>
    <row r="1676" spans="1:7">
      <c r="A1676" t="s">
        <v>4113</v>
      </c>
      <c r="G1676" t="s">
        <v>4052</v>
      </c>
    </row>
    <row r="1677" spans="1:7">
      <c r="A1677" t="s">
        <v>4627</v>
      </c>
      <c r="G1677" t="s">
        <v>4052</v>
      </c>
    </row>
    <row r="1678" spans="1:7">
      <c r="A1678" t="s">
        <v>4553</v>
      </c>
      <c r="G1678" t="s">
        <v>4052</v>
      </c>
    </row>
    <row r="1679" spans="1:7">
      <c r="A1679" t="s">
        <v>4161</v>
      </c>
      <c r="G1679" t="s">
        <v>4052</v>
      </c>
    </row>
    <row r="1680" spans="1:7">
      <c r="A1680" t="s">
        <v>4716</v>
      </c>
      <c r="G1680" t="s">
        <v>4052</v>
      </c>
    </row>
    <row r="1681" spans="1:7">
      <c r="A1681" t="s">
        <v>4085</v>
      </c>
      <c r="G1681" t="s">
        <v>4052</v>
      </c>
    </row>
    <row r="1682" spans="1:7">
      <c r="A1682" t="s">
        <v>4174</v>
      </c>
      <c r="B1682">
        <v>5462097</v>
      </c>
      <c r="G1682" t="s">
        <v>4052</v>
      </c>
    </row>
    <row r="1683" spans="1:7">
      <c r="A1683" t="s">
        <v>4276</v>
      </c>
      <c r="G1683" t="s">
        <v>4052</v>
      </c>
    </row>
    <row r="1684" spans="1:7">
      <c r="A1684" t="s">
        <v>4186</v>
      </c>
      <c r="G1684" t="s">
        <v>4052</v>
      </c>
    </row>
    <row r="1685" spans="1:7">
      <c r="A1685" t="s">
        <v>4717</v>
      </c>
      <c r="G1685" t="s">
        <v>4052</v>
      </c>
    </row>
    <row r="1686" spans="1:7">
      <c r="A1686" t="s">
        <v>4718</v>
      </c>
      <c r="G1686" t="s">
        <v>4052</v>
      </c>
    </row>
    <row r="1687" spans="1:7">
      <c r="A1687" t="s">
        <v>4143</v>
      </c>
      <c r="G1687" t="s">
        <v>4052</v>
      </c>
    </row>
    <row r="1688" spans="1:7">
      <c r="A1688" t="s">
        <v>4211</v>
      </c>
      <c r="G1688" t="s">
        <v>4052</v>
      </c>
    </row>
    <row r="1689" spans="1:7">
      <c r="A1689" t="s">
        <v>4719</v>
      </c>
      <c r="G1689" t="s">
        <v>4052</v>
      </c>
    </row>
    <row r="1690" spans="1:7">
      <c r="A1690" t="s">
        <v>4720</v>
      </c>
      <c r="G1690" t="s">
        <v>4052</v>
      </c>
    </row>
    <row r="1691" spans="1:7">
      <c r="A1691" t="s">
        <v>4721</v>
      </c>
      <c r="G1691" t="s">
        <v>4052</v>
      </c>
    </row>
    <row r="1692" spans="1:7">
      <c r="A1692" t="s">
        <v>4136</v>
      </c>
      <c r="G1692" t="s">
        <v>4052</v>
      </c>
    </row>
    <row r="1693" spans="1:7">
      <c r="A1693" t="s">
        <v>4557</v>
      </c>
      <c r="G1693" t="s">
        <v>4052</v>
      </c>
    </row>
    <row r="1694" spans="1:7">
      <c r="A1694" t="s">
        <v>4677</v>
      </c>
      <c r="G1694" t="s">
        <v>4052</v>
      </c>
    </row>
    <row r="1695" spans="1:7">
      <c r="A1695" t="s">
        <v>4109</v>
      </c>
      <c r="G1695" t="s">
        <v>4052</v>
      </c>
    </row>
    <row r="1696" spans="1:7">
      <c r="A1696" t="s">
        <v>4073</v>
      </c>
      <c r="G1696" t="s">
        <v>4052</v>
      </c>
    </row>
    <row r="1697" spans="1:7">
      <c r="A1697" t="s">
        <v>4170</v>
      </c>
      <c r="G1697" t="s">
        <v>4052</v>
      </c>
    </row>
    <row r="1698" spans="1:7">
      <c r="A1698" t="s">
        <v>4521</v>
      </c>
      <c r="G1698" t="s">
        <v>4052</v>
      </c>
    </row>
    <row r="1699" spans="1:7">
      <c r="A1699" t="s">
        <v>4610</v>
      </c>
      <c r="B1699">
        <v>5461097</v>
      </c>
      <c r="G1699" t="s">
        <v>4052</v>
      </c>
    </row>
    <row r="1700" spans="1:7">
      <c r="A1700" t="s">
        <v>4218</v>
      </c>
      <c r="G1700" t="s">
        <v>4052</v>
      </c>
    </row>
    <row r="1701" spans="1:7">
      <c r="A1701" t="s">
        <v>4147</v>
      </c>
      <c r="G1701" t="s">
        <v>4052</v>
      </c>
    </row>
    <row r="1702" spans="1:7">
      <c r="A1702" t="s">
        <v>4135</v>
      </c>
      <c r="G1702" t="s">
        <v>4052</v>
      </c>
    </row>
    <row r="1703" spans="1:8">
      <c r="A1703" t="s">
        <v>4285</v>
      </c>
      <c r="G1703" t="s">
        <v>4052</v>
      </c>
      <c r="H1703">
        <v>4921097</v>
      </c>
    </row>
    <row r="1704" spans="1:7">
      <c r="A1704" t="s">
        <v>4654</v>
      </c>
      <c r="G1704" t="s">
        <v>4722</v>
      </c>
    </row>
    <row r="1705" spans="1:7">
      <c r="A1705" t="s">
        <v>4266</v>
      </c>
      <c r="G1705" t="s">
        <v>4272</v>
      </c>
    </row>
    <row r="1706" spans="1:7">
      <c r="A1706" t="s">
        <v>4415</v>
      </c>
      <c r="G1706" t="s">
        <v>4272</v>
      </c>
    </row>
    <row r="1707" spans="1:7">
      <c r="A1707" t="s">
        <v>4586</v>
      </c>
      <c r="G1707" t="s">
        <v>4272</v>
      </c>
    </row>
    <row r="1708" spans="1:7">
      <c r="A1708" t="s">
        <v>4621</v>
      </c>
      <c r="G1708" t="s">
        <v>4272</v>
      </c>
    </row>
    <row r="1709" spans="1:7">
      <c r="A1709" t="s">
        <v>4547</v>
      </c>
      <c r="G1709" t="s">
        <v>4272</v>
      </c>
    </row>
    <row r="1710" spans="1:7">
      <c r="A1710" t="s">
        <v>4723</v>
      </c>
      <c r="G1710" t="s">
        <v>4272</v>
      </c>
    </row>
    <row r="1711" spans="1:7">
      <c r="A1711" t="s">
        <v>4623</v>
      </c>
      <c r="G1711" t="s">
        <v>4272</v>
      </c>
    </row>
    <row r="1712" spans="1:7">
      <c r="A1712" t="s">
        <v>4131</v>
      </c>
      <c r="B1712">
        <v>5460097</v>
      </c>
      <c r="G1712" t="s">
        <v>4272</v>
      </c>
    </row>
    <row r="1713" spans="1:7">
      <c r="A1713" t="s">
        <v>4724</v>
      </c>
      <c r="G1713" t="s">
        <v>4725</v>
      </c>
    </row>
    <row r="1714" spans="1:7">
      <c r="A1714" t="s">
        <v>4617</v>
      </c>
      <c r="G1714" t="s">
        <v>4726</v>
      </c>
    </row>
    <row r="1715" spans="1:7">
      <c r="A1715" t="s">
        <v>4062</v>
      </c>
      <c r="G1715" t="s">
        <v>4726</v>
      </c>
    </row>
    <row r="1716" spans="1:7">
      <c r="A1716" t="s">
        <v>4166</v>
      </c>
      <c r="G1716" t="s">
        <v>4726</v>
      </c>
    </row>
    <row r="1717" spans="1:7">
      <c r="A1717" t="s">
        <v>4619</v>
      </c>
      <c r="G1717" t="s">
        <v>4726</v>
      </c>
    </row>
    <row r="1718" spans="1:7">
      <c r="A1718" t="s">
        <v>3993</v>
      </c>
      <c r="G1718" t="s">
        <v>4726</v>
      </c>
    </row>
    <row r="1719" spans="1:7">
      <c r="A1719" t="s">
        <v>4103</v>
      </c>
      <c r="G1719" t="s">
        <v>4726</v>
      </c>
    </row>
    <row r="1720" spans="1:7">
      <c r="A1720" t="s">
        <v>4126</v>
      </c>
      <c r="G1720" t="s">
        <v>4726</v>
      </c>
    </row>
    <row r="1721" spans="1:7">
      <c r="A1721" t="s">
        <v>4727</v>
      </c>
      <c r="B1721">
        <v>5470097</v>
      </c>
      <c r="G1721" t="s">
        <v>4726</v>
      </c>
    </row>
    <row r="1722" spans="1:7">
      <c r="A1722" t="s">
        <v>4170</v>
      </c>
      <c r="G1722" t="s">
        <v>4726</v>
      </c>
    </row>
    <row r="1723" spans="1:7">
      <c r="A1723" t="s">
        <v>4091</v>
      </c>
      <c r="B1723">
        <v>5459097</v>
      </c>
      <c r="G1723" t="s">
        <v>4726</v>
      </c>
    </row>
    <row r="1724" spans="1:7">
      <c r="A1724" t="s">
        <v>4699</v>
      </c>
      <c r="G1724" t="s">
        <v>4728</v>
      </c>
    </row>
    <row r="1725" spans="1:7">
      <c r="A1725" t="s">
        <v>4703</v>
      </c>
      <c r="G1725" t="s">
        <v>4729</v>
      </c>
    </row>
    <row r="1726" spans="1:7">
      <c r="A1726" t="s">
        <v>4666</v>
      </c>
      <c r="G1726" t="s">
        <v>4729</v>
      </c>
    </row>
    <row r="1727" spans="1:7">
      <c r="A1727" t="s">
        <v>4085</v>
      </c>
      <c r="G1727" t="s">
        <v>4729</v>
      </c>
    </row>
    <row r="1728" spans="1:7">
      <c r="A1728" t="s">
        <v>4730</v>
      </c>
      <c r="G1728" t="s">
        <v>4402</v>
      </c>
    </row>
    <row r="1729" spans="1:7">
      <c r="A1729" t="s">
        <v>4113</v>
      </c>
      <c r="G1729" t="s">
        <v>4402</v>
      </c>
    </row>
    <row r="1730" spans="1:7">
      <c r="A1730" t="s">
        <v>4122</v>
      </c>
      <c r="G1730" t="s">
        <v>4402</v>
      </c>
    </row>
    <row r="1731" spans="1:8">
      <c r="A1731" t="s">
        <v>4731</v>
      </c>
      <c r="G1731" t="s">
        <v>4402</v>
      </c>
      <c r="H1731">
        <v>5517097</v>
      </c>
    </row>
    <row r="1732" spans="1:7">
      <c r="A1732" t="s">
        <v>4092</v>
      </c>
      <c r="G1732" t="s">
        <v>4402</v>
      </c>
    </row>
    <row r="1733" spans="1:7">
      <c r="A1733" t="s">
        <v>4732</v>
      </c>
      <c r="G1733" t="s">
        <v>4402</v>
      </c>
    </row>
    <row r="1734" spans="1:7">
      <c r="A1734" t="s">
        <v>4156</v>
      </c>
      <c r="G1734" t="s">
        <v>4300</v>
      </c>
    </row>
    <row r="1735" spans="1:7">
      <c r="A1735" t="s">
        <v>4733</v>
      </c>
      <c r="G1735" t="s">
        <v>4300</v>
      </c>
    </row>
    <row r="1736" spans="1:7">
      <c r="A1736" t="s">
        <v>4136</v>
      </c>
      <c r="G1736" t="s">
        <v>4734</v>
      </c>
    </row>
    <row r="1737" spans="1:7">
      <c r="A1737" t="s">
        <v>4258</v>
      </c>
      <c r="G1737" t="s">
        <v>4734</v>
      </c>
    </row>
    <row r="1738" spans="1:7">
      <c r="A1738" t="s">
        <v>4187</v>
      </c>
      <c r="G1738" t="s">
        <v>4734</v>
      </c>
    </row>
    <row r="1739" spans="1:7">
      <c r="A1739" t="s">
        <v>4540</v>
      </c>
      <c r="G1739" t="s">
        <v>4734</v>
      </c>
    </row>
    <row r="1740" spans="1:7">
      <c r="A1740" t="s">
        <v>4735</v>
      </c>
      <c r="G1740" t="s">
        <v>4736</v>
      </c>
    </row>
    <row r="1741" spans="1:7">
      <c r="A1741" t="s">
        <v>4737</v>
      </c>
      <c r="G1741" t="s">
        <v>4736</v>
      </c>
    </row>
    <row r="1742" spans="1:7">
      <c r="A1742" t="s">
        <v>4738</v>
      </c>
      <c r="G1742" t="s">
        <v>4736</v>
      </c>
    </row>
    <row r="1743" spans="1:7">
      <c r="A1743" t="s">
        <v>4700</v>
      </c>
      <c r="G1743" t="s">
        <v>4736</v>
      </c>
    </row>
    <row r="1744" spans="1:7">
      <c r="A1744" t="s">
        <v>4739</v>
      </c>
      <c r="G1744" t="s">
        <v>4736</v>
      </c>
    </row>
    <row r="1745" spans="1:7">
      <c r="A1745" t="s">
        <v>4740</v>
      </c>
      <c r="G1745" t="s">
        <v>4736</v>
      </c>
    </row>
    <row r="1746" spans="1:7">
      <c r="A1746" t="s">
        <v>4562</v>
      </c>
      <c r="G1746" t="s">
        <v>4736</v>
      </c>
    </row>
    <row r="1747" spans="1:7">
      <c r="A1747" t="s">
        <v>4606</v>
      </c>
      <c r="G1747" t="s">
        <v>4736</v>
      </c>
    </row>
    <row r="1748" spans="1:7">
      <c r="A1748" t="s">
        <v>4713</v>
      </c>
      <c r="G1748" t="s">
        <v>4736</v>
      </c>
    </row>
    <row r="1749" spans="1:7">
      <c r="A1749" t="s">
        <v>4741</v>
      </c>
      <c r="B1749">
        <v>5458097</v>
      </c>
      <c r="G1749" t="s">
        <v>4201</v>
      </c>
    </row>
    <row r="1750" spans="1:7">
      <c r="A1750" t="s">
        <v>4627</v>
      </c>
      <c r="G1750" t="s">
        <v>4742</v>
      </c>
    </row>
    <row r="1751" spans="1:7">
      <c r="A1751" t="s">
        <v>4701</v>
      </c>
      <c r="G1751" t="s">
        <v>4742</v>
      </c>
    </row>
    <row r="1752" spans="1:7">
      <c r="A1752" t="s">
        <v>4656</v>
      </c>
      <c r="G1752" t="s">
        <v>4742</v>
      </c>
    </row>
    <row r="1753" spans="1:7">
      <c r="A1753" t="s">
        <v>4743</v>
      </c>
      <c r="G1753" t="s">
        <v>4742</v>
      </c>
    </row>
    <row r="1754" spans="1:7">
      <c r="A1754" t="s">
        <v>4669</v>
      </c>
      <c r="G1754" t="s">
        <v>4742</v>
      </c>
    </row>
    <row r="1755" spans="1:7">
      <c r="A1755" t="s">
        <v>4276</v>
      </c>
      <c r="G1755" t="s">
        <v>4742</v>
      </c>
    </row>
    <row r="1756" spans="1:7">
      <c r="A1756" t="s">
        <v>4664</v>
      </c>
      <c r="G1756" t="s">
        <v>4742</v>
      </c>
    </row>
    <row r="1757" spans="1:7">
      <c r="A1757" t="s">
        <v>4211</v>
      </c>
      <c r="G1757" t="s">
        <v>4742</v>
      </c>
    </row>
    <row r="1758" spans="1:7">
      <c r="A1758" t="s">
        <v>4720</v>
      </c>
      <c r="G1758" t="s">
        <v>4744</v>
      </c>
    </row>
    <row r="1759" spans="1:7">
      <c r="A1759" t="s">
        <v>4107</v>
      </c>
      <c r="G1759" t="s">
        <v>4501</v>
      </c>
    </row>
    <row r="1760" spans="1:7">
      <c r="A1760" t="s">
        <v>4745</v>
      </c>
      <c r="G1760" t="s">
        <v>4746</v>
      </c>
    </row>
    <row r="1761" spans="1:7">
      <c r="A1761" t="s">
        <v>4143</v>
      </c>
      <c r="G1761" t="s">
        <v>4475</v>
      </c>
    </row>
    <row r="1762" spans="1:7">
      <c r="A1762" t="s">
        <v>4698</v>
      </c>
      <c r="B1762">
        <v>5464097</v>
      </c>
      <c r="G1762" t="s">
        <v>4475</v>
      </c>
    </row>
    <row r="1763" spans="1:8">
      <c r="A1763" t="s">
        <v>4567</v>
      </c>
      <c r="G1763" t="s">
        <v>4475</v>
      </c>
      <c r="H1763">
        <v>5318097</v>
      </c>
    </row>
    <row r="1764" spans="1:7">
      <c r="A1764" t="s">
        <v>4659</v>
      </c>
      <c r="G1764" t="s">
        <v>4475</v>
      </c>
    </row>
    <row r="1765" spans="1:7">
      <c r="A1765" t="s">
        <v>4414</v>
      </c>
      <c r="G1765" t="s">
        <v>4475</v>
      </c>
    </row>
    <row r="1766" spans="1:7">
      <c r="A1766" t="s">
        <v>4747</v>
      </c>
      <c r="G1766" t="s">
        <v>4214</v>
      </c>
    </row>
    <row r="1767" spans="1:7">
      <c r="A1767" t="s">
        <v>4748</v>
      </c>
      <c r="G1767" t="s">
        <v>4749</v>
      </c>
    </row>
    <row r="1768" spans="1:7">
      <c r="A1768" t="s">
        <v>4035</v>
      </c>
      <c r="G1768" t="s">
        <v>4750</v>
      </c>
    </row>
    <row r="1769" spans="1:7">
      <c r="A1769" t="s">
        <v>4751</v>
      </c>
      <c r="G1769" t="s">
        <v>4752</v>
      </c>
    </row>
    <row r="1770" spans="1:7">
      <c r="A1770" t="s">
        <v>4753</v>
      </c>
      <c r="G1770" t="s">
        <v>4752</v>
      </c>
    </row>
    <row r="1771" spans="1:7">
      <c r="A1771" t="s">
        <v>4754</v>
      </c>
      <c r="G1771" t="s">
        <v>4755</v>
      </c>
    </row>
    <row r="1772" spans="1:7">
      <c r="A1772" t="s">
        <v>4464</v>
      </c>
      <c r="G1772" t="s">
        <v>4756</v>
      </c>
    </row>
    <row r="1773" spans="1:7">
      <c r="A1773" t="s">
        <v>4757</v>
      </c>
      <c r="G1773" t="s">
        <v>4756</v>
      </c>
    </row>
    <row r="1774" spans="1:7">
      <c r="A1774" t="s">
        <v>4758</v>
      </c>
      <c r="G1774" t="s">
        <v>4756</v>
      </c>
    </row>
    <row r="1775" spans="1:7">
      <c r="A1775" t="s">
        <v>4759</v>
      </c>
      <c r="G1775" t="s">
        <v>4760</v>
      </c>
    </row>
    <row r="1776" spans="1:7">
      <c r="A1776" t="s">
        <v>4556</v>
      </c>
      <c r="B1776">
        <v>5457097</v>
      </c>
      <c r="G1776" t="s">
        <v>4211</v>
      </c>
    </row>
    <row r="1777" spans="1:7">
      <c r="A1777" t="s">
        <v>4119</v>
      </c>
      <c r="G1777" t="s">
        <v>4211</v>
      </c>
    </row>
    <row r="1778" spans="1:7">
      <c r="A1778" t="s">
        <v>4761</v>
      </c>
      <c r="G1778" t="s">
        <v>4211</v>
      </c>
    </row>
    <row r="1779" spans="1:7">
      <c r="A1779" t="s">
        <v>4098</v>
      </c>
      <c r="G1779" t="s">
        <v>4211</v>
      </c>
    </row>
    <row r="1780" spans="1:7">
      <c r="A1780" t="s">
        <v>4562</v>
      </c>
      <c r="G1780" t="s">
        <v>4211</v>
      </c>
    </row>
    <row r="1781" spans="1:7">
      <c r="A1781" t="s">
        <v>4587</v>
      </c>
      <c r="G1781" t="s">
        <v>4211</v>
      </c>
    </row>
    <row r="1782" spans="1:7">
      <c r="A1782" t="s">
        <v>4762</v>
      </c>
      <c r="G1782" t="s">
        <v>4211</v>
      </c>
    </row>
    <row r="1783" spans="1:7">
      <c r="A1783" t="s">
        <v>4116</v>
      </c>
      <c r="G1783" t="s">
        <v>4211</v>
      </c>
    </row>
    <row r="1784" spans="1:7">
      <c r="A1784" t="s">
        <v>4763</v>
      </c>
      <c r="G1784" t="s">
        <v>4211</v>
      </c>
    </row>
    <row r="1785" spans="1:7">
      <c r="A1785" t="s">
        <v>4269</v>
      </c>
      <c r="G1785" t="s">
        <v>4211</v>
      </c>
    </row>
    <row r="1786" spans="1:7">
      <c r="A1786" t="s">
        <v>4764</v>
      </c>
      <c r="G1786" t="s">
        <v>4211</v>
      </c>
    </row>
    <row r="1787" spans="1:7">
      <c r="A1787" t="s">
        <v>4085</v>
      </c>
      <c r="G1787" t="s">
        <v>4211</v>
      </c>
    </row>
    <row r="1788" spans="1:7">
      <c r="A1788" t="s">
        <v>4313</v>
      </c>
      <c r="G1788" t="s">
        <v>4211</v>
      </c>
    </row>
    <row r="1789" spans="1:7">
      <c r="A1789" t="s">
        <v>4327</v>
      </c>
      <c r="G1789" t="s">
        <v>4211</v>
      </c>
    </row>
    <row r="1790" spans="1:7">
      <c r="A1790" t="s">
        <v>4628</v>
      </c>
      <c r="G1790" t="s">
        <v>4211</v>
      </c>
    </row>
    <row r="1791" spans="1:7">
      <c r="A1791" t="s">
        <v>4765</v>
      </c>
      <c r="G1791" t="s">
        <v>4211</v>
      </c>
    </row>
    <row r="1792" spans="1:7">
      <c r="A1792" t="s">
        <v>4165</v>
      </c>
      <c r="G1792" t="s">
        <v>4211</v>
      </c>
    </row>
    <row r="1793" spans="1:7">
      <c r="A1793" t="s">
        <v>4416</v>
      </c>
      <c r="G1793" t="s">
        <v>4211</v>
      </c>
    </row>
    <row r="1794" spans="1:7">
      <c r="A1794" t="s">
        <v>4766</v>
      </c>
      <c r="G1794" t="s">
        <v>4211</v>
      </c>
    </row>
    <row r="1795" spans="1:7">
      <c r="A1795" t="s">
        <v>4283</v>
      </c>
      <c r="B1795">
        <v>5463097</v>
      </c>
      <c r="G1795" t="s">
        <v>4211</v>
      </c>
    </row>
    <row r="1796" spans="1:7">
      <c r="A1796" t="s">
        <v>4763</v>
      </c>
      <c r="G1796" t="s">
        <v>4211</v>
      </c>
    </row>
    <row r="1797" spans="1:8">
      <c r="A1797" t="s">
        <v>4478</v>
      </c>
      <c r="G1797" t="s">
        <v>4211</v>
      </c>
      <c r="H1797">
        <v>5139097</v>
      </c>
    </row>
    <row r="1798" spans="1:7">
      <c r="A1798" t="s">
        <v>4703</v>
      </c>
      <c r="G1798" t="s">
        <v>4211</v>
      </c>
    </row>
    <row r="1799" spans="1:7">
      <c r="A1799" t="s">
        <v>4073</v>
      </c>
      <c r="G1799" t="s">
        <v>4211</v>
      </c>
    </row>
    <row r="1800" spans="1:7">
      <c r="A1800" t="s">
        <v>4610</v>
      </c>
      <c r="G1800" t="s">
        <v>4211</v>
      </c>
    </row>
    <row r="1801" spans="1:7">
      <c r="A1801" t="s">
        <v>4084</v>
      </c>
      <c r="G1801" t="s">
        <v>4211</v>
      </c>
    </row>
    <row r="1802" spans="1:7">
      <c r="A1802" t="s">
        <v>4620</v>
      </c>
      <c r="G1802" t="s">
        <v>4211</v>
      </c>
    </row>
    <row r="1803" spans="1:7">
      <c r="A1803" t="s">
        <v>4075</v>
      </c>
      <c r="G1803" t="s">
        <v>4211</v>
      </c>
    </row>
    <row r="1804" spans="1:7">
      <c r="A1804" t="s">
        <v>4154</v>
      </c>
      <c r="G1804" t="s">
        <v>4211</v>
      </c>
    </row>
    <row r="1805" spans="1:7">
      <c r="A1805" t="s">
        <v>4425</v>
      </c>
      <c r="G1805" t="s">
        <v>4211</v>
      </c>
    </row>
    <row r="1806" spans="1:7">
      <c r="A1806" t="s">
        <v>4765</v>
      </c>
      <c r="B1806">
        <v>5456097</v>
      </c>
      <c r="G1806" t="s">
        <v>4211</v>
      </c>
    </row>
    <row r="1807" spans="1:7">
      <c r="A1807" t="s">
        <v>4400</v>
      </c>
      <c r="G1807" t="s">
        <v>4211</v>
      </c>
    </row>
    <row r="1808" spans="1:7">
      <c r="A1808" t="s">
        <v>4192</v>
      </c>
      <c r="G1808" t="s">
        <v>4211</v>
      </c>
    </row>
    <row r="1809" spans="1:7">
      <c r="A1809" t="s">
        <v>4529</v>
      </c>
      <c r="G1809" t="s">
        <v>4211</v>
      </c>
    </row>
    <row r="1810" spans="1:7">
      <c r="A1810" t="s">
        <v>4444</v>
      </c>
      <c r="G1810" t="s">
        <v>4767</v>
      </c>
    </row>
    <row r="1811" spans="1:7">
      <c r="A1811" t="s">
        <v>4095</v>
      </c>
      <c r="G1811" t="s">
        <v>4767</v>
      </c>
    </row>
    <row r="1812" spans="1:7">
      <c r="A1812" t="s">
        <v>4400</v>
      </c>
      <c r="B1812">
        <v>5462097</v>
      </c>
      <c r="G1812" t="s">
        <v>4767</v>
      </c>
    </row>
    <row r="1813" spans="1:8">
      <c r="A1813" t="s">
        <v>4478</v>
      </c>
      <c r="G1813" t="s">
        <v>4767</v>
      </c>
      <c r="H1813">
        <v>5141097</v>
      </c>
    </row>
    <row r="1814" spans="1:7">
      <c r="A1814" t="s">
        <v>4703</v>
      </c>
      <c r="G1814" t="s">
        <v>4767</v>
      </c>
    </row>
    <row r="1815" spans="1:7">
      <c r="A1815" t="s">
        <v>4104</v>
      </c>
      <c r="G1815" t="s">
        <v>4767</v>
      </c>
    </row>
    <row r="1816" spans="1:7">
      <c r="A1816" t="s">
        <v>4768</v>
      </c>
      <c r="G1816" t="s">
        <v>4767</v>
      </c>
    </row>
    <row r="1817" spans="1:7">
      <c r="A1817" t="s">
        <v>4626</v>
      </c>
      <c r="G1817" t="s">
        <v>4767</v>
      </c>
    </row>
    <row r="1818" spans="1:7">
      <c r="A1818" t="s">
        <v>4147</v>
      </c>
      <c r="G1818" t="s">
        <v>4767</v>
      </c>
    </row>
    <row r="1819" spans="1:7">
      <c r="A1819" t="s">
        <v>4058</v>
      </c>
      <c r="G1819" t="s">
        <v>4767</v>
      </c>
    </row>
    <row r="1820" spans="1:7">
      <c r="A1820" t="s">
        <v>4095</v>
      </c>
      <c r="G1820" t="s">
        <v>4767</v>
      </c>
    </row>
    <row r="1821" spans="1:7">
      <c r="A1821" t="s">
        <v>4763</v>
      </c>
      <c r="G1821" t="s">
        <v>4767</v>
      </c>
    </row>
    <row r="1822" spans="1:8">
      <c r="A1822" t="s">
        <v>4571</v>
      </c>
      <c r="G1822" t="s">
        <v>4767</v>
      </c>
      <c r="H1822">
        <v>5038097</v>
      </c>
    </row>
    <row r="1823" spans="1:7">
      <c r="A1823" t="s">
        <v>4126</v>
      </c>
      <c r="G1823" t="s">
        <v>4767</v>
      </c>
    </row>
    <row r="1824" spans="1:7">
      <c r="A1824" t="s">
        <v>4425</v>
      </c>
      <c r="G1824" t="s">
        <v>4536</v>
      </c>
    </row>
    <row r="1825" spans="1:7">
      <c r="A1825" t="s">
        <v>4765</v>
      </c>
      <c r="G1825" t="s">
        <v>4536</v>
      </c>
    </row>
    <row r="1826" spans="1:8">
      <c r="A1826" t="s">
        <v>4769</v>
      </c>
      <c r="G1826" t="s">
        <v>4536</v>
      </c>
      <c r="H1826">
        <v>5494097</v>
      </c>
    </row>
    <row r="1827" spans="1:7">
      <c r="A1827" t="s">
        <v>4192</v>
      </c>
      <c r="G1827" t="s">
        <v>4536</v>
      </c>
    </row>
    <row r="1828" spans="1:7">
      <c r="A1828" t="s">
        <v>4084</v>
      </c>
      <c r="G1828" t="s">
        <v>4536</v>
      </c>
    </row>
    <row r="1829" spans="1:7">
      <c r="A1829" t="s">
        <v>4333</v>
      </c>
      <c r="B1829">
        <v>5461097</v>
      </c>
      <c r="G1829" t="s">
        <v>4536</v>
      </c>
    </row>
    <row r="1830" spans="1:7">
      <c r="A1830" t="s">
        <v>4577</v>
      </c>
      <c r="G1830" t="s">
        <v>4536</v>
      </c>
    </row>
    <row r="1831" spans="1:7">
      <c r="A1831" t="s">
        <v>4703</v>
      </c>
      <c r="G1831" t="s">
        <v>4770</v>
      </c>
    </row>
    <row r="1832" spans="1:7">
      <c r="A1832" t="s">
        <v>4352</v>
      </c>
      <c r="G1832" t="s">
        <v>4770</v>
      </c>
    </row>
    <row r="1833" spans="1:7">
      <c r="A1833" t="s">
        <v>4338</v>
      </c>
      <c r="G1833" t="s">
        <v>4771</v>
      </c>
    </row>
    <row r="1834" spans="1:7">
      <c r="A1834" t="s">
        <v>4381</v>
      </c>
      <c r="G1834" t="s">
        <v>4771</v>
      </c>
    </row>
    <row r="1835" spans="1:7">
      <c r="A1835" t="s">
        <v>4336</v>
      </c>
      <c r="G1835" t="s">
        <v>4513</v>
      </c>
    </row>
    <row r="1836" spans="1:7">
      <c r="A1836" t="s">
        <v>4222</v>
      </c>
      <c r="G1836" t="s">
        <v>4513</v>
      </c>
    </row>
    <row r="1837" spans="1:7">
      <c r="A1837" t="s">
        <v>4347</v>
      </c>
      <c r="G1837" t="s">
        <v>4513</v>
      </c>
    </row>
    <row r="1838" spans="1:7">
      <c r="A1838" t="s">
        <v>4772</v>
      </c>
      <c r="G1838" t="s">
        <v>4513</v>
      </c>
    </row>
    <row r="1839" spans="1:7">
      <c r="A1839" t="s">
        <v>4359</v>
      </c>
      <c r="G1839" t="s">
        <v>4513</v>
      </c>
    </row>
    <row r="1840" spans="1:7">
      <c r="A1840" t="s">
        <v>4483</v>
      </c>
      <c r="G1840" t="s">
        <v>4513</v>
      </c>
    </row>
    <row r="1841" spans="1:7">
      <c r="A1841" t="s">
        <v>4765</v>
      </c>
      <c r="G1841" t="s">
        <v>4773</v>
      </c>
    </row>
    <row r="1842" spans="1:7">
      <c r="A1842" t="s">
        <v>4333</v>
      </c>
      <c r="B1842">
        <v>5460097</v>
      </c>
      <c r="G1842" t="s">
        <v>4773</v>
      </c>
    </row>
    <row r="1843" spans="1:7">
      <c r="A1843" t="s">
        <v>4703</v>
      </c>
      <c r="G1843" t="s">
        <v>4773</v>
      </c>
    </row>
    <row r="1844" spans="1:7">
      <c r="A1844" t="s">
        <v>4352</v>
      </c>
      <c r="G1844" t="s">
        <v>4773</v>
      </c>
    </row>
    <row r="1845" spans="1:7">
      <c r="A1845" t="s">
        <v>4338</v>
      </c>
      <c r="G1845" t="s">
        <v>4774</v>
      </c>
    </row>
    <row r="1846" spans="1:7">
      <c r="A1846" t="s">
        <v>4480</v>
      </c>
      <c r="G1846" t="s">
        <v>4774</v>
      </c>
    </row>
    <row r="1847" spans="1:8">
      <c r="A1847" t="s">
        <v>4336</v>
      </c>
      <c r="G1847" t="s">
        <v>4774</v>
      </c>
      <c r="H1847">
        <v>4787097</v>
      </c>
    </row>
    <row r="1848" spans="1:7">
      <c r="A1848" t="s">
        <v>4772</v>
      </c>
      <c r="G1848" t="s">
        <v>4775</v>
      </c>
    </row>
    <row r="1849" spans="1:7">
      <c r="A1849" t="s">
        <v>4359</v>
      </c>
      <c r="G1849" t="s">
        <v>4499</v>
      </c>
    </row>
    <row r="1850" spans="1:7">
      <c r="A1850" t="s">
        <v>4347</v>
      </c>
      <c r="G1850" t="s">
        <v>4499</v>
      </c>
    </row>
    <row r="1851" spans="1:7">
      <c r="A1851" t="s">
        <v>4483</v>
      </c>
      <c r="G1851" t="s">
        <v>4776</v>
      </c>
    </row>
    <row r="1852" spans="1:7">
      <c r="A1852" t="s">
        <v>4381</v>
      </c>
      <c r="G1852" t="s">
        <v>4206</v>
      </c>
    </row>
    <row r="1853" spans="1:7">
      <c r="A1853" t="s">
        <v>4197</v>
      </c>
      <c r="B1853">
        <v>5459097</v>
      </c>
      <c r="G1853" t="s">
        <v>4206</v>
      </c>
    </row>
    <row r="1854" spans="1:7">
      <c r="A1854" t="s">
        <v>4465</v>
      </c>
      <c r="G1854" t="s">
        <v>4777</v>
      </c>
    </row>
    <row r="1855" spans="1:7">
      <c r="A1855" t="s">
        <v>4034</v>
      </c>
      <c r="G1855" t="s">
        <v>4777</v>
      </c>
    </row>
    <row r="1856" spans="1:7">
      <c r="A1856" t="s">
        <v>4571</v>
      </c>
      <c r="G1856" t="s">
        <v>4778</v>
      </c>
    </row>
    <row r="1857" spans="1:7">
      <c r="A1857" t="s">
        <v>4779</v>
      </c>
      <c r="G1857" t="s">
        <v>4778</v>
      </c>
    </row>
    <row r="1858" spans="1:7">
      <c r="A1858" t="s">
        <v>4780</v>
      </c>
      <c r="G1858" t="s">
        <v>4778</v>
      </c>
    </row>
    <row r="1859" spans="1:7">
      <c r="A1859" t="s">
        <v>4587</v>
      </c>
      <c r="B1859">
        <v>5455097</v>
      </c>
      <c r="G1859" t="s">
        <v>4778</v>
      </c>
    </row>
    <row r="1860" spans="1:7">
      <c r="A1860" t="s">
        <v>4035</v>
      </c>
      <c r="G1860" t="s">
        <v>4778</v>
      </c>
    </row>
    <row r="1861" spans="1:7">
      <c r="A1861" t="s">
        <v>4454</v>
      </c>
      <c r="G1861" t="s">
        <v>4778</v>
      </c>
    </row>
    <row r="1862" spans="1:7">
      <c r="A1862" t="s">
        <v>4781</v>
      </c>
      <c r="G1862" t="s">
        <v>4778</v>
      </c>
    </row>
    <row r="1863" spans="1:7">
      <c r="A1863" t="s">
        <v>4782</v>
      </c>
      <c r="G1863" t="s">
        <v>4778</v>
      </c>
    </row>
    <row r="1864" spans="1:7">
      <c r="A1864" t="s">
        <v>4283</v>
      </c>
      <c r="G1864" t="s">
        <v>4778</v>
      </c>
    </row>
    <row r="1865" spans="1:7">
      <c r="A1865" t="s">
        <v>4783</v>
      </c>
      <c r="G1865" t="s">
        <v>4778</v>
      </c>
    </row>
    <row r="1866" spans="1:7">
      <c r="A1866" t="s">
        <v>4784</v>
      </c>
      <c r="G1866" t="s">
        <v>4778</v>
      </c>
    </row>
    <row r="1867" spans="1:7">
      <c r="A1867" t="s">
        <v>4052</v>
      </c>
      <c r="G1867" t="s">
        <v>4778</v>
      </c>
    </row>
    <row r="1868" spans="1:7">
      <c r="A1868" t="s">
        <v>4785</v>
      </c>
      <c r="G1868" t="s">
        <v>4786</v>
      </c>
    </row>
    <row r="1869" spans="1:7">
      <c r="A1869" t="s">
        <v>4075</v>
      </c>
      <c r="G1869" t="s">
        <v>4786</v>
      </c>
    </row>
    <row r="1870" spans="1:7">
      <c r="A1870" t="s">
        <v>4006</v>
      </c>
      <c r="G1870" t="s">
        <v>4786</v>
      </c>
    </row>
    <row r="1871" spans="1:7">
      <c r="A1871" t="s">
        <v>4636</v>
      </c>
      <c r="G1871" t="s">
        <v>4787</v>
      </c>
    </row>
    <row r="1872" spans="1:7">
      <c r="A1872" t="s">
        <v>4788</v>
      </c>
      <c r="B1872">
        <v>5451097</v>
      </c>
      <c r="G1872" t="s">
        <v>4787</v>
      </c>
    </row>
    <row r="1873" spans="1:7">
      <c r="A1873" t="s">
        <v>4601</v>
      </c>
      <c r="G1873" t="s">
        <v>4787</v>
      </c>
    </row>
    <row r="1874" spans="1:7">
      <c r="A1874" t="s">
        <v>4789</v>
      </c>
      <c r="G1874" t="s">
        <v>4787</v>
      </c>
    </row>
    <row r="1875" spans="1:7">
      <c r="A1875" t="s">
        <v>4790</v>
      </c>
      <c r="G1875" t="s">
        <v>4787</v>
      </c>
    </row>
    <row r="1876" spans="1:7">
      <c r="A1876" t="s">
        <v>4791</v>
      </c>
      <c r="G1876" t="s">
        <v>4787</v>
      </c>
    </row>
    <row r="1877" spans="1:7">
      <c r="A1877" t="s">
        <v>4496</v>
      </c>
      <c r="G1877" t="s">
        <v>4787</v>
      </c>
    </row>
    <row r="1878" spans="1:7">
      <c r="A1878" t="s">
        <v>4221</v>
      </c>
      <c r="G1878" t="s">
        <v>4787</v>
      </c>
    </row>
    <row r="1879" spans="1:7">
      <c r="A1879" t="s">
        <v>4479</v>
      </c>
      <c r="B1879">
        <v>5458097</v>
      </c>
      <c r="G1879" t="s">
        <v>4787</v>
      </c>
    </row>
    <row r="1880" spans="1:7">
      <c r="A1880" t="s">
        <v>4425</v>
      </c>
      <c r="G1880" t="s">
        <v>4787</v>
      </c>
    </row>
    <row r="1881" spans="1:7">
      <c r="A1881" t="s">
        <v>4513</v>
      </c>
      <c r="G1881" t="s">
        <v>4787</v>
      </c>
    </row>
    <row r="1882" spans="1:7">
      <c r="A1882" t="s">
        <v>4792</v>
      </c>
      <c r="G1882" t="s">
        <v>4787</v>
      </c>
    </row>
    <row r="1883" spans="1:7">
      <c r="A1883" t="s">
        <v>4116</v>
      </c>
      <c r="G1883" t="s">
        <v>4787</v>
      </c>
    </row>
    <row r="1884" spans="1:7">
      <c r="A1884" t="s">
        <v>4420</v>
      </c>
      <c r="G1884" t="s">
        <v>4787</v>
      </c>
    </row>
    <row r="1885" spans="1:8">
      <c r="A1885" t="s">
        <v>4793</v>
      </c>
      <c r="G1885" t="s">
        <v>4787</v>
      </c>
      <c r="H1885">
        <v>5069097</v>
      </c>
    </row>
    <row r="1886" spans="1:7">
      <c r="A1886" t="s">
        <v>4082</v>
      </c>
      <c r="G1886" t="s">
        <v>4787</v>
      </c>
    </row>
    <row r="1887" spans="1:7">
      <c r="A1887" t="s">
        <v>4472</v>
      </c>
      <c r="G1887" t="s">
        <v>4787</v>
      </c>
    </row>
    <row r="1888" spans="1:7">
      <c r="A1888" t="s">
        <v>4076</v>
      </c>
      <c r="G1888" t="s">
        <v>4787</v>
      </c>
    </row>
    <row r="1889" spans="1:7">
      <c r="A1889" t="s">
        <v>4375</v>
      </c>
      <c r="G1889" t="s">
        <v>4787</v>
      </c>
    </row>
    <row r="1890" spans="1:7">
      <c r="A1890" t="s">
        <v>4562</v>
      </c>
      <c r="G1890" t="s">
        <v>4139</v>
      </c>
    </row>
    <row r="1891" spans="1:7">
      <c r="A1891" t="s">
        <v>4098</v>
      </c>
      <c r="G1891" t="s">
        <v>4740</v>
      </c>
    </row>
    <row r="1892" spans="1:8">
      <c r="A1892" t="s">
        <v>4478</v>
      </c>
      <c r="G1892" t="s">
        <v>4794</v>
      </c>
      <c r="H1892">
        <v>5422097</v>
      </c>
    </row>
    <row r="1893" spans="1:7">
      <c r="A1893" t="s">
        <v>4703</v>
      </c>
      <c r="G1893" t="s">
        <v>4481</v>
      </c>
    </row>
    <row r="1894" spans="1:8">
      <c r="A1894" t="s">
        <v>4279</v>
      </c>
      <c r="G1894" t="s">
        <v>4481</v>
      </c>
      <c r="H1894">
        <v>5385097</v>
      </c>
    </row>
    <row r="1895" spans="1:7">
      <c r="A1895" t="s">
        <v>4795</v>
      </c>
      <c r="G1895" t="s">
        <v>4481</v>
      </c>
    </row>
    <row r="1896" spans="1:8">
      <c r="A1896" t="s">
        <v>4796</v>
      </c>
      <c r="G1896" t="s">
        <v>4481</v>
      </c>
      <c r="H1896">
        <v>5102097</v>
      </c>
    </row>
    <row r="1897" spans="1:7">
      <c r="A1897" t="s">
        <v>4075</v>
      </c>
      <c r="G1897" t="s">
        <v>4481</v>
      </c>
    </row>
    <row r="1898" spans="1:7">
      <c r="A1898" t="s">
        <v>4455</v>
      </c>
      <c r="G1898" t="s">
        <v>4481</v>
      </c>
    </row>
    <row r="1899" spans="1:8">
      <c r="A1899" t="s">
        <v>4215</v>
      </c>
      <c r="G1899" t="s">
        <v>4481</v>
      </c>
      <c r="H1899">
        <v>5069097</v>
      </c>
    </row>
    <row r="1900" spans="1:7">
      <c r="A1900" t="s">
        <v>4527</v>
      </c>
      <c r="G1900" t="s">
        <v>4481</v>
      </c>
    </row>
    <row r="1901" spans="1:7">
      <c r="A1901" t="s">
        <v>4400</v>
      </c>
      <c r="G1901" t="s">
        <v>4481</v>
      </c>
    </row>
    <row r="1902" spans="1:7">
      <c r="A1902" t="s">
        <v>4473</v>
      </c>
      <c r="G1902" t="s">
        <v>4481</v>
      </c>
    </row>
    <row r="1903" spans="1:7">
      <c r="A1903" t="s">
        <v>4365</v>
      </c>
      <c r="G1903" t="s">
        <v>4481</v>
      </c>
    </row>
    <row r="1904" spans="1:7">
      <c r="A1904" t="s">
        <v>4162</v>
      </c>
      <c r="G1904" t="s">
        <v>4408</v>
      </c>
    </row>
    <row r="1905" spans="1:7">
      <c r="A1905" t="s">
        <v>4086</v>
      </c>
      <c r="G1905" t="s">
        <v>4408</v>
      </c>
    </row>
    <row r="1906" spans="1:7">
      <c r="A1906" t="s">
        <v>4113</v>
      </c>
      <c r="B1906">
        <v>5457097</v>
      </c>
      <c r="G1906" t="s">
        <v>4408</v>
      </c>
    </row>
    <row r="1907" spans="1:7">
      <c r="A1907" t="s">
        <v>4450</v>
      </c>
      <c r="G1907" t="s">
        <v>4408</v>
      </c>
    </row>
    <row r="1908" spans="1:7">
      <c r="A1908" t="s">
        <v>4527</v>
      </c>
      <c r="G1908" t="s">
        <v>4797</v>
      </c>
    </row>
    <row r="1909" spans="1:7">
      <c r="A1909" t="s">
        <v>4798</v>
      </c>
      <c r="G1909" t="s">
        <v>4247</v>
      </c>
    </row>
    <row r="1910" spans="1:7">
      <c r="A1910" t="s">
        <v>4258</v>
      </c>
      <c r="G1910" t="s">
        <v>4006</v>
      </c>
    </row>
    <row r="1911" spans="1:7">
      <c r="A1911" t="s">
        <v>4136</v>
      </c>
      <c r="G1911" t="s">
        <v>4006</v>
      </c>
    </row>
    <row r="1912" spans="1:7">
      <c r="A1912" t="s">
        <v>4799</v>
      </c>
      <c r="G1912" t="s">
        <v>4006</v>
      </c>
    </row>
    <row r="1913" spans="1:7">
      <c r="A1913" t="s">
        <v>4800</v>
      </c>
      <c r="G1913" t="s">
        <v>4006</v>
      </c>
    </row>
    <row r="1914" spans="1:8">
      <c r="A1914" t="s">
        <v>4092</v>
      </c>
      <c r="G1914" t="s">
        <v>4249</v>
      </c>
      <c r="H1914">
        <v>5588097</v>
      </c>
    </row>
    <row r="1915" spans="1:8">
      <c r="A1915" t="s">
        <v>4801</v>
      </c>
      <c r="G1915" t="s">
        <v>4249</v>
      </c>
      <c r="H1915">
        <v>5530097</v>
      </c>
    </row>
    <row r="1916" spans="1:7">
      <c r="A1916" t="s">
        <v>4703</v>
      </c>
      <c r="G1916" t="s">
        <v>4249</v>
      </c>
    </row>
    <row r="1917" spans="1:7">
      <c r="A1917" t="s">
        <v>4579</v>
      </c>
      <c r="G1917" t="s">
        <v>4249</v>
      </c>
    </row>
    <row r="1918" spans="1:7">
      <c r="A1918" t="s">
        <v>4792</v>
      </c>
      <c r="G1918" t="s">
        <v>4001</v>
      </c>
    </row>
    <row r="1919" spans="1:7">
      <c r="A1919" t="s">
        <v>4086</v>
      </c>
      <c r="G1919" t="s">
        <v>4802</v>
      </c>
    </row>
    <row r="1920" spans="1:7">
      <c r="A1920" t="s">
        <v>4390</v>
      </c>
      <c r="G1920" t="s">
        <v>4671</v>
      </c>
    </row>
    <row r="1921" spans="1:7">
      <c r="A1921" t="s">
        <v>4569</v>
      </c>
      <c r="G1921" t="s">
        <v>4525</v>
      </c>
    </row>
    <row r="1922" spans="1:7">
      <c r="A1922" t="s">
        <v>4455</v>
      </c>
      <c r="G1922" t="s">
        <v>4525</v>
      </c>
    </row>
    <row r="1923" spans="1:7">
      <c r="A1923" t="s">
        <v>4109</v>
      </c>
      <c r="G1923" t="s">
        <v>4525</v>
      </c>
    </row>
    <row r="1924" spans="1:7">
      <c r="A1924" t="s">
        <v>4084</v>
      </c>
      <c r="G1924" t="s">
        <v>4525</v>
      </c>
    </row>
    <row r="1925" spans="1:7">
      <c r="A1925" t="s">
        <v>4764</v>
      </c>
      <c r="G1925" t="s">
        <v>4525</v>
      </c>
    </row>
    <row r="1926" spans="1:7">
      <c r="A1926" t="s">
        <v>4085</v>
      </c>
      <c r="G1926" t="s">
        <v>4525</v>
      </c>
    </row>
    <row r="1927" spans="1:7">
      <c r="A1927" t="s">
        <v>4803</v>
      </c>
      <c r="G1927" t="s">
        <v>4525</v>
      </c>
    </row>
    <row r="1928" spans="1:7">
      <c r="A1928" t="s">
        <v>4162</v>
      </c>
      <c r="G1928" t="s">
        <v>4525</v>
      </c>
    </row>
    <row r="1929" spans="1:8">
      <c r="A1929" t="s">
        <v>4009</v>
      </c>
      <c r="G1929" t="s">
        <v>4525</v>
      </c>
      <c r="H1929">
        <v>5253097</v>
      </c>
    </row>
    <row r="1930" spans="1:7">
      <c r="A1930" t="s">
        <v>4098</v>
      </c>
      <c r="G1930" t="s">
        <v>4525</v>
      </c>
    </row>
    <row r="1931" spans="1:7">
      <c r="A1931" t="s">
        <v>4331</v>
      </c>
      <c r="G1931" t="s">
        <v>4525</v>
      </c>
    </row>
    <row r="1932" spans="1:8">
      <c r="A1932" t="s">
        <v>4804</v>
      </c>
      <c r="G1932" t="s">
        <v>4525</v>
      </c>
      <c r="H1932">
        <v>4937097</v>
      </c>
    </row>
    <row r="1933" spans="1:7">
      <c r="A1933" t="s">
        <v>4478</v>
      </c>
      <c r="G1933" t="s">
        <v>4525</v>
      </c>
    </row>
    <row r="1934" spans="1:7">
      <c r="A1934" t="s">
        <v>4090</v>
      </c>
      <c r="G1934" t="s">
        <v>4525</v>
      </c>
    </row>
    <row r="1935" spans="1:7">
      <c r="A1935" t="s">
        <v>4763</v>
      </c>
      <c r="G1935" t="s">
        <v>4525</v>
      </c>
    </row>
    <row r="1936" spans="1:7">
      <c r="A1936" t="s">
        <v>4126</v>
      </c>
      <c r="B1936">
        <v>5456097</v>
      </c>
      <c r="G1936" t="s">
        <v>4019</v>
      </c>
    </row>
    <row r="1937" spans="1:7">
      <c r="A1937" t="s">
        <v>4283</v>
      </c>
      <c r="G1937" t="s">
        <v>4019</v>
      </c>
    </row>
    <row r="1938" spans="1:7">
      <c r="A1938" t="s">
        <v>4478</v>
      </c>
      <c r="G1938" t="s">
        <v>4019</v>
      </c>
    </row>
    <row r="1939" spans="1:8">
      <c r="A1939" t="s">
        <v>4135</v>
      </c>
      <c r="G1939" t="s">
        <v>4448</v>
      </c>
      <c r="H1939">
        <v>5517097</v>
      </c>
    </row>
    <row r="1940" spans="1:7">
      <c r="A1940" t="s">
        <v>4134</v>
      </c>
      <c r="G1940" t="s">
        <v>4448</v>
      </c>
    </row>
    <row r="1941" spans="1:7">
      <c r="A1941" t="s">
        <v>4705</v>
      </c>
      <c r="G1941" t="s">
        <v>4805</v>
      </c>
    </row>
    <row r="1942" spans="1:8">
      <c r="A1942" t="s">
        <v>4806</v>
      </c>
      <c r="G1942" t="s">
        <v>4807</v>
      </c>
      <c r="H1942">
        <v>5221097</v>
      </c>
    </row>
    <row r="1943" spans="1:7">
      <c r="A1943" t="s">
        <v>4455</v>
      </c>
      <c r="G1943" t="s">
        <v>4808</v>
      </c>
    </row>
    <row r="1944" spans="1:7">
      <c r="A1944" t="s">
        <v>4174</v>
      </c>
      <c r="G1944" t="s">
        <v>4808</v>
      </c>
    </row>
    <row r="1945" spans="1:7">
      <c r="A1945" t="s">
        <v>4704</v>
      </c>
      <c r="G1945" t="s">
        <v>4808</v>
      </c>
    </row>
    <row r="1946" spans="1:7">
      <c r="A1946" t="s">
        <v>4809</v>
      </c>
      <c r="G1946" t="s">
        <v>4808</v>
      </c>
    </row>
    <row r="1947" spans="1:7">
      <c r="A1947" t="s">
        <v>4233</v>
      </c>
      <c r="B1947">
        <v>5446097</v>
      </c>
      <c r="G1947" t="s">
        <v>4808</v>
      </c>
    </row>
    <row r="1948" spans="1:8">
      <c r="A1948" t="s">
        <v>4142</v>
      </c>
      <c r="G1948" t="s">
        <v>4808</v>
      </c>
      <c r="H1948">
        <v>5288097</v>
      </c>
    </row>
    <row r="1949" spans="1:7">
      <c r="A1949" t="s">
        <v>4763</v>
      </c>
      <c r="G1949" t="s">
        <v>4808</v>
      </c>
    </row>
    <row r="1950" spans="1:7">
      <c r="A1950" t="s">
        <v>4258</v>
      </c>
      <c r="G1950" t="s">
        <v>4808</v>
      </c>
    </row>
    <row r="1951" spans="1:8">
      <c r="A1951" t="s">
        <v>4194</v>
      </c>
      <c r="G1951" t="s">
        <v>4808</v>
      </c>
      <c r="H1951">
        <v>5012097</v>
      </c>
    </row>
    <row r="1952" spans="1:8">
      <c r="A1952" t="s">
        <v>4109</v>
      </c>
      <c r="G1952" t="s">
        <v>4079</v>
      </c>
      <c r="H1952">
        <v>5636097</v>
      </c>
    </row>
    <row r="1953" spans="1:7">
      <c r="A1953" t="s">
        <v>4153</v>
      </c>
      <c r="G1953" t="s">
        <v>4079</v>
      </c>
    </row>
    <row r="1954" spans="1:7">
      <c r="A1954" t="s">
        <v>4218</v>
      </c>
      <c r="G1954" t="s">
        <v>4079</v>
      </c>
    </row>
    <row r="1955" spans="1:7">
      <c r="A1955" t="s">
        <v>4186</v>
      </c>
      <c r="G1955" t="s">
        <v>4079</v>
      </c>
    </row>
    <row r="1956" spans="1:7">
      <c r="A1956" t="s">
        <v>4171</v>
      </c>
      <c r="G1956" t="s">
        <v>4079</v>
      </c>
    </row>
    <row r="1957" spans="1:7">
      <c r="A1957" t="s">
        <v>4808</v>
      </c>
      <c r="G1957" t="s">
        <v>4079</v>
      </c>
    </row>
    <row r="1958" spans="1:7">
      <c r="A1958" t="s">
        <v>4450</v>
      </c>
      <c r="G1958" t="s">
        <v>4079</v>
      </c>
    </row>
    <row r="1959" spans="1:7">
      <c r="A1959" t="s">
        <v>4729</v>
      </c>
      <c r="G1959" t="s">
        <v>4079</v>
      </c>
    </row>
    <row r="1960" spans="1:7">
      <c r="A1960" t="s">
        <v>4810</v>
      </c>
      <c r="B1960">
        <v>5445097</v>
      </c>
      <c r="G1960" t="s">
        <v>4079</v>
      </c>
    </row>
    <row r="1961" spans="1:7">
      <c r="A1961" t="s">
        <v>4158</v>
      </c>
      <c r="G1961" t="s">
        <v>4079</v>
      </c>
    </row>
    <row r="1962" spans="1:7">
      <c r="A1962" t="s">
        <v>4610</v>
      </c>
      <c r="G1962" t="s">
        <v>4079</v>
      </c>
    </row>
    <row r="1963" spans="1:7">
      <c r="A1963" t="s">
        <v>4113</v>
      </c>
      <c r="G1963" t="s">
        <v>4079</v>
      </c>
    </row>
    <row r="1964" spans="1:7">
      <c r="A1964" t="s">
        <v>4175</v>
      </c>
      <c r="G1964" t="s">
        <v>4079</v>
      </c>
    </row>
    <row r="1965" spans="1:7">
      <c r="A1965" t="s">
        <v>4397</v>
      </c>
      <c r="G1965" t="s">
        <v>4079</v>
      </c>
    </row>
    <row r="1966" spans="1:7">
      <c r="A1966" t="s">
        <v>4108</v>
      </c>
      <c r="G1966" t="s">
        <v>4079</v>
      </c>
    </row>
    <row r="1967" spans="1:7">
      <c r="A1967" t="s">
        <v>4606</v>
      </c>
      <c r="G1967" t="s">
        <v>4079</v>
      </c>
    </row>
    <row r="1968" spans="1:7">
      <c r="A1968" t="s">
        <v>4157</v>
      </c>
      <c r="B1968">
        <v>5444097</v>
      </c>
      <c r="G1968" t="s">
        <v>4079</v>
      </c>
    </row>
    <row r="1969" spans="1:7">
      <c r="A1969" t="s">
        <v>4811</v>
      </c>
      <c r="G1969" t="s">
        <v>4079</v>
      </c>
    </row>
    <row r="1970" spans="1:7">
      <c r="A1970" t="s">
        <v>4290</v>
      </c>
      <c r="G1970" t="s">
        <v>4079</v>
      </c>
    </row>
    <row r="1971" spans="1:7">
      <c r="A1971" t="s">
        <v>4107</v>
      </c>
      <c r="G1971" t="s">
        <v>4079</v>
      </c>
    </row>
    <row r="1972" spans="1:7">
      <c r="A1972" t="s">
        <v>4767</v>
      </c>
      <c r="G1972" t="s">
        <v>4079</v>
      </c>
    </row>
    <row r="1973" spans="1:7">
      <c r="A1973" t="s">
        <v>4173</v>
      </c>
      <c r="G1973" t="s">
        <v>4079</v>
      </c>
    </row>
    <row r="1974" spans="1:7">
      <c r="A1974" t="s">
        <v>4136</v>
      </c>
      <c r="G1974" t="s">
        <v>4079</v>
      </c>
    </row>
    <row r="1975" spans="1:7">
      <c r="A1975" t="s">
        <v>4291</v>
      </c>
      <c r="G1975" t="s">
        <v>4079</v>
      </c>
    </row>
    <row r="1976" spans="1:7">
      <c r="A1976" t="s">
        <v>4620</v>
      </c>
      <c r="G1976" t="s">
        <v>4079</v>
      </c>
    </row>
    <row r="1977" spans="1:7">
      <c r="A1977" t="s">
        <v>4415</v>
      </c>
      <c r="G1977" t="s">
        <v>4079</v>
      </c>
    </row>
    <row r="1978" spans="1:7">
      <c r="A1978" t="s">
        <v>4084</v>
      </c>
      <c r="G1978" t="s">
        <v>4079</v>
      </c>
    </row>
    <row r="1979" spans="1:7">
      <c r="A1979" t="s">
        <v>4702</v>
      </c>
      <c r="B1979">
        <v>5443097</v>
      </c>
      <c r="G1979" t="s">
        <v>4079</v>
      </c>
    </row>
    <row r="1980" spans="1:7">
      <c r="A1980" t="s">
        <v>4091</v>
      </c>
      <c r="G1980" t="s">
        <v>4079</v>
      </c>
    </row>
    <row r="1981" spans="1:7">
      <c r="A1981" t="s">
        <v>4792</v>
      </c>
      <c r="G1981" t="s">
        <v>4079</v>
      </c>
    </row>
    <row r="1982" spans="1:7">
      <c r="A1982" t="s">
        <v>4764</v>
      </c>
      <c r="G1982" t="s">
        <v>4079</v>
      </c>
    </row>
    <row r="1983" spans="1:7">
      <c r="A1983" t="s">
        <v>4112</v>
      </c>
      <c r="G1983" t="s">
        <v>4079</v>
      </c>
    </row>
    <row r="1984" spans="1:7">
      <c r="A1984" t="s">
        <v>4562</v>
      </c>
      <c r="G1984" t="s">
        <v>4079</v>
      </c>
    </row>
    <row r="1985" spans="1:7">
      <c r="A1985" t="s">
        <v>4454</v>
      </c>
      <c r="G1985" t="s">
        <v>4079</v>
      </c>
    </row>
    <row r="1986" spans="1:7">
      <c r="A1986" t="s">
        <v>4477</v>
      </c>
      <c r="G1986" t="s">
        <v>4079</v>
      </c>
    </row>
    <row r="1987" spans="1:7">
      <c r="A1987" t="s">
        <v>4055</v>
      </c>
      <c r="G1987" t="s">
        <v>4079</v>
      </c>
    </row>
    <row r="1988" spans="1:7">
      <c r="A1988" t="s">
        <v>4571</v>
      </c>
      <c r="G1988" t="s">
        <v>4079</v>
      </c>
    </row>
    <row r="1989" spans="1:7">
      <c r="A1989" t="s">
        <v>4081</v>
      </c>
      <c r="B1989">
        <v>5455097</v>
      </c>
      <c r="G1989" t="s">
        <v>4079</v>
      </c>
    </row>
    <row r="1990" spans="1:7">
      <c r="A1990" t="s">
        <v>4112</v>
      </c>
      <c r="G1990" t="s">
        <v>4079</v>
      </c>
    </row>
    <row r="1991" spans="1:7">
      <c r="A1991" t="s">
        <v>4128</v>
      </c>
      <c r="G1991" t="s">
        <v>4079</v>
      </c>
    </row>
    <row r="1992" spans="1:7">
      <c r="A1992" t="s">
        <v>4812</v>
      </c>
      <c r="G1992" t="s">
        <v>4079</v>
      </c>
    </row>
    <row r="1993" spans="1:7">
      <c r="A1993" t="s">
        <v>4098</v>
      </c>
      <c r="B1993">
        <v>5441097</v>
      </c>
      <c r="G1993" t="s">
        <v>4079</v>
      </c>
    </row>
    <row r="1994" spans="1:7">
      <c r="A1994" t="s">
        <v>4703</v>
      </c>
      <c r="G1994" t="s">
        <v>4079</v>
      </c>
    </row>
    <row r="1995" spans="1:7">
      <c r="A1995" t="s">
        <v>4455</v>
      </c>
      <c r="G1995" t="s">
        <v>4079</v>
      </c>
    </row>
    <row r="1996" spans="1:7">
      <c r="A1996" t="s">
        <v>4792</v>
      </c>
      <c r="G1996" t="s">
        <v>4813</v>
      </c>
    </row>
    <row r="1997" spans="1:7">
      <c r="A1997" t="s">
        <v>4659</v>
      </c>
      <c r="G1997" t="s">
        <v>4813</v>
      </c>
    </row>
    <row r="1998" spans="1:7">
      <c r="A1998" t="s">
        <v>4109</v>
      </c>
      <c r="G1998" t="s">
        <v>4813</v>
      </c>
    </row>
    <row r="1999" spans="1:7">
      <c r="A1999" t="s">
        <v>4814</v>
      </c>
      <c r="G1999" t="s">
        <v>4815</v>
      </c>
    </row>
    <row r="2000" spans="1:7">
      <c r="A2000" t="s">
        <v>4162</v>
      </c>
      <c r="G2000" t="s">
        <v>4815</v>
      </c>
    </row>
    <row r="2001" spans="1:7">
      <c r="A2001" t="s">
        <v>4816</v>
      </c>
      <c r="G2001" t="s">
        <v>4817</v>
      </c>
    </row>
    <row r="2002" spans="1:7">
      <c r="A2002" t="s">
        <v>4283</v>
      </c>
      <c r="B2002">
        <v>5451097</v>
      </c>
      <c r="G2002" t="s">
        <v>4817</v>
      </c>
    </row>
    <row r="2003" spans="1:7">
      <c r="A2003" t="s">
        <v>4161</v>
      </c>
      <c r="G2003" t="s">
        <v>4817</v>
      </c>
    </row>
    <row r="2004" spans="1:7">
      <c r="A2004" t="s">
        <v>4290</v>
      </c>
      <c r="G2004" t="s">
        <v>4818</v>
      </c>
    </row>
    <row r="2005" spans="1:7">
      <c r="A2005" t="s">
        <v>4286</v>
      </c>
      <c r="G2005" t="s">
        <v>4132</v>
      </c>
    </row>
    <row r="2006" spans="1:7">
      <c r="A2006" t="s">
        <v>3993</v>
      </c>
      <c r="G2006" t="s">
        <v>4132</v>
      </c>
    </row>
    <row r="2007" spans="1:7">
      <c r="A2007" t="s">
        <v>4112</v>
      </c>
      <c r="G2007" t="s">
        <v>4132</v>
      </c>
    </row>
    <row r="2008" spans="1:7">
      <c r="A2008" t="s">
        <v>4730</v>
      </c>
      <c r="G2008" t="s">
        <v>4132</v>
      </c>
    </row>
    <row r="2009" spans="1:7">
      <c r="A2009" t="s">
        <v>4108</v>
      </c>
      <c r="G2009" t="s">
        <v>4132</v>
      </c>
    </row>
    <row r="2010" spans="1:7">
      <c r="A2010" t="s">
        <v>4174</v>
      </c>
      <c r="G2010" t="s">
        <v>4132</v>
      </c>
    </row>
    <row r="2011" spans="1:8">
      <c r="A2011" t="s">
        <v>4266</v>
      </c>
      <c r="G2011" t="s">
        <v>4132</v>
      </c>
      <c r="H2011">
        <v>5236097</v>
      </c>
    </row>
    <row r="2012" spans="1:7">
      <c r="A2012" t="s">
        <v>4562</v>
      </c>
      <c r="G2012" t="s">
        <v>4132</v>
      </c>
    </row>
    <row r="2013" spans="1:8">
      <c r="A2013" t="s">
        <v>4325</v>
      </c>
      <c r="G2013" t="s">
        <v>4132</v>
      </c>
      <c r="H2013">
        <v>5234097</v>
      </c>
    </row>
    <row r="2014" spans="1:7">
      <c r="A2014" t="s">
        <v>4455</v>
      </c>
      <c r="G2014" t="s">
        <v>4132</v>
      </c>
    </row>
    <row r="2015" spans="1:7">
      <c r="A2015" t="s">
        <v>4763</v>
      </c>
      <c r="G2015" t="s">
        <v>4132</v>
      </c>
    </row>
    <row r="2016" spans="1:8">
      <c r="A2016" t="s">
        <v>4792</v>
      </c>
      <c r="G2016" t="s">
        <v>4132</v>
      </c>
      <c r="H2016">
        <v>5226097</v>
      </c>
    </row>
    <row r="2017" spans="1:7">
      <c r="A2017" t="s">
        <v>4619</v>
      </c>
      <c r="G2017" t="s">
        <v>4132</v>
      </c>
    </row>
    <row r="2018" spans="1:8">
      <c r="A2018" t="s">
        <v>4764</v>
      </c>
      <c r="G2018" t="s">
        <v>4132</v>
      </c>
      <c r="H2018">
        <v>5206097</v>
      </c>
    </row>
    <row r="2019" spans="1:8">
      <c r="A2019" t="s">
        <v>4258</v>
      </c>
      <c r="G2019" t="s">
        <v>4132</v>
      </c>
      <c r="H2019">
        <v>5199097</v>
      </c>
    </row>
    <row r="2020" spans="1:7">
      <c r="A2020" t="s">
        <v>4107</v>
      </c>
      <c r="G2020" t="s">
        <v>4132</v>
      </c>
    </row>
    <row r="2021" spans="1:7">
      <c r="A2021" t="s">
        <v>4819</v>
      </c>
      <c r="G2021" t="s">
        <v>4132</v>
      </c>
    </row>
    <row r="2022" spans="1:7">
      <c r="A2022" t="s">
        <v>4205</v>
      </c>
      <c r="G2022" t="s">
        <v>4132</v>
      </c>
    </row>
    <row r="2023" spans="1:7">
      <c r="A2023" t="s">
        <v>4727</v>
      </c>
      <c r="G2023" t="s">
        <v>4132</v>
      </c>
    </row>
    <row r="2024" spans="1:7">
      <c r="A2024" t="s">
        <v>4705</v>
      </c>
      <c r="G2024" t="s">
        <v>4132</v>
      </c>
    </row>
    <row r="2025" spans="1:7">
      <c r="A2025" t="s">
        <v>4248</v>
      </c>
      <c r="G2025" t="s">
        <v>4132</v>
      </c>
    </row>
    <row r="2026" spans="1:7">
      <c r="A2026" t="s">
        <v>4173</v>
      </c>
      <c r="G2026" t="s">
        <v>4132</v>
      </c>
    </row>
    <row r="2027" spans="1:8">
      <c r="A2027" t="s">
        <v>4077</v>
      </c>
      <c r="G2027" t="s">
        <v>4132</v>
      </c>
      <c r="H2027">
        <v>5134097</v>
      </c>
    </row>
    <row r="2028" spans="1:7">
      <c r="A2028" t="s">
        <v>4477</v>
      </c>
      <c r="G2028" t="s">
        <v>4132</v>
      </c>
    </row>
    <row r="2029" spans="1:7">
      <c r="A2029" t="s">
        <v>4454</v>
      </c>
      <c r="G2029" t="s">
        <v>4132</v>
      </c>
    </row>
    <row r="2030" spans="1:7">
      <c r="A2030" t="s">
        <v>4134</v>
      </c>
      <c r="G2030" t="s">
        <v>4132</v>
      </c>
    </row>
    <row r="2031" spans="1:7">
      <c r="A2031" t="s">
        <v>4056</v>
      </c>
      <c r="G2031" t="s">
        <v>4132</v>
      </c>
    </row>
    <row r="2032" spans="1:7">
      <c r="A2032" t="s">
        <v>4820</v>
      </c>
      <c r="G2032" t="s">
        <v>4132</v>
      </c>
    </row>
    <row r="2033" spans="1:7">
      <c r="A2033" t="s">
        <v>4821</v>
      </c>
      <c r="G2033" t="s">
        <v>4132</v>
      </c>
    </row>
    <row r="2034" spans="1:7">
      <c r="A2034" t="s">
        <v>4062</v>
      </c>
      <c r="G2034" t="s">
        <v>4132</v>
      </c>
    </row>
    <row r="2035" spans="1:7">
      <c r="A2035" t="s">
        <v>4091</v>
      </c>
      <c r="G2035" t="s">
        <v>4132</v>
      </c>
    </row>
    <row r="2036" spans="1:7">
      <c r="A2036" t="s">
        <v>4581</v>
      </c>
      <c r="G2036" t="s">
        <v>4132</v>
      </c>
    </row>
    <row r="2037" spans="1:7">
      <c r="A2037" t="s">
        <v>4610</v>
      </c>
      <c r="G2037" t="s">
        <v>4132</v>
      </c>
    </row>
    <row r="2038" spans="1:7">
      <c r="A2038" t="s">
        <v>4397</v>
      </c>
      <c r="G2038" t="s">
        <v>4132</v>
      </c>
    </row>
    <row r="2039" spans="1:7">
      <c r="A2039" t="s">
        <v>4055</v>
      </c>
      <c r="G2039" t="s">
        <v>4132</v>
      </c>
    </row>
    <row r="2040" spans="1:7">
      <c r="A2040" t="s">
        <v>4186</v>
      </c>
      <c r="G2040" t="s">
        <v>4132</v>
      </c>
    </row>
    <row r="2041" spans="1:7">
      <c r="A2041" t="s">
        <v>4052</v>
      </c>
      <c r="G2041" t="s">
        <v>4132</v>
      </c>
    </row>
    <row r="2042" spans="1:7">
      <c r="A2042" t="s">
        <v>4729</v>
      </c>
      <c r="G2042" t="s">
        <v>4132</v>
      </c>
    </row>
    <row r="2043" spans="1:7">
      <c r="A2043" t="s">
        <v>4572</v>
      </c>
      <c r="B2043">
        <v>5432097</v>
      </c>
      <c r="G2043" t="s">
        <v>4132</v>
      </c>
    </row>
    <row r="2044" spans="1:7">
      <c r="A2044" t="s">
        <v>4171</v>
      </c>
      <c r="G2044" t="s">
        <v>4132</v>
      </c>
    </row>
    <row r="2045" spans="1:7">
      <c r="A2045" t="s">
        <v>4098</v>
      </c>
      <c r="G2045" t="s">
        <v>4132</v>
      </c>
    </row>
    <row r="2046" spans="1:8">
      <c r="A2046" t="s">
        <v>4103</v>
      </c>
      <c r="G2046" t="s">
        <v>4822</v>
      </c>
      <c r="H2046">
        <v>5212097</v>
      </c>
    </row>
    <row r="2047" spans="1:7">
      <c r="A2047" t="s">
        <v>4370</v>
      </c>
      <c r="G2047" t="s">
        <v>4822</v>
      </c>
    </row>
    <row r="2048" spans="1:7">
      <c r="A2048" t="s">
        <v>4085</v>
      </c>
      <c r="G2048" t="s">
        <v>4823</v>
      </c>
    </row>
    <row r="2049" spans="1:7">
      <c r="A2049" t="s">
        <v>4175</v>
      </c>
      <c r="G2049" t="s">
        <v>4824</v>
      </c>
    </row>
    <row r="2050" spans="1:7">
      <c r="A2050" t="s">
        <v>4188</v>
      </c>
      <c r="G2050" t="s">
        <v>4824</v>
      </c>
    </row>
    <row r="2051" spans="1:7">
      <c r="A2051" t="s">
        <v>4606</v>
      </c>
      <c r="G2051" t="s">
        <v>4824</v>
      </c>
    </row>
    <row r="2052" spans="1:7">
      <c r="A2052" t="s">
        <v>4418</v>
      </c>
      <c r="G2052" t="s">
        <v>4824</v>
      </c>
    </row>
    <row r="2053" spans="1:7">
      <c r="A2053" t="s">
        <v>4136</v>
      </c>
      <c r="G2053" t="s">
        <v>4824</v>
      </c>
    </row>
    <row r="2054" spans="1:7">
      <c r="A2054" t="s">
        <v>4809</v>
      </c>
      <c r="G2054" t="s">
        <v>4824</v>
      </c>
    </row>
    <row r="2055" spans="1:7">
      <c r="A2055" t="s">
        <v>4009</v>
      </c>
      <c r="G2055" t="s">
        <v>4824</v>
      </c>
    </row>
    <row r="2056" spans="1:7">
      <c r="A2056" t="s">
        <v>4704</v>
      </c>
      <c r="G2056" t="s">
        <v>4824</v>
      </c>
    </row>
    <row r="2057" spans="1:7">
      <c r="A2057" t="s">
        <v>4233</v>
      </c>
      <c r="G2057" t="s">
        <v>4824</v>
      </c>
    </row>
    <row r="2058" spans="1:7">
      <c r="A2058" t="s">
        <v>4825</v>
      </c>
      <c r="G2058" t="s">
        <v>4824</v>
      </c>
    </row>
    <row r="2059" spans="1:7">
      <c r="A2059" t="s">
        <v>4571</v>
      </c>
      <c r="G2059" t="s">
        <v>4824</v>
      </c>
    </row>
    <row r="2060" spans="1:7">
      <c r="A2060" t="s">
        <v>4703</v>
      </c>
      <c r="G2060" t="s">
        <v>4824</v>
      </c>
    </row>
    <row r="2061" spans="1:7">
      <c r="A2061" t="s">
        <v>4142</v>
      </c>
      <c r="G2061" t="s">
        <v>4824</v>
      </c>
    </row>
    <row r="2062" spans="1:7">
      <c r="A2062" t="s">
        <v>4474</v>
      </c>
      <c r="G2062" t="s">
        <v>4824</v>
      </c>
    </row>
    <row r="2063" spans="1:7">
      <c r="A2063" t="s">
        <v>4716</v>
      </c>
      <c r="G2063" t="s">
        <v>4824</v>
      </c>
    </row>
    <row r="2064" spans="1:7">
      <c r="A2064" t="s">
        <v>4084</v>
      </c>
      <c r="G2064" t="s">
        <v>4824</v>
      </c>
    </row>
    <row r="2065" spans="1:7">
      <c r="A2065" t="s">
        <v>4799</v>
      </c>
      <c r="G2065" t="s">
        <v>4824</v>
      </c>
    </row>
    <row r="2066" spans="1:8">
      <c r="A2066" t="s">
        <v>4611</v>
      </c>
      <c r="G2066" t="s">
        <v>4824</v>
      </c>
      <c r="H2066">
        <v>5108097</v>
      </c>
    </row>
    <row r="2067" spans="1:7">
      <c r="A2067" t="s">
        <v>4126</v>
      </c>
      <c r="G2067" t="s">
        <v>4824</v>
      </c>
    </row>
    <row r="2068" spans="1:7">
      <c r="A2068" t="s">
        <v>4520</v>
      </c>
      <c r="G2068" t="s">
        <v>4824</v>
      </c>
    </row>
    <row r="2069" spans="1:7">
      <c r="A2069" t="s">
        <v>4810</v>
      </c>
      <c r="G2069" t="s">
        <v>4824</v>
      </c>
    </row>
    <row r="2070" spans="1:7">
      <c r="A2070" t="s">
        <v>4135</v>
      </c>
      <c r="G2070" t="s">
        <v>4824</v>
      </c>
    </row>
    <row r="2071" spans="1:7">
      <c r="A2071" t="s">
        <v>4549</v>
      </c>
      <c r="G2071" t="s">
        <v>4824</v>
      </c>
    </row>
    <row r="2072" spans="1:7">
      <c r="A2072" t="s">
        <v>4620</v>
      </c>
      <c r="G2072" t="s">
        <v>4824</v>
      </c>
    </row>
    <row r="2073" spans="1:7">
      <c r="A2073" t="s">
        <v>4767</v>
      </c>
      <c r="G2073" t="s">
        <v>4824</v>
      </c>
    </row>
    <row r="2074" spans="1:7">
      <c r="A2074" t="s">
        <v>4153</v>
      </c>
      <c r="G2074" t="s">
        <v>4824</v>
      </c>
    </row>
    <row r="2075" spans="1:7">
      <c r="A2075" t="s">
        <v>4625</v>
      </c>
      <c r="G2075" t="s">
        <v>4824</v>
      </c>
    </row>
    <row r="2076" spans="1:7">
      <c r="A2076" t="s">
        <v>4218</v>
      </c>
      <c r="G2076" t="s">
        <v>4824</v>
      </c>
    </row>
    <row r="2077" spans="1:7">
      <c r="A2077" t="s">
        <v>4064</v>
      </c>
      <c r="B2077">
        <v>5446097</v>
      </c>
      <c r="G2077" t="s">
        <v>4824</v>
      </c>
    </row>
    <row r="2078" spans="1:7">
      <c r="A2078" t="s">
        <v>4035</v>
      </c>
      <c r="G2078" t="s">
        <v>4824</v>
      </c>
    </row>
    <row r="2079" spans="1:7">
      <c r="A2079" t="s">
        <v>4075</v>
      </c>
      <c r="G2079" t="s">
        <v>4824</v>
      </c>
    </row>
    <row r="2080" spans="1:7">
      <c r="A2080" t="s">
        <v>4031</v>
      </c>
      <c r="G2080" t="s">
        <v>4824</v>
      </c>
    </row>
    <row r="2081" spans="1:7">
      <c r="A2081" t="s">
        <v>4152</v>
      </c>
      <c r="G2081" t="s">
        <v>4824</v>
      </c>
    </row>
    <row r="2082" spans="1:7">
      <c r="A2082" t="s">
        <v>4571</v>
      </c>
      <c r="B2082">
        <v>5430097</v>
      </c>
      <c r="G2082" t="s">
        <v>4824</v>
      </c>
    </row>
    <row r="2083" spans="1:7">
      <c r="A2083" t="s">
        <v>4109</v>
      </c>
      <c r="G2083" t="s">
        <v>4824</v>
      </c>
    </row>
    <row r="2084" spans="1:7">
      <c r="A2084" t="s">
        <v>4820</v>
      </c>
      <c r="G2084" t="s">
        <v>4824</v>
      </c>
    </row>
    <row r="2085" spans="1:7">
      <c r="A2085" t="s">
        <v>4826</v>
      </c>
      <c r="G2085" t="s">
        <v>4824</v>
      </c>
    </row>
    <row r="2086" spans="1:7">
      <c r="A2086" t="s">
        <v>4148</v>
      </c>
      <c r="G2086" t="s">
        <v>4824</v>
      </c>
    </row>
    <row r="2087" spans="1:7">
      <c r="A2087" t="s">
        <v>4811</v>
      </c>
      <c r="G2087" t="s">
        <v>4827</v>
      </c>
    </row>
    <row r="2088" spans="1:7">
      <c r="A2088" t="s">
        <v>4562</v>
      </c>
      <c r="G2088" t="s">
        <v>4827</v>
      </c>
    </row>
    <row r="2089" spans="1:7">
      <c r="A2089" t="s">
        <v>4262</v>
      </c>
      <c r="G2089" t="s">
        <v>4730</v>
      </c>
    </row>
    <row r="2090" spans="1:7">
      <c r="A2090" t="s">
        <v>4193</v>
      </c>
      <c r="B2090">
        <v>5445097</v>
      </c>
      <c r="G2090" t="s">
        <v>4730</v>
      </c>
    </row>
    <row r="2091" spans="1:7">
      <c r="A2091" t="s">
        <v>4447</v>
      </c>
      <c r="G2091" t="s">
        <v>4730</v>
      </c>
    </row>
    <row r="2092" spans="1:7">
      <c r="A2092" t="s">
        <v>4026</v>
      </c>
      <c r="G2092" t="s">
        <v>4730</v>
      </c>
    </row>
    <row r="2093" spans="1:7">
      <c r="A2093" t="s">
        <v>4028</v>
      </c>
      <c r="G2093" t="s">
        <v>4730</v>
      </c>
    </row>
    <row r="2094" spans="1:7">
      <c r="A2094" t="s">
        <v>4469</v>
      </c>
      <c r="G2094" t="s">
        <v>4828</v>
      </c>
    </row>
    <row r="2095" spans="1:7">
      <c r="A2095" t="s">
        <v>4631</v>
      </c>
      <c r="G2095" t="s">
        <v>4828</v>
      </c>
    </row>
    <row r="2096" spans="1:7">
      <c r="A2096" t="s">
        <v>4829</v>
      </c>
      <c r="G2096" t="s">
        <v>4828</v>
      </c>
    </row>
    <row r="2097" spans="1:7">
      <c r="A2097" t="s">
        <v>4830</v>
      </c>
      <c r="G2097" t="s">
        <v>4828</v>
      </c>
    </row>
    <row r="2098" spans="1:7">
      <c r="A2098" t="s">
        <v>4205</v>
      </c>
      <c r="B2098">
        <v>5444097</v>
      </c>
      <c r="G2098" t="s">
        <v>4828</v>
      </c>
    </row>
    <row r="2099" spans="1:7">
      <c r="A2099" t="s">
        <v>4081</v>
      </c>
      <c r="G2099" t="s">
        <v>4828</v>
      </c>
    </row>
    <row r="2100" spans="1:7">
      <c r="A2100" t="s">
        <v>4816</v>
      </c>
      <c r="G2100" t="s">
        <v>4547</v>
      </c>
    </row>
    <row r="2101" spans="1:7">
      <c r="A2101" t="s">
        <v>4098</v>
      </c>
      <c r="G2101" t="s">
        <v>4547</v>
      </c>
    </row>
    <row r="2102" spans="1:7">
      <c r="A2102" t="s">
        <v>4170</v>
      </c>
      <c r="G2102" t="s">
        <v>4547</v>
      </c>
    </row>
    <row r="2103" spans="1:7">
      <c r="A2103" t="s">
        <v>4659</v>
      </c>
      <c r="G2103" t="s">
        <v>4547</v>
      </c>
    </row>
    <row r="2104" spans="1:7">
      <c r="A2104" t="s">
        <v>4116</v>
      </c>
      <c r="G2104" t="s">
        <v>4547</v>
      </c>
    </row>
    <row r="2105" spans="1:7">
      <c r="A2105" t="s">
        <v>4792</v>
      </c>
      <c r="B2105">
        <v>5428097</v>
      </c>
      <c r="G2105" t="s">
        <v>4547</v>
      </c>
    </row>
    <row r="2106" spans="1:7">
      <c r="A2106" t="s">
        <v>4162</v>
      </c>
      <c r="G2106" t="s">
        <v>4547</v>
      </c>
    </row>
    <row r="2107" spans="1:7">
      <c r="A2107" t="s">
        <v>4455</v>
      </c>
      <c r="G2107" t="s">
        <v>4547</v>
      </c>
    </row>
    <row r="2108" spans="1:7">
      <c r="A2108" t="s">
        <v>4799</v>
      </c>
      <c r="G2108" t="s">
        <v>4547</v>
      </c>
    </row>
    <row r="2109" spans="1:7">
      <c r="A2109" t="s">
        <v>3993</v>
      </c>
      <c r="B2109">
        <v>5443097</v>
      </c>
      <c r="G2109" t="s">
        <v>4547</v>
      </c>
    </row>
    <row r="2110" spans="1:7">
      <c r="A2110" t="s">
        <v>4205</v>
      </c>
      <c r="G2110" t="s">
        <v>4531</v>
      </c>
    </row>
    <row r="2111" spans="1:7">
      <c r="A2111" t="s">
        <v>4097</v>
      </c>
      <c r="G2111" t="s">
        <v>4531</v>
      </c>
    </row>
    <row r="2112" spans="1:7">
      <c r="A2112" t="s">
        <v>4455</v>
      </c>
      <c r="G2112" t="s">
        <v>4531</v>
      </c>
    </row>
    <row r="2113" spans="1:8">
      <c r="A2113" t="s">
        <v>4090</v>
      </c>
      <c r="G2113" t="s">
        <v>4531</v>
      </c>
      <c r="H2113">
        <v>5493097</v>
      </c>
    </row>
    <row r="2114" spans="1:7">
      <c r="A2114" t="s">
        <v>4798</v>
      </c>
      <c r="G2114" t="s">
        <v>4531</v>
      </c>
    </row>
    <row r="2115" spans="1:7">
      <c r="A2115" t="s">
        <v>4799</v>
      </c>
      <c r="G2115" t="s">
        <v>4531</v>
      </c>
    </row>
    <row r="2116" spans="1:8">
      <c r="A2116" t="s">
        <v>4098</v>
      </c>
      <c r="G2116" t="s">
        <v>4531</v>
      </c>
      <c r="H2116">
        <v>5490097</v>
      </c>
    </row>
    <row r="2117" spans="1:7">
      <c r="A2117" t="s">
        <v>4703</v>
      </c>
      <c r="G2117" t="s">
        <v>4831</v>
      </c>
    </row>
    <row r="2118" spans="1:7">
      <c r="A2118" t="s">
        <v>4248</v>
      </c>
      <c r="G2118" t="s">
        <v>4831</v>
      </c>
    </row>
    <row r="2119" spans="1:7">
      <c r="A2119" t="s">
        <v>4162</v>
      </c>
      <c r="G2119" t="s">
        <v>4635</v>
      </c>
    </row>
    <row r="2120" spans="1:7">
      <c r="A2120" t="s">
        <v>4816</v>
      </c>
      <c r="G2120" t="s">
        <v>4832</v>
      </c>
    </row>
    <row r="2121" spans="1:7">
      <c r="A2121" t="s">
        <v>4154</v>
      </c>
      <c r="G2121" t="s">
        <v>4832</v>
      </c>
    </row>
    <row r="2122" spans="1:7">
      <c r="A2122" t="s">
        <v>4792</v>
      </c>
      <c r="B2122">
        <v>5427097</v>
      </c>
      <c r="G2122" t="s">
        <v>4832</v>
      </c>
    </row>
    <row r="2123" spans="1:7">
      <c r="A2123" t="s">
        <v>4833</v>
      </c>
      <c r="B2123">
        <v>5441097</v>
      </c>
      <c r="G2123" t="s">
        <v>4832</v>
      </c>
    </row>
    <row r="2124" spans="1:7">
      <c r="A2124" t="s">
        <v>4834</v>
      </c>
      <c r="G2124" t="s">
        <v>4832</v>
      </c>
    </row>
    <row r="2125" spans="1:7">
      <c r="A2125" t="s">
        <v>4835</v>
      </c>
      <c r="G2125" t="s">
        <v>4832</v>
      </c>
    </row>
    <row r="2126" spans="1:7">
      <c r="A2126" t="s">
        <v>4836</v>
      </c>
      <c r="G2126" t="s">
        <v>4832</v>
      </c>
    </row>
    <row r="2127" spans="1:7">
      <c r="A2127" t="s">
        <v>4221</v>
      </c>
      <c r="G2127" t="s">
        <v>4832</v>
      </c>
    </row>
    <row r="2128" spans="1:7">
      <c r="A2128" t="s">
        <v>4837</v>
      </c>
      <c r="G2128" t="s">
        <v>4832</v>
      </c>
    </row>
    <row r="2129" spans="1:7">
      <c r="A2129" t="s">
        <v>4497</v>
      </c>
      <c r="G2129" t="s">
        <v>4832</v>
      </c>
    </row>
    <row r="2130" spans="1:8">
      <c r="A2130" t="s">
        <v>4838</v>
      </c>
      <c r="G2130" t="s">
        <v>4700</v>
      </c>
      <c r="H2130">
        <v>5464097</v>
      </c>
    </row>
    <row r="2131" spans="1:7">
      <c r="A2131" t="s">
        <v>4839</v>
      </c>
      <c r="G2131" t="s">
        <v>4700</v>
      </c>
    </row>
    <row r="2132" spans="1:7">
      <c r="A2132" t="s">
        <v>4830</v>
      </c>
      <c r="G2132" t="s">
        <v>4840</v>
      </c>
    </row>
    <row r="2133" spans="1:7">
      <c r="A2133" t="s">
        <v>4841</v>
      </c>
      <c r="B2133">
        <v>5426097</v>
      </c>
      <c r="G2133" t="s">
        <v>4840</v>
      </c>
    </row>
    <row r="2134" spans="1:7">
      <c r="A2134" t="s">
        <v>4842</v>
      </c>
      <c r="G2134" t="s">
        <v>4611</v>
      </c>
    </row>
    <row r="2135" spans="1:7">
      <c r="A2135" t="s">
        <v>4843</v>
      </c>
      <c r="G2135" t="s">
        <v>4611</v>
      </c>
    </row>
    <row r="2136" spans="1:7">
      <c r="A2136" t="s">
        <v>4844</v>
      </c>
      <c r="G2136" t="s">
        <v>4611</v>
      </c>
    </row>
    <row r="2137" spans="1:7">
      <c r="A2137" t="s">
        <v>4845</v>
      </c>
      <c r="G2137" t="s">
        <v>4611</v>
      </c>
    </row>
    <row r="2138" spans="1:7">
      <c r="A2138" t="s">
        <v>4782</v>
      </c>
      <c r="G2138" t="s">
        <v>4611</v>
      </c>
    </row>
    <row r="2139" spans="1:7">
      <c r="A2139" t="s">
        <v>4846</v>
      </c>
      <c r="G2139" t="s">
        <v>4847</v>
      </c>
    </row>
    <row r="2140" spans="1:7">
      <c r="A2140" t="s">
        <v>4722</v>
      </c>
      <c r="G2140" t="s">
        <v>4365</v>
      </c>
    </row>
    <row r="2141" spans="1:7">
      <c r="A2141" t="s">
        <v>4848</v>
      </c>
      <c r="G2141" t="s">
        <v>4365</v>
      </c>
    </row>
    <row r="2142" spans="1:7">
      <c r="A2142" t="s">
        <v>4028</v>
      </c>
      <c r="G2142" t="s">
        <v>4365</v>
      </c>
    </row>
    <row r="2143" spans="1:8">
      <c r="A2143" t="s">
        <v>4676</v>
      </c>
      <c r="G2143" t="s">
        <v>4849</v>
      </c>
      <c r="H2143">
        <v>5415097</v>
      </c>
    </row>
    <row r="2144" spans="1:7">
      <c r="A2144" t="s">
        <v>4850</v>
      </c>
      <c r="G2144" t="s">
        <v>4158</v>
      </c>
    </row>
    <row r="2145" spans="1:7">
      <c r="A2145" t="s">
        <v>4851</v>
      </c>
      <c r="G2145" t="s">
        <v>4158</v>
      </c>
    </row>
    <row r="2146" spans="1:7">
      <c r="A2146" t="s">
        <v>4288</v>
      </c>
      <c r="G2146" t="s">
        <v>4158</v>
      </c>
    </row>
    <row r="2147" spans="1:8">
      <c r="A2147" t="s">
        <v>4496</v>
      </c>
      <c r="G2147" t="s">
        <v>4158</v>
      </c>
      <c r="H2147">
        <v>5316097</v>
      </c>
    </row>
    <row r="2148" spans="1:7">
      <c r="A2148" t="s">
        <v>4852</v>
      </c>
      <c r="B2148">
        <v>5425097</v>
      </c>
      <c r="G2148" t="s">
        <v>4158</v>
      </c>
    </row>
    <row r="2149" spans="1:7">
      <c r="A2149" t="s">
        <v>4853</v>
      </c>
      <c r="G2149" t="s">
        <v>4158</v>
      </c>
    </row>
    <row r="2150" spans="1:7">
      <c r="A2150" t="s">
        <v>4854</v>
      </c>
      <c r="G2150" t="s">
        <v>4134</v>
      </c>
    </row>
    <row r="2151" spans="1:7">
      <c r="A2151" t="s">
        <v>4855</v>
      </c>
      <c r="G2151" t="s">
        <v>4134</v>
      </c>
    </row>
    <row r="2152" spans="1:7">
      <c r="A2152" t="s">
        <v>3976</v>
      </c>
      <c r="G2152" t="s">
        <v>4134</v>
      </c>
    </row>
    <row r="2153" spans="1:7">
      <c r="A2153" t="s">
        <v>4856</v>
      </c>
      <c r="G2153" t="s">
        <v>4134</v>
      </c>
    </row>
    <row r="2154" spans="1:7">
      <c r="A2154" t="s">
        <v>4857</v>
      </c>
      <c r="G2154" t="s">
        <v>4134</v>
      </c>
    </row>
    <row r="2155" spans="1:7">
      <c r="A2155" t="s">
        <v>4226</v>
      </c>
      <c r="G2155" t="s">
        <v>4134</v>
      </c>
    </row>
    <row r="2156" spans="1:7">
      <c r="A2156" t="s">
        <v>4498</v>
      </c>
      <c r="G2156" t="s">
        <v>4134</v>
      </c>
    </row>
    <row r="2157" spans="1:7">
      <c r="A2157" t="s">
        <v>4858</v>
      </c>
      <c r="G2157" t="s">
        <v>4134</v>
      </c>
    </row>
    <row r="2158" spans="1:7">
      <c r="A2158" t="s">
        <v>4020</v>
      </c>
      <c r="G2158" t="s">
        <v>4134</v>
      </c>
    </row>
    <row r="2159" spans="1:7">
      <c r="A2159" t="s">
        <v>4268</v>
      </c>
      <c r="G2159" t="s">
        <v>4018</v>
      </c>
    </row>
    <row r="2160" spans="1:7">
      <c r="A2160" t="s">
        <v>4794</v>
      </c>
      <c r="B2160">
        <v>5422097</v>
      </c>
      <c r="G2160" t="s">
        <v>4018</v>
      </c>
    </row>
    <row r="2161" spans="1:7">
      <c r="A2161" t="s">
        <v>4631</v>
      </c>
      <c r="G2161" t="s">
        <v>4018</v>
      </c>
    </row>
    <row r="2162" spans="1:7">
      <c r="A2162" t="s">
        <v>4859</v>
      </c>
      <c r="G2162" t="s">
        <v>3986</v>
      </c>
    </row>
    <row r="2163" spans="1:7">
      <c r="A2163" t="s">
        <v>4412</v>
      </c>
      <c r="G2163" t="s">
        <v>4614</v>
      </c>
    </row>
    <row r="2164" spans="1:7">
      <c r="A2164" t="s">
        <v>4860</v>
      </c>
      <c r="G2164" t="s">
        <v>4614</v>
      </c>
    </row>
    <row r="2165" spans="1:7">
      <c r="A2165" t="s">
        <v>4318</v>
      </c>
      <c r="G2165" t="s">
        <v>4614</v>
      </c>
    </row>
    <row r="2166" spans="1:7">
      <c r="A2166" t="s">
        <v>4604</v>
      </c>
      <c r="G2166" t="s">
        <v>4614</v>
      </c>
    </row>
    <row r="2167" spans="1:7">
      <c r="A2167" t="s">
        <v>4861</v>
      </c>
      <c r="G2167" t="s">
        <v>4614</v>
      </c>
    </row>
    <row r="2168" spans="1:7">
      <c r="A2168" t="s">
        <v>4862</v>
      </c>
      <c r="G2168" t="s">
        <v>4614</v>
      </c>
    </row>
    <row r="2169" spans="1:7">
      <c r="A2169" t="s">
        <v>4863</v>
      </c>
      <c r="G2169" t="s">
        <v>4614</v>
      </c>
    </row>
    <row r="2170" spans="1:7">
      <c r="A2170" t="s">
        <v>4864</v>
      </c>
      <c r="G2170" t="s">
        <v>4614</v>
      </c>
    </row>
    <row r="2171" spans="1:7">
      <c r="A2171" t="s">
        <v>4027</v>
      </c>
      <c r="G2171" t="s">
        <v>4614</v>
      </c>
    </row>
    <row r="2172" spans="1:7">
      <c r="A2172" t="s">
        <v>4865</v>
      </c>
      <c r="G2172" t="s">
        <v>4614</v>
      </c>
    </row>
    <row r="2173" spans="1:7">
      <c r="A2173" t="s">
        <v>4369</v>
      </c>
      <c r="B2173">
        <v>5432097</v>
      </c>
      <c r="G2173" t="s">
        <v>4614</v>
      </c>
    </row>
    <row r="2174" spans="1:7">
      <c r="A2174" t="s">
        <v>4205</v>
      </c>
      <c r="G2174" t="s">
        <v>4866</v>
      </c>
    </row>
    <row r="2175" spans="1:7">
      <c r="A2175" t="s">
        <v>4867</v>
      </c>
      <c r="G2175" t="s">
        <v>4467</v>
      </c>
    </row>
    <row r="2176" spans="1:7">
      <c r="A2176" t="s">
        <v>4092</v>
      </c>
      <c r="B2176">
        <v>5419097</v>
      </c>
      <c r="G2176" t="s">
        <v>4467</v>
      </c>
    </row>
    <row r="2177" spans="1:7">
      <c r="A2177" t="s">
        <v>4793</v>
      </c>
      <c r="G2177" t="s">
        <v>4868</v>
      </c>
    </row>
    <row r="2178" spans="1:7">
      <c r="A2178" t="s">
        <v>4400</v>
      </c>
      <c r="G2178" t="s">
        <v>4868</v>
      </c>
    </row>
    <row r="2179" spans="1:7">
      <c r="A2179" t="s">
        <v>4258</v>
      </c>
      <c r="G2179" t="s">
        <v>4868</v>
      </c>
    </row>
    <row r="2180" spans="1:7">
      <c r="A2180" t="s">
        <v>4115</v>
      </c>
      <c r="G2180" t="s">
        <v>4868</v>
      </c>
    </row>
    <row r="2181" spans="1:7">
      <c r="A2181" t="s">
        <v>4076</v>
      </c>
      <c r="G2181" t="s">
        <v>4868</v>
      </c>
    </row>
    <row r="2182" spans="1:7">
      <c r="A2182" t="s">
        <v>4799</v>
      </c>
      <c r="G2182" t="s">
        <v>4868</v>
      </c>
    </row>
    <row r="2183" spans="1:7">
      <c r="A2183" t="s">
        <v>4375</v>
      </c>
      <c r="G2183" t="s">
        <v>4868</v>
      </c>
    </row>
    <row r="2184" spans="1:7">
      <c r="A2184" t="s">
        <v>4472</v>
      </c>
      <c r="G2184" t="s">
        <v>4868</v>
      </c>
    </row>
    <row r="2185" spans="1:7">
      <c r="A2185" t="s">
        <v>4128</v>
      </c>
      <c r="G2185" t="s">
        <v>4869</v>
      </c>
    </row>
    <row r="2186" spans="1:7">
      <c r="A2186" t="s">
        <v>4450</v>
      </c>
      <c r="G2186" t="s">
        <v>4357</v>
      </c>
    </row>
    <row r="2187" spans="1:7">
      <c r="A2187" t="s">
        <v>4372</v>
      </c>
      <c r="G2187" t="s">
        <v>4357</v>
      </c>
    </row>
    <row r="2188" spans="1:7">
      <c r="A2188" t="s">
        <v>4098</v>
      </c>
      <c r="G2188" t="s">
        <v>4095</v>
      </c>
    </row>
    <row r="2189" spans="1:7">
      <c r="A2189" t="s">
        <v>4703</v>
      </c>
      <c r="G2189" t="s">
        <v>4095</v>
      </c>
    </row>
    <row r="2190" spans="1:7">
      <c r="A2190" t="s">
        <v>4279</v>
      </c>
      <c r="G2190" t="s">
        <v>4095</v>
      </c>
    </row>
    <row r="2191" spans="1:7">
      <c r="A2191" t="s">
        <v>4055</v>
      </c>
      <c r="G2191" t="s">
        <v>4095</v>
      </c>
    </row>
    <row r="2192" spans="1:7">
      <c r="A2192" t="s">
        <v>4513</v>
      </c>
      <c r="G2192" t="s">
        <v>4095</v>
      </c>
    </row>
    <row r="2193" spans="1:7">
      <c r="A2193" t="s">
        <v>4763</v>
      </c>
      <c r="G2193" t="s">
        <v>4095</v>
      </c>
    </row>
    <row r="2194" spans="1:7">
      <c r="A2194" t="s">
        <v>4086</v>
      </c>
      <c r="G2194" t="s">
        <v>4095</v>
      </c>
    </row>
    <row r="2195" spans="1:7">
      <c r="A2195" t="s">
        <v>4218</v>
      </c>
      <c r="G2195" t="s">
        <v>4095</v>
      </c>
    </row>
    <row r="2196" spans="1:7">
      <c r="A2196" t="s">
        <v>4870</v>
      </c>
      <c r="G2196" t="s">
        <v>4095</v>
      </c>
    </row>
    <row r="2197" spans="1:7">
      <c r="A2197" t="s">
        <v>4455</v>
      </c>
      <c r="G2197" t="s">
        <v>4095</v>
      </c>
    </row>
    <row r="2198" spans="1:7">
      <c r="A2198" t="s">
        <v>4109</v>
      </c>
      <c r="G2198" t="s">
        <v>4095</v>
      </c>
    </row>
    <row r="2199" spans="1:7">
      <c r="A2199" t="s">
        <v>4479</v>
      </c>
      <c r="G2199" t="s">
        <v>4169</v>
      </c>
    </row>
    <row r="2200" spans="1:8">
      <c r="A2200" t="s">
        <v>4215</v>
      </c>
      <c r="G2200" t="s">
        <v>4169</v>
      </c>
      <c r="H2200">
        <v>5628097</v>
      </c>
    </row>
    <row r="2201" spans="1:8">
      <c r="A2201" t="s">
        <v>4792</v>
      </c>
      <c r="G2201" t="s">
        <v>4169</v>
      </c>
      <c r="H2201">
        <v>5407097</v>
      </c>
    </row>
    <row r="2202" spans="1:7">
      <c r="A2202" t="s">
        <v>4084</v>
      </c>
      <c r="B2202">
        <v>5417097</v>
      </c>
      <c r="G2202" t="s">
        <v>4169</v>
      </c>
    </row>
    <row r="2203" spans="1:7">
      <c r="A2203" t="s">
        <v>4425</v>
      </c>
      <c r="G2203" t="s">
        <v>4169</v>
      </c>
    </row>
    <row r="2204" spans="1:7">
      <c r="A2204" t="s">
        <v>4233</v>
      </c>
      <c r="G2204" t="s">
        <v>4169</v>
      </c>
    </row>
    <row r="2205" spans="1:7">
      <c r="A2205" t="s">
        <v>4473</v>
      </c>
      <c r="G2205" t="s">
        <v>4169</v>
      </c>
    </row>
    <row r="2206" spans="1:7">
      <c r="A2206" t="s">
        <v>4365</v>
      </c>
      <c r="G2206" t="s">
        <v>4169</v>
      </c>
    </row>
    <row r="2207" spans="1:7">
      <c r="A2207" t="s">
        <v>4236</v>
      </c>
      <c r="G2207" t="s">
        <v>4871</v>
      </c>
    </row>
    <row r="2208" spans="1:7">
      <c r="A2208" t="s">
        <v>4420</v>
      </c>
      <c r="G2208" t="s">
        <v>4871</v>
      </c>
    </row>
    <row r="2209" spans="1:7">
      <c r="A2209" t="s">
        <v>4162</v>
      </c>
      <c r="G2209" t="s">
        <v>4871</v>
      </c>
    </row>
    <row r="2210" spans="1:7">
      <c r="A2210" t="s">
        <v>4192</v>
      </c>
      <c r="G2210" t="s">
        <v>4871</v>
      </c>
    </row>
    <row r="2211" spans="1:7">
      <c r="A2211" t="s">
        <v>4173</v>
      </c>
      <c r="G2211" t="s">
        <v>4871</v>
      </c>
    </row>
    <row r="2212" spans="1:7">
      <c r="A2212" t="s">
        <v>4854</v>
      </c>
      <c r="B2212">
        <v>5430097</v>
      </c>
      <c r="G2212" t="s">
        <v>4871</v>
      </c>
    </row>
    <row r="2213" spans="1:7">
      <c r="A2213" t="s">
        <v>4872</v>
      </c>
      <c r="G2213" t="s">
        <v>4873</v>
      </c>
    </row>
    <row r="2214" spans="1:7">
      <c r="A2214" t="s">
        <v>4301</v>
      </c>
      <c r="G2214" t="s">
        <v>4142</v>
      </c>
    </row>
    <row r="2215" spans="1:7">
      <c r="A2215" t="s">
        <v>4447</v>
      </c>
      <c r="G2215" t="s">
        <v>4142</v>
      </c>
    </row>
    <row r="2216" spans="1:7">
      <c r="A2216" t="s">
        <v>4839</v>
      </c>
      <c r="G2216" t="s">
        <v>4142</v>
      </c>
    </row>
    <row r="2217" spans="1:7">
      <c r="A2217" t="s">
        <v>4842</v>
      </c>
      <c r="G2217" t="s">
        <v>4142</v>
      </c>
    </row>
    <row r="2218" spans="1:7">
      <c r="A2218" t="s">
        <v>4830</v>
      </c>
      <c r="G2218" t="s">
        <v>4142</v>
      </c>
    </row>
    <row r="2219" spans="1:7">
      <c r="A2219" t="s">
        <v>4010</v>
      </c>
      <c r="G2219" t="s">
        <v>4142</v>
      </c>
    </row>
    <row r="2220" spans="1:7">
      <c r="A2220" t="s">
        <v>4874</v>
      </c>
      <c r="G2220" t="s">
        <v>4142</v>
      </c>
    </row>
    <row r="2221" spans="1:7">
      <c r="A2221" t="s">
        <v>4858</v>
      </c>
      <c r="G2221" t="s">
        <v>4142</v>
      </c>
    </row>
    <row r="2222" spans="1:7">
      <c r="A2222" t="s">
        <v>4631</v>
      </c>
      <c r="G2222" t="s">
        <v>4142</v>
      </c>
    </row>
    <row r="2223" spans="1:7">
      <c r="A2223" t="s">
        <v>4101</v>
      </c>
      <c r="G2223" t="s">
        <v>4142</v>
      </c>
    </row>
    <row r="2224" spans="1:7">
      <c r="A2224" t="s">
        <v>4498</v>
      </c>
      <c r="G2224" t="s">
        <v>4142</v>
      </c>
    </row>
    <row r="2225" spans="1:7">
      <c r="A2225" t="s">
        <v>4469</v>
      </c>
      <c r="B2225">
        <v>5415097</v>
      </c>
      <c r="G2225" t="s">
        <v>4142</v>
      </c>
    </row>
    <row r="2226" spans="1:8">
      <c r="A2226" t="s">
        <v>4028</v>
      </c>
      <c r="G2226" t="s">
        <v>4142</v>
      </c>
      <c r="H2226">
        <v>5226097</v>
      </c>
    </row>
    <row r="2227" spans="1:7">
      <c r="A2227" t="s">
        <v>4604</v>
      </c>
      <c r="G2227" t="s">
        <v>4142</v>
      </c>
    </row>
    <row r="2228" spans="1:7">
      <c r="A2228" t="s">
        <v>4838</v>
      </c>
      <c r="G2228" t="s">
        <v>4142</v>
      </c>
    </row>
    <row r="2229" spans="1:8">
      <c r="A2229" t="s">
        <v>4599</v>
      </c>
      <c r="G2229" t="s">
        <v>4142</v>
      </c>
      <c r="H2229">
        <v>4954097</v>
      </c>
    </row>
    <row r="2230" spans="1:7">
      <c r="A2230" t="s">
        <v>4875</v>
      </c>
      <c r="G2230" t="s">
        <v>4862</v>
      </c>
    </row>
    <row r="2231" spans="1:7">
      <c r="A2231" t="s">
        <v>4843</v>
      </c>
      <c r="G2231" t="s">
        <v>4876</v>
      </c>
    </row>
    <row r="2232" spans="1:8">
      <c r="A2232" t="s">
        <v>4877</v>
      </c>
      <c r="G2232" t="s">
        <v>4878</v>
      </c>
      <c r="H2232">
        <v>4924097</v>
      </c>
    </row>
    <row r="2233" spans="1:7">
      <c r="A2233" t="s">
        <v>4018</v>
      </c>
      <c r="G2233" t="s">
        <v>4879</v>
      </c>
    </row>
    <row r="2234" spans="1:8">
      <c r="A2234" t="s">
        <v>4880</v>
      </c>
      <c r="B2234">
        <v>5413097</v>
      </c>
      <c r="G2234" t="s">
        <v>4879</v>
      </c>
      <c r="H2234">
        <v>5000097</v>
      </c>
    </row>
    <row r="2235" spans="1:7">
      <c r="A2235" t="s">
        <v>4881</v>
      </c>
      <c r="B2235">
        <v>5428097</v>
      </c>
      <c r="G2235" t="s">
        <v>4879</v>
      </c>
    </row>
    <row r="2236" spans="1:7">
      <c r="A2236" t="s">
        <v>4882</v>
      </c>
      <c r="G2236" t="s">
        <v>4879</v>
      </c>
    </row>
    <row r="2237" spans="1:7">
      <c r="A2237" t="s">
        <v>4883</v>
      </c>
      <c r="G2237" t="s">
        <v>4879</v>
      </c>
    </row>
    <row r="2238" spans="1:7">
      <c r="A2238" t="s">
        <v>4800</v>
      </c>
      <c r="G2238" t="s">
        <v>4879</v>
      </c>
    </row>
    <row r="2239" spans="1:7">
      <c r="A2239" t="s">
        <v>4128</v>
      </c>
      <c r="G2239" t="s">
        <v>4879</v>
      </c>
    </row>
    <row r="2240" spans="1:7">
      <c r="A2240" t="s">
        <v>4799</v>
      </c>
      <c r="G2240" t="s">
        <v>4879</v>
      </c>
    </row>
    <row r="2241" spans="1:7">
      <c r="A2241" t="s">
        <v>4816</v>
      </c>
      <c r="G2241" t="s">
        <v>4884</v>
      </c>
    </row>
    <row r="2242" spans="1:7">
      <c r="A2242" t="s">
        <v>4703</v>
      </c>
      <c r="G2242" t="s">
        <v>4867</v>
      </c>
    </row>
    <row r="2243" spans="1:7">
      <c r="A2243" t="s">
        <v>4090</v>
      </c>
      <c r="G2243" t="s">
        <v>4867</v>
      </c>
    </row>
    <row r="2244" spans="1:7">
      <c r="A2244" t="s">
        <v>4819</v>
      </c>
      <c r="G2244" t="s">
        <v>4867</v>
      </c>
    </row>
    <row r="2245" spans="1:7">
      <c r="A2245" t="s">
        <v>4098</v>
      </c>
      <c r="G2245" t="s">
        <v>4867</v>
      </c>
    </row>
    <row r="2246" spans="1:7">
      <c r="A2246" t="s">
        <v>4455</v>
      </c>
      <c r="G2246" t="s">
        <v>4867</v>
      </c>
    </row>
    <row r="2247" spans="1:8">
      <c r="A2247" t="s">
        <v>4659</v>
      </c>
      <c r="G2247" t="s">
        <v>4867</v>
      </c>
      <c r="H2247">
        <v>5010097</v>
      </c>
    </row>
    <row r="2248" spans="1:7">
      <c r="A2248" t="s">
        <v>4792</v>
      </c>
      <c r="G2248" t="s">
        <v>4867</v>
      </c>
    </row>
    <row r="2249" spans="1:7">
      <c r="A2249" t="s">
        <v>4205</v>
      </c>
      <c r="G2249" t="s">
        <v>4867</v>
      </c>
    </row>
    <row r="2250" spans="1:7">
      <c r="A2250" t="s">
        <v>4162</v>
      </c>
      <c r="G2250" t="s">
        <v>4867</v>
      </c>
    </row>
    <row r="2251" spans="1:7">
      <c r="A2251" t="s">
        <v>4798</v>
      </c>
      <c r="G2251" t="s">
        <v>4867</v>
      </c>
    </row>
    <row r="2252" spans="1:7">
      <c r="A2252" t="s">
        <v>4528</v>
      </c>
      <c r="B2252">
        <v>5427097</v>
      </c>
      <c r="G2252" t="s">
        <v>4867</v>
      </c>
    </row>
    <row r="2253" spans="1:7">
      <c r="A2253" t="s">
        <v>4128</v>
      </c>
      <c r="G2253" t="s">
        <v>4720</v>
      </c>
    </row>
    <row r="2254" spans="1:7">
      <c r="A2254" t="s">
        <v>4816</v>
      </c>
      <c r="G2254" t="s">
        <v>4720</v>
      </c>
    </row>
    <row r="2255" spans="1:7">
      <c r="A2255" t="s">
        <v>4703</v>
      </c>
      <c r="G2255" t="s">
        <v>4720</v>
      </c>
    </row>
    <row r="2256" spans="1:7">
      <c r="A2256" t="s">
        <v>4563</v>
      </c>
      <c r="G2256" t="s">
        <v>4720</v>
      </c>
    </row>
    <row r="2257" spans="1:7">
      <c r="A2257" t="s">
        <v>4400</v>
      </c>
      <c r="G2257" t="s">
        <v>4720</v>
      </c>
    </row>
    <row r="2258" spans="1:7">
      <c r="A2258" t="s">
        <v>4086</v>
      </c>
      <c r="G2258" t="s">
        <v>4720</v>
      </c>
    </row>
    <row r="2259" spans="1:7">
      <c r="A2259" t="s">
        <v>4455</v>
      </c>
      <c r="G2259" t="s">
        <v>4720</v>
      </c>
    </row>
    <row r="2260" spans="1:7">
      <c r="A2260" t="s">
        <v>4885</v>
      </c>
      <c r="B2260">
        <v>5412097</v>
      </c>
      <c r="G2260" t="s">
        <v>4720</v>
      </c>
    </row>
    <row r="2261" spans="1:7">
      <c r="A2261" t="s">
        <v>4162</v>
      </c>
      <c r="G2261" t="s">
        <v>4720</v>
      </c>
    </row>
    <row r="2262" spans="1:7">
      <c r="A2262" t="s">
        <v>4098</v>
      </c>
      <c r="G2262" t="s">
        <v>4720</v>
      </c>
    </row>
    <row r="2263" spans="1:7">
      <c r="A2263" t="s">
        <v>4885</v>
      </c>
      <c r="B2263">
        <v>5426097</v>
      </c>
      <c r="G2263" t="s">
        <v>4720</v>
      </c>
    </row>
    <row r="2264" spans="1:7">
      <c r="A2264" t="s">
        <v>4703</v>
      </c>
      <c r="G2264" t="s">
        <v>4720</v>
      </c>
    </row>
    <row r="2265" spans="1:7">
      <c r="A2265" t="s">
        <v>4799</v>
      </c>
      <c r="G2265" t="s">
        <v>4720</v>
      </c>
    </row>
    <row r="2266" spans="1:7">
      <c r="A2266" t="s">
        <v>4800</v>
      </c>
      <c r="G2266" t="s">
        <v>4720</v>
      </c>
    </row>
    <row r="2267" spans="1:7">
      <c r="A2267" t="s">
        <v>4886</v>
      </c>
      <c r="G2267" t="s">
        <v>4720</v>
      </c>
    </row>
    <row r="2268" spans="1:7">
      <c r="A2268" t="s">
        <v>4816</v>
      </c>
      <c r="G2268" t="s">
        <v>4720</v>
      </c>
    </row>
    <row r="2269" spans="1:7">
      <c r="A2269" t="s">
        <v>4887</v>
      </c>
      <c r="G2269" t="s">
        <v>4720</v>
      </c>
    </row>
    <row r="2270" spans="1:7">
      <c r="A2270" t="s">
        <v>4098</v>
      </c>
      <c r="G2270" t="s">
        <v>4720</v>
      </c>
    </row>
    <row r="2271" spans="1:7">
      <c r="A2271" t="s">
        <v>4502</v>
      </c>
      <c r="G2271" t="s">
        <v>4480</v>
      </c>
    </row>
    <row r="2272" spans="1:7">
      <c r="A2272" t="s">
        <v>4455</v>
      </c>
      <c r="G2272" t="s">
        <v>4480</v>
      </c>
    </row>
    <row r="2273" spans="1:7">
      <c r="A2273" t="s">
        <v>4659</v>
      </c>
      <c r="G2273" t="s">
        <v>4480</v>
      </c>
    </row>
    <row r="2274" spans="1:7">
      <c r="A2274" t="s">
        <v>4814</v>
      </c>
      <c r="G2274" t="s">
        <v>4480</v>
      </c>
    </row>
    <row r="2275" spans="1:7">
      <c r="A2275" t="s">
        <v>4888</v>
      </c>
      <c r="G2275" t="s">
        <v>4480</v>
      </c>
    </row>
    <row r="2276" spans="1:7">
      <c r="A2276" t="s">
        <v>4162</v>
      </c>
      <c r="G2276" t="s">
        <v>4480</v>
      </c>
    </row>
    <row r="2277" spans="1:7">
      <c r="A2277" t="s">
        <v>4889</v>
      </c>
      <c r="G2277" t="s">
        <v>4480</v>
      </c>
    </row>
    <row r="2278" spans="1:7">
      <c r="A2278" t="s">
        <v>4081</v>
      </c>
      <c r="B2278">
        <v>5425097</v>
      </c>
      <c r="G2278" t="s">
        <v>4480</v>
      </c>
    </row>
    <row r="2279" spans="1:7">
      <c r="A2279" t="s">
        <v>4136</v>
      </c>
      <c r="G2279" t="s">
        <v>4480</v>
      </c>
    </row>
    <row r="2280" spans="1:7">
      <c r="A2280" t="s">
        <v>4128</v>
      </c>
      <c r="G2280" t="s">
        <v>4480</v>
      </c>
    </row>
    <row r="2281" spans="1:7">
      <c r="A2281" t="s">
        <v>4799</v>
      </c>
      <c r="G2281" t="s">
        <v>4480</v>
      </c>
    </row>
    <row r="2282" spans="1:7">
      <c r="A2282" t="s">
        <v>4562</v>
      </c>
      <c r="G2282" t="s">
        <v>4480</v>
      </c>
    </row>
    <row r="2283" spans="1:7">
      <c r="A2283" t="s">
        <v>4703</v>
      </c>
      <c r="G2283" t="s">
        <v>4480</v>
      </c>
    </row>
    <row r="2284" spans="1:7">
      <c r="A2284" t="s">
        <v>4455</v>
      </c>
      <c r="G2284" t="s">
        <v>4480</v>
      </c>
    </row>
    <row r="2285" spans="1:7">
      <c r="A2285" t="s">
        <v>4792</v>
      </c>
      <c r="G2285" t="s">
        <v>4480</v>
      </c>
    </row>
    <row r="2286" spans="1:7">
      <c r="A2286" t="s">
        <v>4085</v>
      </c>
      <c r="G2286" t="s">
        <v>4480</v>
      </c>
    </row>
    <row r="2287" spans="1:7">
      <c r="A2287" t="s">
        <v>4233</v>
      </c>
      <c r="G2287" t="s">
        <v>4480</v>
      </c>
    </row>
    <row r="2288" spans="1:7">
      <c r="A2288" t="s">
        <v>4162</v>
      </c>
      <c r="G2288" t="s">
        <v>4480</v>
      </c>
    </row>
    <row r="2289" spans="1:7">
      <c r="A2289" t="s">
        <v>4092</v>
      </c>
      <c r="G2289" t="s">
        <v>4480</v>
      </c>
    </row>
    <row r="2290" spans="1:7">
      <c r="A2290" t="s">
        <v>4703</v>
      </c>
      <c r="B2290">
        <v>5422097</v>
      </c>
      <c r="G2290" t="s">
        <v>4480</v>
      </c>
    </row>
    <row r="2291" spans="1:7">
      <c r="A2291" t="s">
        <v>4890</v>
      </c>
      <c r="G2291" t="s">
        <v>4480</v>
      </c>
    </row>
    <row r="2292" spans="1:7">
      <c r="A2292" t="s">
        <v>4090</v>
      </c>
      <c r="G2292" t="s">
        <v>4480</v>
      </c>
    </row>
    <row r="2293" spans="1:7">
      <c r="A2293" t="s">
        <v>4186</v>
      </c>
      <c r="G2293" t="s">
        <v>4480</v>
      </c>
    </row>
    <row r="2294" spans="1:7">
      <c r="A2294" t="s">
        <v>4563</v>
      </c>
      <c r="G2294" t="s">
        <v>4480</v>
      </c>
    </row>
    <row r="2295" spans="1:7">
      <c r="A2295" t="s">
        <v>4819</v>
      </c>
      <c r="G2295" t="s">
        <v>4480</v>
      </c>
    </row>
    <row r="2296" spans="1:7">
      <c r="A2296" t="s">
        <v>4075</v>
      </c>
      <c r="G2296" t="s">
        <v>4783</v>
      </c>
    </row>
    <row r="2297" spans="1:7">
      <c r="A2297" t="s">
        <v>4115</v>
      </c>
      <c r="G2297" t="s">
        <v>4891</v>
      </c>
    </row>
    <row r="2298" spans="1:7">
      <c r="A2298" t="s">
        <v>4078</v>
      </c>
      <c r="B2298">
        <v>5411097</v>
      </c>
      <c r="G2298" t="s">
        <v>4892</v>
      </c>
    </row>
    <row r="2299" spans="1:7">
      <c r="A2299" t="s">
        <v>4170</v>
      </c>
      <c r="G2299" t="s">
        <v>4892</v>
      </c>
    </row>
    <row r="2300" spans="1:7">
      <c r="A2300" t="s">
        <v>4701</v>
      </c>
      <c r="G2300" t="s">
        <v>4705</v>
      </c>
    </row>
    <row r="2301" spans="1:7">
      <c r="A2301" t="s">
        <v>4455</v>
      </c>
      <c r="G2301" t="s">
        <v>4705</v>
      </c>
    </row>
    <row r="2302" spans="1:7">
      <c r="A2302" t="s">
        <v>4893</v>
      </c>
      <c r="G2302" t="s">
        <v>4705</v>
      </c>
    </row>
    <row r="2303" spans="1:7">
      <c r="A2303" t="s">
        <v>4881</v>
      </c>
      <c r="G2303" t="s">
        <v>4705</v>
      </c>
    </row>
    <row r="2304" spans="1:7">
      <c r="A2304" t="s">
        <v>4517</v>
      </c>
      <c r="G2304" t="s">
        <v>4705</v>
      </c>
    </row>
    <row r="2305" spans="1:7">
      <c r="A2305" t="s">
        <v>4798</v>
      </c>
      <c r="G2305" t="s">
        <v>4705</v>
      </c>
    </row>
    <row r="2306" spans="1:7">
      <c r="A2306" t="s">
        <v>4084</v>
      </c>
      <c r="B2306">
        <v>5419097</v>
      </c>
      <c r="G2306" t="s">
        <v>4705</v>
      </c>
    </row>
    <row r="2307" spans="1:7">
      <c r="A2307" t="s">
        <v>4763</v>
      </c>
      <c r="G2307" t="s">
        <v>4705</v>
      </c>
    </row>
    <row r="2308" spans="1:7">
      <c r="A2308" t="s">
        <v>4894</v>
      </c>
      <c r="G2308" t="s">
        <v>4705</v>
      </c>
    </row>
    <row r="2309" spans="1:7">
      <c r="A2309" t="s">
        <v>4697</v>
      </c>
      <c r="G2309" t="s">
        <v>4562</v>
      </c>
    </row>
    <row r="2310" spans="1:7">
      <c r="A2310" t="s">
        <v>4720</v>
      </c>
      <c r="G2310" t="s">
        <v>4562</v>
      </c>
    </row>
    <row r="2311" spans="1:7">
      <c r="A2311" t="s">
        <v>4124</v>
      </c>
      <c r="G2311" t="s">
        <v>4562</v>
      </c>
    </row>
    <row r="2312" spans="1:7">
      <c r="A2312" t="s">
        <v>4192</v>
      </c>
      <c r="G2312" t="s">
        <v>4562</v>
      </c>
    </row>
    <row r="2313" spans="1:7">
      <c r="A2313" t="s">
        <v>4820</v>
      </c>
      <c r="G2313" t="s">
        <v>4562</v>
      </c>
    </row>
    <row r="2314" spans="1:7">
      <c r="A2314" t="s">
        <v>4895</v>
      </c>
      <c r="G2314" t="s">
        <v>4562</v>
      </c>
    </row>
    <row r="2315" spans="1:7">
      <c r="A2315" t="s">
        <v>4283</v>
      </c>
      <c r="G2315" t="s">
        <v>4562</v>
      </c>
    </row>
    <row r="2316" spans="1:7">
      <c r="A2316" t="s">
        <v>4154</v>
      </c>
      <c r="G2316" t="s">
        <v>4562</v>
      </c>
    </row>
    <row r="2317" spans="1:7">
      <c r="A2317" t="s">
        <v>4454</v>
      </c>
      <c r="G2317" t="s">
        <v>4562</v>
      </c>
    </row>
    <row r="2318" spans="1:7">
      <c r="A2318" t="s">
        <v>4425</v>
      </c>
      <c r="G2318" t="s">
        <v>4562</v>
      </c>
    </row>
    <row r="2319" spans="1:7">
      <c r="A2319" t="s">
        <v>4109</v>
      </c>
      <c r="G2319" t="s">
        <v>4562</v>
      </c>
    </row>
    <row r="2320" spans="1:7">
      <c r="A2320" t="s">
        <v>4147</v>
      </c>
      <c r="G2320" t="s">
        <v>4562</v>
      </c>
    </row>
    <row r="2321" spans="1:7">
      <c r="A2321" t="s">
        <v>4426</v>
      </c>
      <c r="G2321" t="s">
        <v>4562</v>
      </c>
    </row>
    <row r="2322" spans="1:7">
      <c r="A2322" t="s">
        <v>4620</v>
      </c>
      <c r="G2322" t="s">
        <v>4562</v>
      </c>
    </row>
    <row r="2323" spans="1:7">
      <c r="A2323" t="s">
        <v>4233</v>
      </c>
      <c r="G2323" t="s">
        <v>4562</v>
      </c>
    </row>
    <row r="2324" spans="1:7">
      <c r="A2324" t="s">
        <v>4666</v>
      </c>
      <c r="G2324" t="s">
        <v>4562</v>
      </c>
    </row>
    <row r="2325" spans="1:8">
      <c r="A2325" t="s">
        <v>4055</v>
      </c>
      <c r="G2325" t="s">
        <v>4562</v>
      </c>
      <c r="H2325">
        <v>5343097</v>
      </c>
    </row>
    <row r="2326" spans="1:7">
      <c r="A2326" t="s">
        <v>4153</v>
      </c>
      <c r="G2326" t="s">
        <v>4562</v>
      </c>
    </row>
    <row r="2327" spans="1:7">
      <c r="A2327" t="s">
        <v>4896</v>
      </c>
      <c r="G2327" t="s">
        <v>4562</v>
      </c>
    </row>
    <row r="2328" spans="1:7">
      <c r="A2328" t="s">
        <v>4126</v>
      </c>
      <c r="G2328" t="s">
        <v>4562</v>
      </c>
    </row>
    <row r="2329" spans="1:7">
      <c r="A2329" t="s">
        <v>4543</v>
      </c>
      <c r="G2329" t="s">
        <v>4562</v>
      </c>
    </row>
    <row r="2330" spans="1:7">
      <c r="A2330" t="s">
        <v>4826</v>
      </c>
      <c r="G2330" t="s">
        <v>4562</v>
      </c>
    </row>
    <row r="2331" spans="1:7">
      <c r="A2331" t="s">
        <v>4075</v>
      </c>
      <c r="G2331" t="s">
        <v>4562</v>
      </c>
    </row>
    <row r="2332" spans="1:7">
      <c r="A2332" t="s">
        <v>4425</v>
      </c>
      <c r="B2332">
        <v>5417097</v>
      </c>
      <c r="G2332" t="s">
        <v>4562</v>
      </c>
    </row>
    <row r="2333" spans="1:7">
      <c r="A2333" t="s">
        <v>4697</v>
      </c>
      <c r="B2333">
        <v>5409097</v>
      </c>
      <c r="G2333" t="s">
        <v>4562</v>
      </c>
    </row>
    <row r="2334" spans="1:7">
      <c r="A2334" t="s">
        <v>4620</v>
      </c>
      <c r="G2334" t="s">
        <v>4562</v>
      </c>
    </row>
    <row r="2335" spans="1:7">
      <c r="A2335" t="s">
        <v>4084</v>
      </c>
      <c r="G2335" t="s">
        <v>4562</v>
      </c>
    </row>
    <row r="2336" spans="1:7">
      <c r="A2336" t="s">
        <v>4820</v>
      </c>
      <c r="G2336" t="s">
        <v>4562</v>
      </c>
    </row>
    <row r="2337" spans="1:7">
      <c r="A2337" t="s">
        <v>4895</v>
      </c>
      <c r="G2337" t="s">
        <v>4562</v>
      </c>
    </row>
    <row r="2338" spans="1:7">
      <c r="A2338" t="s">
        <v>4124</v>
      </c>
      <c r="G2338" t="s">
        <v>4562</v>
      </c>
    </row>
    <row r="2339" spans="1:7">
      <c r="A2339" t="s">
        <v>4426</v>
      </c>
      <c r="G2339" t="s">
        <v>4562</v>
      </c>
    </row>
    <row r="2340" spans="1:7">
      <c r="A2340" t="s">
        <v>4062</v>
      </c>
      <c r="G2340" t="s">
        <v>4562</v>
      </c>
    </row>
    <row r="2341" spans="1:7">
      <c r="A2341" t="s">
        <v>4763</v>
      </c>
      <c r="G2341" t="s">
        <v>4562</v>
      </c>
    </row>
    <row r="2342" spans="1:7">
      <c r="A2342" t="s">
        <v>4283</v>
      </c>
      <c r="G2342" t="s">
        <v>4562</v>
      </c>
    </row>
    <row r="2343" spans="1:7">
      <c r="A2343" t="s">
        <v>4192</v>
      </c>
      <c r="G2343" t="s">
        <v>4562</v>
      </c>
    </row>
    <row r="2344" spans="1:7">
      <c r="A2344" t="s">
        <v>4566</v>
      </c>
      <c r="G2344" t="s">
        <v>4562</v>
      </c>
    </row>
    <row r="2345" spans="1:7">
      <c r="A2345" t="s">
        <v>4075</v>
      </c>
      <c r="G2345" t="s">
        <v>4562</v>
      </c>
    </row>
    <row r="2346" spans="1:7">
      <c r="A2346" t="s">
        <v>4896</v>
      </c>
      <c r="G2346" t="s">
        <v>4562</v>
      </c>
    </row>
    <row r="2347" spans="1:7">
      <c r="A2347" t="s">
        <v>4770</v>
      </c>
      <c r="G2347" t="s">
        <v>4562</v>
      </c>
    </row>
    <row r="2348" spans="1:7">
      <c r="A2348" t="s">
        <v>4055</v>
      </c>
      <c r="G2348" t="s">
        <v>4562</v>
      </c>
    </row>
    <row r="2349" spans="1:7">
      <c r="A2349" t="s">
        <v>4109</v>
      </c>
      <c r="G2349" t="s">
        <v>4562</v>
      </c>
    </row>
    <row r="2350" spans="1:7">
      <c r="A2350" t="s">
        <v>4126</v>
      </c>
      <c r="G2350" t="s">
        <v>4562</v>
      </c>
    </row>
    <row r="2351" spans="1:7">
      <c r="A2351" t="s">
        <v>4826</v>
      </c>
      <c r="G2351" t="s">
        <v>4562</v>
      </c>
    </row>
    <row r="2352" spans="1:7">
      <c r="A2352" t="s">
        <v>4543</v>
      </c>
      <c r="G2352" t="s">
        <v>4562</v>
      </c>
    </row>
    <row r="2353" spans="1:7">
      <c r="A2353" t="s">
        <v>4626</v>
      </c>
      <c r="G2353" t="s">
        <v>4562</v>
      </c>
    </row>
    <row r="2354" spans="1:7">
      <c r="A2354" t="s">
        <v>4205</v>
      </c>
      <c r="G2354" t="s">
        <v>4562</v>
      </c>
    </row>
    <row r="2355" spans="1:7">
      <c r="A2355" t="s">
        <v>4849</v>
      </c>
      <c r="B2355">
        <v>5415097</v>
      </c>
      <c r="G2355" t="s">
        <v>4562</v>
      </c>
    </row>
    <row r="2356" spans="1:7">
      <c r="A2356" t="s">
        <v>4279</v>
      </c>
      <c r="G2356" t="s">
        <v>4562</v>
      </c>
    </row>
    <row r="2357" spans="1:7">
      <c r="A2357" t="s">
        <v>4480</v>
      </c>
      <c r="G2357" t="s">
        <v>4599</v>
      </c>
    </row>
    <row r="2358" spans="1:7">
      <c r="A2358" t="s">
        <v>4820</v>
      </c>
      <c r="G2358" t="s">
        <v>4599</v>
      </c>
    </row>
    <row r="2359" spans="1:7">
      <c r="A2359" t="s">
        <v>4338</v>
      </c>
      <c r="G2359" t="s">
        <v>4599</v>
      </c>
    </row>
    <row r="2360" spans="1:7">
      <c r="A2360" t="s">
        <v>4897</v>
      </c>
      <c r="B2360">
        <v>5407097</v>
      </c>
      <c r="G2360" t="s">
        <v>4599</v>
      </c>
    </row>
    <row r="2361" spans="1:7">
      <c r="A2361" t="s">
        <v>4152</v>
      </c>
      <c r="G2361" t="s">
        <v>4898</v>
      </c>
    </row>
    <row r="2362" spans="1:7">
      <c r="A2362" t="s">
        <v>4899</v>
      </c>
      <c r="G2362" t="s">
        <v>4898</v>
      </c>
    </row>
    <row r="2363" spans="1:7">
      <c r="A2363" t="s">
        <v>4826</v>
      </c>
      <c r="G2363" t="s">
        <v>4898</v>
      </c>
    </row>
    <row r="2364" spans="1:7">
      <c r="A2364" t="s">
        <v>4128</v>
      </c>
      <c r="B2364">
        <v>5413097</v>
      </c>
      <c r="G2364" t="s">
        <v>4898</v>
      </c>
    </row>
    <row r="2365" spans="1:7">
      <c r="A2365" t="s">
        <v>4092</v>
      </c>
      <c r="G2365" t="s">
        <v>4898</v>
      </c>
    </row>
    <row r="2366" spans="1:7">
      <c r="A2366" t="s">
        <v>4478</v>
      </c>
      <c r="G2366" t="s">
        <v>4898</v>
      </c>
    </row>
    <row r="2367" spans="1:7">
      <c r="A2367" t="s">
        <v>4759</v>
      </c>
      <c r="G2367" t="s">
        <v>4898</v>
      </c>
    </row>
    <row r="2368" spans="1:7">
      <c r="A2368" t="s">
        <v>4205</v>
      </c>
      <c r="G2368" t="s">
        <v>4898</v>
      </c>
    </row>
    <row r="2369" spans="1:7">
      <c r="A2369" t="s">
        <v>4900</v>
      </c>
      <c r="G2369" t="s">
        <v>4017</v>
      </c>
    </row>
    <row r="2370" spans="1:7">
      <c r="A2370" t="s">
        <v>4901</v>
      </c>
      <c r="G2370" t="s">
        <v>4088</v>
      </c>
    </row>
    <row r="2371" spans="1:7">
      <c r="A2371" t="s">
        <v>4115</v>
      </c>
      <c r="G2371" t="s">
        <v>4088</v>
      </c>
    </row>
    <row r="2372" spans="1:7">
      <c r="A2372" t="s">
        <v>4455</v>
      </c>
      <c r="G2372" t="s">
        <v>4088</v>
      </c>
    </row>
    <row r="2373" spans="1:7">
      <c r="A2373" t="s">
        <v>4902</v>
      </c>
      <c r="G2373" t="s">
        <v>4088</v>
      </c>
    </row>
    <row r="2374" spans="1:7">
      <c r="A2374" t="s">
        <v>4233</v>
      </c>
      <c r="G2374" t="s">
        <v>4088</v>
      </c>
    </row>
    <row r="2375" spans="1:7">
      <c r="A2375" t="s">
        <v>4062</v>
      </c>
      <c r="G2375" t="s">
        <v>4088</v>
      </c>
    </row>
    <row r="2376" spans="1:7">
      <c r="A2376" t="s">
        <v>4697</v>
      </c>
      <c r="G2376" t="s">
        <v>4088</v>
      </c>
    </row>
    <row r="2377" spans="1:7">
      <c r="A2377" t="s">
        <v>4373</v>
      </c>
      <c r="G2377" t="s">
        <v>4088</v>
      </c>
    </row>
    <row r="2378" spans="1:8">
      <c r="A2378" t="s">
        <v>4820</v>
      </c>
      <c r="G2378" t="s">
        <v>4088</v>
      </c>
      <c r="H2378">
        <v>5254097</v>
      </c>
    </row>
    <row r="2379" spans="1:7">
      <c r="A2379" t="s">
        <v>4082</v>
      </c>
      <c r="G2379" t="s">
        <v>4088</v>
      </c>
    </row>
    <row r="2380" spans="1:7">
      <c r="A2380" t="s">
        <v>4113</v>
      </c>
      <c r="G2380" t="s">
        <v>4088</v>
      </c>
    </row>
    <row r="2381" spans="1:7">
      <c r="A2381" t="s">
        <v>4903</v>
      </c>
      <c r="G2381" t="s">
        <v>4088</v>
      </c>
    </row>
    <row r="2382" spans="1:7">
      <c r="A2382" t="s">
        <v>4800</v>
      </c>
      <c r="G2382" t="s">
        <v>4088</v>
      </c>
    </row>
    <row r="2383" spans="1:7">
      <c r="A2383" t="s">
        <v>4439</v>
      </c>
      <c r="G2383" t="s">
        <v>4088</v>
      </c>
    </row>
    <row r="2384" spans="1:7">
      <c r="A2384" t="s">
        <v>4091</v>
      </c>
      <c r="G2384" t="s">
        <v>4088</v>
      </c>
    </row>
    <row r="2385" spans="1:7">
      <c r="A2385" t="s">
        <v>4712</v>
      </c>
      <c r="G2385" t="s">
        <v>4088</v>
      </c>
    </row>
    <row r="2386" spans="1:7">
      <c r="A2386" t="s">
        <v>4826</v>
      </c>
      <c r="G2386" t="s">
        <v>4088</v>
      </c>
    </row>
    <row r="2387" spans="1:7">
      <c r="A2387" t="s">
        <v>4517</v>
      </c>
      <c r="G2387" t="s">
        <v>4088</v>
      </c>
    </row>
    <row r="2388" spans="1:7">
      <c r="A2388" t="s">
        <v>4211</v>
      </c>
      <c r="G2388" t="s">
        <v>4088</v>
      </c>
    </row>
    <row r="2389" spans="1:7">
      <c r="A2389" t="s">
        <v>4764</v>
      </c>
      <c r="G2389" t="s">
        <v>4088</v>
      </c>
    </row>
    <row r="2390" spans="1:7">
      <c r="A2390" t="s">
        <v>4280</v>
      </c>
      <c r="B2390">
        <v>5412097</v>
      </c>
      <c r="G2390" t="s">
        <v>4088</v>
      </c>
    </row>
    <row r="2391" spans="1:7">
      <c r="A2391" t="s">
        <v>4092</v>
      </c>
      <c r="G2391" t="s">
        <v>4088</v>
      </c>
    </row>
    <row r="2392" spans="1:7">
      <c r="A2392" t="s">
        <v>4128</v>
      </c>
      <c r="G2392" t="s">
        <v>4088</v>
      </c>
    </row>
    <row r="2393" spans="1:7">
      <c r="A2393" t="s">
        <v>4778</v>
      </c>
      <c r="G2393" t="s">
        <v>4088</v>
      </c>
    </row>
    <row r="2394" spans="1:7">
      <c r="A2394" t="s">
        <v>4607</v>
      </c>
      <c r="G2394" t="s">
        <v>4088</v>
      </c>
    </row>
    <row r="2395" spans="1:7">
      <c r="A2395" t="s">
        <v>4902</v>
      </c>
      <c r="G2395" t="s">
        <v>4088</v>
      </c>
    </row>
    <row r="2396" spans="1:7">
      <c r="A2396" t="s">
        <v>4901</v>
      </c>
      <c r="G2396" t="s">
        <v>4088</v>
      </c>
    </row>
    <row r="2397" spans="1:7">
      <c r="A2397" t="s">
        <v>4904</v>
      </c>
      <c r="G2397" t="s">
        <v>4088</v>
      </c>
    </row>
    <row r="2398" spans="1:7">
      <c r="A2398" t="s">
        <v>4820</v>
      </c>
      <c r="G2398" t="s">
        <v>4088</v>
      </c>
    </row>
    <row r="2399" spans="1:7">
      <c r="A2399" t="s">
        <v>4905</v>
      </c>
      <c r="G2399" t="s">
        <v>4088</v>
      </c>
    </row>
    <row r="2400" spans="1:7">
      <c r="A2400" t="s">
        <v>4563</v>
      </c>
      <c r="G2400" t="s">
        <v>4088</v>
      </c>
    </row>
    <row r="2401" spans="1:7">
      <c r="A2401" t="s">
        <v>4906</v>
      </c>
      <c r="G2401" t="s">
        <v>4088</v>
      </c>
    </row>
    <row r="2402" spans="1:7">
      <c r="A2402" t="s">
        <v>4115</v>
      </c>
      <c r="G2402" t="s">
        <v>4088</v>
      </c>
    </row>
    <row r="2403" spans="1:7">
      <c r="A2403" t="s">
        <v>4062</v>
      </c>
      <c r="G2403" t="s">
        <v>4907</v>
      </c>
    </row>
    <row r="2404" spans="1:7">
      <c r="A2404" t="s">
        <v>4564</v>
      </c>
      <c r="B2404">
        <v>5406097</v>
      </c>
      <c r="G2404" t="s">
        <v>4907</v>
      </c>
    </row>
    <row r="2405" spans="1:7">
      <c r="A2405" t="s">
        <v>4455</v>
      </c>
      <c r="G2405" t="s">
        <v>4907</v>
      </c>
    </row>
    <row r="2406" spans="1:7">
      <c r="A2406" t="s">
        <v>4697</v>
      </c>
      <c r="G2406" t="s">
        <v>4907</v>
      </c>
    </row>
    <row r="2407" spans="1:7">
      <c r="A2407" t="s">
        <v>4147</v>
      </c>
      <c r="G2407" t="s">
        <v>4907</v>
      </c>
    </row>
    <row r="2408" spans="1:7">
      <c r="A2408" t="s">
        <v>4126</v>
      </c>
      <c r="G2408" t="s">
        <v>4625</v>
      </c>
    </row>
    <row r="2409" spans="1:7">
      <c r="A2409" t="s">
        <v>4625</v>
      </c>
      <c r="G2409" t="s">
        <v>4625</v>
      </c>
    </row>
    <row r="2410" spans="1:7">
      <c r="A2410" t="s">
        <v>4082</v>
      </c>
      <c r="G2410" t="s">
        <v>4625</v>
      </c>
    </row>
    <row r="2411" spans="1:7">
      <c r="A2411" t="s">
        <v>4112</v>
      </c>
      <c r="G2411" t="s">
        <v>4625</v>
      </c>
    </row>
    <row r="2412" spans="1:7">
      <c r="A2412" t="s">
        <v>4439</v>
      </c>
      <c r="G2412" t="s">
        <v>4625</v>
      </c>
    </row>
    <row r="2413" spans="1:7">
      <c r="A2413" t="s">
        <v>4418</v>
      </c>
      <c r="G2413" t="s">
        <v>4625</v>
      </c>
    </row>
    <row r="2414" spans="1:7">
      <c r="A2414" t="s">
        <v>4824</v>
      </c>
      <c r="G2414" t="s">
        <v>4625</v>
      </c>
    </row>
    <row r="2415" spans="1:7">
      <c r="A2415" t="s">
        <v>4143</v>
      </c>
      <c r="G2415" t="s">
        <v>4625</v>
      </c>
    </row>
    <row r="2416" spans="1:7">
      <c r="A2416" t="s">
        <v>4075</v>
      </c>
      <c r="G2416" t="s">
        <v>4625</v>
      </c>
    </row>
    <row r="2417" spans="1:7">
      <c r="A2417" t="s">
        <v>4903</v>
      </c>
      <c r="G2417" t="s">
        <v>4625</v>
      </c>
    </row>
    <row r="2418" spans="1:7">
      <c r="A2418" t="s">
        <v>4091</v>
      </c>
      <c r="G2418" t="s">
        <v>4625</v>
      </c>
    </row>
    <row r="2419" spans="1:7">
      <c r="A2419" t="s">
        <v>4826</v>
      </c>
      <c r="G2419" t="s">
        <v>4625</v>
      </c>
    </row>
    <row r="2420" spans="1:7">
      <c r="A2420" t="s">
        <v>4908</v>
      </c>
      <c r="G2420" t="s">
        <v>4625</v>
      </c>
    </row>
    <row r="2421" spans="1:7">
      <c r="A2421" t="s">
        <v>4614</v>
      </c>
      <c r="G2421" t="s">
        <v>4625</v>
      </c>
    </row>
    <row r="2422" spans="1:8">
      <c r="A2422" t="s">
        <v>4372</v>
      </c>
      <c r="G2422" t="s">
        <v>4625</v>
      </c>
      <c r="H2422">
        <v>5191097</v>
      </c>
    </row>
    <row r="2423" spans="1:7">
      <c r="A2423" t="s">
        <v>4517</v>
      </c>
      <c r="G2423" t="s">
        <v>4625</v>
      </c>
    </row>
    <row r="2424" spans="1:7">
      <c r="A2424" t="s">
        <v>4233</v>
      </c>
      <c r="G2424" t="s">
        <v>4625</v>
      </c>
    </row>
    <row r="2425" spans="1:7">
      <c r="A2425" t="s">
        <v>4113</v>
      </c>
      <c r="G2425" t="s">
        <v>4625</v>
      </c>
    </row>
    <row r="2426" spans="1:7">
      <c r="A2426" t="s">
        <v>4205</v>
      </c>
      <c r="G2426" t="s">
        <v>4625</v>
      </c>
    </row>
    <row r="2427" spans="1:7">
      <c r="A2427" t="s">
        <v>4086</v>
      </c>
      <c r="G2427" t="s">
        <v>4625</v>
      </c>
    </row>
    <row r="2428" spans="1:7">
      <c r="A2428" t="s">
        <v>4607</v>
      </c>
      <c r="B2428">
        <v>5411097</v>
      </c>
      <c r="G2428" t="s">
        <v>4625</v>
      </c>
    </row>
    <row r="2429" spans="1:7">
      <c r="A2429" t="s">
        <v>4513</v>
      </c>
      <c r="G2429" t="s">
        <v>4625</v>
      </c>
    </row>
    <row r="2430" spans="1:7">
      <c r="A2430" t="s">
        <v>4778</v>
      </c>
      <c r="G2430" t="s">
        <v>4625</v>
      </c>
    </row>
    <row r="2431" spans="1:7">
      <c r="A2431" t="s">
        <v>4280</v>
      </c>
      <c r="G2431" t="s">
        <v>4625</v>
      </c>
    </row>
    <row r="2432" spans="1:7">
      <c r="A2432" t="s">
        <v>4905</v>
      </c>
      <c r="G2432" t="s">
        <v>4625</v>
      </c>
    </row>
    <row r="2433" spans="1:7">
      <c r="A2433" t="s">
        <v>4233</v>
      </c>
      <c r="G2433" t="s">
        <v>4625</v>
      </c>
    </row>
    <row r="2434" spans="1:7">
      <c r="A2434" t="s">
        <v>4901</v>
      </c>
      <c r="G2434" t="s">
        <v>4625</v>
      </c>
    </row>
    <row r="2435" spans="1:7">
      <c r="A2435" t="s">
        <v>4902</v>
      </c>
      <c r="G2435" t="s">
        <v>4625</v>
      </c>
    </row>
    <row r="2436" spans="1:7">
      <c r="A2436" t="s">
        <v>4143</v>
      </c>
      <c r="G2436" t="s">
        <v>4625</v>
      </c>
    </row>
    <row r="2437" spans="1:7">
      <c r="A2437" t="s">
        <v>4903</v>
      </c>
      <c r="G2437" t="s">
        <v>4625</v>
      </c>
    </row>
    <row r="2438" spans="1:7">
      <c r="A2438" t="s">
        <v>4128</v>
      </c>
      <c r="G2438" t="s">
        <v>4625</v>
      </c>
    </row>
    <row r="2439" spans="1:7">
      <c r="A2439" t="s">
        <v>4906</v>
      </c>
      <c r="G2439" t="s">
        <v>4625</v>
      </c>
    </row>
    <row r="2440" spans="1:7">
      <c r="A2440" t="s">
        <v>4086</v>
      </c>
      <c r="G2440" t="s">
        <v>4464</v>
      </c>
    </row>
    <row r="2441" spans="1:7">
      <c r="A2441" t="s">
        <v>4425</v>
      </c>
      <c r="G2441" t="s">
        <v>4464</v>
      </c>
    </row>
    <row r="2442" spans="1:7">
      <c r="A2442" t="s">
        <v>4115</v>
      </c>
      <c r="B2442">
        <v>5405097</v>
      </c>
      <c r="G2442" t="s">
        <v>4464</v>
      </c>
    </row>
    <row r="2443" spans="1:7">
      <c r="A2443" t="s">
        <v>4126</v>
      </c>
      <c r="G2443" t="s">
        <v>4464</v>
      </c>
    </row>
    <row r="2444" spans="1:7">
      <c r="A2444" t="s">
        <v>4564</v>
      </c>
      <c r="G2444" t="s">
        <v>4909</v>
      </c>
    </row>
    <row r="2445" spans="1:7">
      <c r="A2445" t="s">
        <v>4563</v>
      </c>
      <c r="G2445" t="s">
        <v>4910</v>
      </c>
    </row>
    <row r="2446" spans="1:8">
      <c r="A2446" t="s">
        <v>4904</v>
      </c>
      <c r="G2446" t="s">
        <v>4677</v>
      </c>
      <c r="H2446">
        <v>5470097</v>
      </c>
    </row>
    <row r="2447" spans="1:7">
      <c r="A2447" t="s">
        <v>4697</v>
      </c>
      <c r="G2447" t="s">
        <v>4677</v>
      </c>
    </row>
    <row r="2448" spans="1:7">
      <c r="A2448" t="s">
        <v>4455</v>
      </c>
      <c r="G2448" t="s">
        <v>4677</v>
      </c>
    </row>
    <row r="2449" spans="1:7">
      <c r="A2449" t="s">
        <v>4062</v>
      </c>
      <c r="G2449" t="s">
        <v>4677</v>
      </c>
    </row>
    <row r="2450" spans="1:7">
      <c r="A2450" t="s">
        <v>4517</v>
      </c>
      <c r="G2450" t="s">
        <v>4911</v>
      </c>
    </row>
    <row r="2451" spans="1:7">
      <c r="A2451" t="s">
        <v>4082</v>
      </c>
      <c r="G2451" t="s">
        <v>4911</v>
      </c>
    </row>
    <row r="2452" spans="1:7">
      <c r="A2452" t="s">
        <v>4091</v>
      </c>
      <c r="G2452" t="s">
        <v>4911</v>
      </c>
    </row>
    <row r="2453" spans="1:7">
      <c r="A2453" t="s">
        <v>4418</v>
      </c>
      <c r="G2453" t="s">
        <v>4911</v>
      </c>
    </row>
    <row r="2454" spans="1:7">
      <c r="A2454" t="s">
        <v>4712</v>
      </c>
      <c r="G2454" t="s">
        <v>4911</v>
      </c>
    </row>
    <row r="2455" spans="1:7">
      <c r="A2455" t="s">
        <v>4372</v>
      </c>
      <c r="G2455" t="s">
        <v>4911</v>
      </c>
    </row>
    <row r="2456" spans="1:8">
      <c r="A2456" t="s">
        <v>4614</v>
      </c>
      <c r="G2456" t="s">
        <v>4911</v>
      </c>
      <c r="H2456">
        <v>5314097</v>
      </c>
    </row>
    <row r="2457" spans="1:7">
      <c r="A2457" t="s">
        <v>4826</v>
      </c>
      <c r="G2457" t="s">
        <v>4911</v>
      </c>
    </row>
    <row r="2458" spans="1:7">
      <c r="A2458" t="s">
        <v>4824</v>
      </c>
      <c r="G2458" t="s">
        <v>4911</v>
      </c>
    </row>
    <row r="2459" spans="1:7">
      <c r="A2459" t="s">
        <v>4205</v>
      </c>
      <c r="G2459" t="s">
        <v>4911</v>
      </c>
    </row>
    <row r="2460" spans="1:7">
      <c r="A2460" t="s">
        <v>4092</v>
      </c>
      <c r="G2460" t="s">
        <v>4911</v>
      </c>
    </row>
    <row r="2461" spans="1:7">
      <c r="A2461" t="s">
        <v>4113</v>
      </c>
      <c r="G2461" t="s">
        <v>4911</v>
      </c>
    </row>
    <row r="2462" spans="1:7">
      <c r="A2462" t="s">
        <v>4820</v>
      </c>
      <c r="G2462" t="s">
        <v>4911</v>
      </c>
    </row>
    <row r="2463" spans="1:7">
      <c r="A2463" t="s">
        <v>4086</v>
      </c>
      <c r="B2463">
        <v>5409097</v>
      </c>
      <c r="G2463" t="s">
        <v>4911</v>
      </c>
    </row>
    <row r="2464" spans="1:7">
      <c r="A2464" t="s">
        <v>4778</v>
      </c>
      <c r="G2464" t="s">
        <v>4911</v>
      </c>
    </row>
    <row r="2465" spans="1:7">
      <c r="A2465" t="s">
        <v>4092</v>
      </c>
      <c r="G2465" t="s">
        <v>4911</v>
      </c>
    </row>
    <row r="2466" spans="1:7">
      <c r="A2466" t="s">
        <v>4697</v>
      </c>
      <c r="G2466" t="s">
        <v>4911</v>
      </c>
    </row>
    <row r="2467" spans="1:7">
      <c r="A2467" t="s">
        <v>4082</v>
      </c>
      <c r="G2467" t="s">
        <v>4911</v>
      </c>
    </row>
    <row r="2468" spans="1:7">
      <c r="A2468" t="s">
        <v>4563</v>
      </c>
      <c r="G2468" t="s">
        <v>4911</v>
      </c>
    </row>
    <row r="2469" spans="1:7">
      <c r="A2469" t="s">
        <v>4233</v>
      </c>
      <c r="G2469" t="s">
        <v>4911</v>
      </c>
    </row>
    <row r="2470" spans="1:7">
      <c r="A2470" t="s">
        <v>4455</v>
      </c>
      <c r="G2470" t="s">
        <v>4911</v>
      </c>
    </row>
    <row r="2471" spans="1:7">
      <c r="A2471" t="s">
        <v>4205</v>
      </c>
      <c r="G2471" t="s">
        <v>4911</v>
      </c>
    </row>
    <row r="2472" spans="1:7">
      <c r="A2472" t="s">
        <v>4128</v>
      </c>
      <c r="G2472" t="s">
        <v>4911</v>
      </c>
    </row>
    <row r="2473" spans="1:7">
      <c r="A2473" t="s">
        <v>4062</v>
      </c>
      <c r="G2473" t="s">
        <v>4912</v>
      </c>
    </row>
    <row r="2474" spans="1:7">
      <c r="A2474" t="s">
        <v>4115</v>
      </c>
      <c r="G2474" t="s">
        <v>4913</v>
      </c>
    </row>
    <row r="2475" spans="1:7">
      <c r="A2475" t="s">
        <v>4113</v>
      </c>
      <c r="G2475" t="s">
        <v>4400</v>
      </c>
    </row>
    <row r="2476" spans="1:7">
      <c r="A2476" t="s">
        <v>4513</v>
      </c>
      <c r="G2476" t="s">
        <v>4400</v>
      </c>
    </row>
    <row r="2477" spans="1:7">
      <c r="A2477" t="s">
        <v>4517</v>
      </c>
      <c r="G2477" t="s">
        <v>4400</v>
      </c>
    </row>
    <row r="2478" spans="1:7">
      <c r="A2478" t="s">
        <v>4905</v>
      </c>
      <c r="G2478" t="s">
        <v>4400</v>
      </c>
    </row>
    <row r="2479" spans="1:7">
      <c r="A2479" t="s">
        <v>4439</v>
      </c>
      <c r="G2479" t="s">
        <v>4400</v>
      </c>
    </row>
    <row r="2480" spans="1:7">
      <c r="A2480" t="s">
        <v>4824</v>
      </c>
      <c r="G2480" t="s">
        <v>4400</v>
      </c>
    </row>
    <row r="2481" spans="1:7">
      <c r="A2481" t="s">
        <v>4143</v>
      </c>
      <c r="G2481" t="s">
        <v>4400</v>
      </c>
    </row>
    <row r="2482" spans="1:8">
      <c r="A2482" t="s">
        <v>4820</v>
      </c>
      <c r="G2482" t="s">
        <v>4400</v>
      </c>
      <c r="H2482">
        <v>5462097</v>
      </c>
    </row>
    <row r="2483" spans="1:7">
      <c r="A2483" t="s">
        <v>4091</v>
      </c>
      <c r="G2483" t="s">
        <v>4400</v>
      </c>
    </row>
    <row r="2484" spans="1:7">
      <c r="A2484" t="s">
        <v>4280</v>
      </c>
      <c r="G2484" t="s">
        <v>4400</v>
      </c>
    </row>
    <row r="2485" spans="1:7">
      <c r="A2485" t="s">
        <v>4826</v>
      </c>
      <c r="G2485" t="s">
        <v>4400</v>
      </c>
    </row>
    <row r="2486" spans="1:7">
      <c r="A2486" t="s">
        <v>4614</v>
      </c>
      <c r="G2486" t="s">
        <v>4400</v>
      </c>
    </row>
    <row r="2487" spans="1:7">
      <c r="A2487" t="s">
        <v>4607</v>
      </c>
      <c r="G2487" t="s">
        <v>4400</v>
      </c>
    </row>
    <row r="2488" spans="1:7">
      <c r="A2488" t="s">
        <v>4564</v>
      </c>
      <c r="G2488" t="s">
        <v>4400</v>
      </c>
    </row>
    <row r="2489" spans="1:7">
      <c r="A2489" t="s">
        <v>4901</v>
      </c>
      <c r="G2489" t="s">
        <v>4303</v>
      </c>
    </row>
    <row r="2490" spans="1:7">
      <c r="A2490" t="s">
        <v>4169</v>
      </c>
      <c r="B2490">
        <v>5407097</v>
      </c>
      <c r="G2490" t="s">
        <v>4303</v>
      </c>
    </row>
    <row r="2491" spans="1:7">
      <c r="A2491" t="s">
        <v>4771</v>
      </c>
      <c r="G2491" t="s">
        <v>4303</v>
      </c>
    </row>
    <row r="2492" spans="1:7">
      <c r="A2492" t="s">
        <v>4237</v>
      </c>
      <c r="G2492" t="s">
        <v>4303</v>
      </c>
    </row>
    <row r="2493" spans="1:7">
      <c r="A2493" t="s">
        <v>4170</v>
      </c>
      <c r="G2493" t="s">
        <v>4303</v>
      </c>
    </row>
    <row r="2494" spans="1:7">
      <c r="A2494" t="s">
        <v>4181</v>
      </c>
      <c r="G2494" t="s">
        <v>4303</v>
      </c>
    </row>
    <row r="2495" spans="1:7">
      <c r="A2495" t="s">
        <v>4372</v>
      </c>
      <c r="G2495" t="s">
        <v>4303</v>
      </c>
    </row>
    <row r="2496" spans="1:8">
      <c r="A2496" t="s">
        <v>4112</v>
      </c>
      <c r="G2496" t="s">
        <v>4303</v>
      </c>
      <c r="H2496">
        <v>5509097</v>
      </c>
    </row>
    <row r="2497" spans="1:7">
      <c r="A2497" t="s">
        <v>4136</v>
      </c>
      <c r="G2497" t="s">
        <v>4303</v>
      </c>
    </row>
    <row r="2498" spans="1:7">
      <c r="A2498" t="s">
        <v>4732</v>
      </c>
      <c r="G2498" t="s">
        <v>4303</v>
      </c>
    </row>
    <row r="2499" spans="1:8">
      <c r="A2499" t="s">
        <v>4629</v>
      </c>
      <c r="G2499" t="s">
        <v>4303</v>
      </c>
      <c r="H2499">
        <v>5175097</v>
      </c>
    </row>
    <row r="2500" spans="1:7">
      <c r="A2500" t="s">
        <v>4080</v>
      </c>
      <c r="G2500" t="s">
        <v>4303</v>
      </c>
    </row>
    <row r="2501" spans="1:7">
      <c r="A2501" t="s">
        <v>4610</v>
      </c>
      <c r="G2501" t="s">
        <v>4914</v>
      </c>
    </row>
    <row r="2502" spans="1:7">
      <c r="A2502" t="s">
        <v>4720</v>
      </c>
      <c r="G2502" t="s">
        <v>4914</v>
      </c>
    </row>
    <row r="2503" spans="1:7">
      <c r="A2503" t="s">
        <v>4062</v>
      </c>
      <c r="G2503" t="s">
        <v>4914</v>
      </c>
    </row>
    <row r="2504" spans="1:7">
      <c r="A2504" t="s">
        <v>4915</v>
      </c>
      <c r="G2504" t="s">
        <v>4914</v>
      </c>
    </row>
    <row r="2505" spans="1:7">
      <c r="A2505" t="s">
        <v>4664</v>
      </c>
      <c r="G2505" t="s">
        <v>4024</v>
      </c>
    </row>
    <row r="2506" spans="1:7">
      <c r="A2506" t="s">
        <v>4091</v>
      </c>
      <c r="G2506" t="s">
        <v>4916</v>
      </c>
    </row>
    <row r="2507" spans="1:7">
      <c r="A2507" t="s">
        <v>4234</v>
      </c>
      <c r="G2507" t="s">
        <v>4917</v>
      </c>
    </row>
    <row r="2508" spans="1:7">
      <c r="A2508" t="s">
        <v>4570</v>
      </c>
      <c r="G2508" t="s">
        <v>4918</v>
      </c>
    </row>
    <row r="2509" spans="1:7">
      <c r="A2509" t="s">
        <v>4919</v>
      </c>
      <c r="G2509" t="s">
        <v>4918</v>
      </c>
    </row>
    <row r="2510" spans="1:7">
      <c r="A2510" t="s">
        <v>4699</v>
      </c>
      <c r="G2510" t="s">
        <v>4920</v>
      </c>
    </row>
    <row r="2511" spans="1:7">
      <c r="A2511" t="s">
        <v>4703</v>
      </c>
      <c r="G2511" t="s">
        <v>4920</v>
      </c>
    </row>
    <row r="2512" spans="1:7">
      <c r="A2512" t="s">
        <v>4171</v>
      </c>
      <c r="G2512" t="s">
        <v>4920</v>
      </c>
    </row>
    <row r="2513" spans="1:7">
      <c r="A2513" t="s">
        <v>4799</v>
      </c>
      <c r="G2513" t="s">
        <v>4920</v>
      </c>
    </row>
    <row r="2514" spans="1:7">
      <c r="A2514" t="s">
        <v>4122</v>
      </c>
      <c r="G2514" t="s">
        <v>4092</v>
      </c>
    </row>
    <row r="2515" spans="1:7">
      <c r="A2515" t="s">
        <v>4085</v>
      </c>
      <c r="G2515" t="s">
        <v>4092</v>
      </c>
    </row>
    <row r="2516" spans="1:7">
      <c r="A2516" t="s">
        <v>4666</v>
      </c>
      <c r="G2516" t="s">
        <v>4092</v>
      </c>
    </row>
    <row r="2517" spans="1:7">
      <c r="A2517" t="s">
        <v>4230</v>
      </c>
      <c r="G2517" t="s">
        <v>4092</v>
      </c>
    </row>
    <row r="2518" spans="1:7">
      <c r="A2518" t="s">
        <v>4798</v>
      </c>
      <c r="G2518" t="s">
        <v>4092</v>
      </c>
    </row>
    <row r="2519" spans="1:7">
      <c r="A2519" t="s">
        <v>4258</v>
      </c>
      <c r="G2519" t="s">
        <v>4092</v>
      </c>
    </row>
    <row r="2520" spans="1:7">
      <c r="A2520" t="s">
        <v>4568</v>
      </c>
      <c r="G2520" t="s">
        <v>4092</v>
      </c>
    </row>
    <row r="2521" spans="1:7">
      <c r="A2521" t="s">
        <v>4735</v>
      </c>
      <c r="G2521" t="s">
        <v>4092</v>
      </c>
    </row>
    <row r="2522" spans="1:7">
      <c r="A2522" t="s">
        <v>4739</v>
      </c>
      <c r="B2522">
        <v>5400097</v>
      </c>
      <c r="G2522" t="s">
        <v>4092</v>
      </c>
    </row>
    <row r="2523" spans="1:8">
      <c r="A2523" t="s">
        <v>4562</v>
      </c>
      <c r="G2523" t="s">
        <v>4092</v>
      </c>
      <c r="H2523">
        <v>5419097</v>
      </c>
    </row>
    <row r="2524" spans="1:7">
      <c r="A2524" t="s">
        <v>4606</v>
      </c>
      <c r="G2524" t="s">
        <v>4092</v>
      </c>
    </row>
    <row r="2525" spans="1:7">
      <c r="A2525" t="s">
        <v>4741</v>
      </c>
      <c r="G2525" t="s">
        <v>4092</v>
      </c>
    </row>
    <row r="2526" spans="1:7">
      <c r="A2526" t="s">
        <v>4701</v>
      </c>
      <c r="G2526" t="s">
        <v>4092</v>
      </c>
    </row>
    <row r="2527" spans="1:7">
      <c r="A2527" t="s">
        <v>4262</v>
      </c>
      <c r="G2527" t="s">
        <v>4092</v>
      </c>
    </row>
    <row r="2528" spans="1:7">
      <c r="A2528" t="s">
        <v>4437</v>
      </c>
      <c r="G2528" t="s">
        <v>4092</v>
      </c>
    </row>
    <row r="2529" spans="1:7">
      <c r="A2529" t="s">
        <v>4276</v>
      </c>
      <c r="G2529" t="s">
        <v>4092</v>
      </c>
    </row>
    <row r="2530" spans="1:7">
      <c r="A2530" t="s">
        <v>4233</v>
      </c>
      <c r="G2530" t="s">
        <v>4092</v>
      </c>
    </row>
    <row r="2531" spans="1:7">
      <c r="A2531" t="s">
        <v>4418</v>
      </c>
      <c r="G2531" t="s">
        <v>4092</v>
      </c>
    </row>
    <row r="2532" spans="1:7">
      <c r="A2532" t="s">
        <v>4286</v>
      </c>
      <c r="G2532" t="s">
        <v>4092</v>
      </c>
    </row>
    <row r="2533" spans="1:7">
      <c r="A2533" t="s">
        <v>4113</v>
      </c>
      <c r="G2533" t="s">
        <v>4092</v>
      </c>
    </row>
    <row r="2534" spans="1:7">
      <c r="A2534" t="s">
        <v>4921</v>
      </c>
      <c r="B2534">
        <v>5406097</v>
      </c>
      <c r="G2534" t="s">
        <v>4092</v>
      </c>
    </row>
    <row r="2535" spans="1:7">
      <c r="A2535" t="s">
        <v>4666</v>
      </c>
      <c r="G2535" t="s">
        <v>4092</v>
      </c>
    </row>
    <row r="2536" spans="1:7">
      <c r="A2536" t="s">
        <v>4922</v>
      </c>
      <c r="G2536" t="s">
        <v>4092</v>
      </c>
    </row>
    <row r="2537" spans="1:7">
      <c r="A2537" t="s">
        <v>4741</v>
      </c>
      <c r="G2537" t="s">
        <v>4092</v>
      </c>
    </row>
    <row r="2538" spans="1:7">
      <c r="A2538" t="s">
        <v>4233</v>
      </c>
      <c r="B2538">
        <v>5397097</v>
      </c>
      <c r="G2538" t="s">
        <v>4092</v>
      </c>
    </row>
    <row r="2539" spans="1:7">
      <c r="A2539" t="s">
        <v>4143</v>
      </c>
      <c r="G2539" t="s">
        <v>4092</v>
      </c>
    </row>
    <row r="2540" spans="1:7">
      <c r="A2540" t="s">
        <v>4820</v>
      </c>
      <c r="G2540" t="s">
        <v>4092</v>
      </c>
    </row>
    <row r="2541" spans="1:7">
      <c r="A2541" t="s">
        <v>4923</v>
      </c>
      <c r="G2541" t="s">
        <v>4092</v>
      </c>
    </row>
    <row r="2542" spans="1:7">
      <c r="A2542" t="s">
        <v>4171</v>
      </c>
      <c r="G2542" t="s">
        <v>4092</v>
      </c>
    </row>
    <row r="2543" spans="1:7">
      <c r="A2543" t="s">
        <v>4234</v>
      </c>
      <c r="G2543" t="s">
        <v>4092</v>
      </c>
    </row>
    <row r="2544" spans="1:7">
      <c r="A2544" t="s">
        <v>4924</v>
      </c>
      <c r="G2544" t="s">
        <v>4092</v>
      </c>
    </row>
    <row r="2545" spans="1:7">
      <c r="A2545" t="s">
        <v>4136</v>
      </c>
      <c r="G2545" t="s">
        <v>4092</v>
      </c>
    </row>
    <row r="2546" spans="1:7">
      <c r="A2546" t="s">
        <v>4570</v>
      </c>
      <c r="G2546" t="s">
        <v>4092</v>
      </c>
    </row>
    <row r="2547" spans="1:7">
      <c r="A2547" t="s">
        <v>4401</v>
      </c>
      <c r="G2547" t="s">
        <v>4092</v>
      </c>
    </row>
    <row r="2548" spans="1:7">
      <c r="A2548" t="s">
        <v>4115</v>
      </c>
      <c r="G2548" t="s">
        <v>4092</v>
      </c>
    </row>
    <row r="2549" spans="1:7">
      <c r="A2549" t="s">
        <v>4131</v>
      </c>
      <c r="G2549" t="s">
        <v>4092</v>
      </c>
    </row>
    <row r="2550" spans="1:7">
      <c r="A2550" t="s">
        <v>4925</v>
      </c>
      <c r="G2550" t="s">
        <v>4092</v>
      </c>
    </row>
    <row r="2551" spans="1:8">
      <c r="A2551" t="s">
        <v>4731</v>
      </c>
      <c r="G2551" t="s">
        <v>4092</v>
      </c>
      <c r="H2551">
        <v>4953097</v>
      </c>
    </row>
    <row r="2552" spans="1:8">
      <c r="A2552" t="s">
        <v>4926</v>
      </c>
      <c r="G2552" t="s">
        <v>4092</v>
      </c>
      <c r="H2552">
        <v>4951097</v>
      </c>
    </row>
    <row r="2553" spans="1:7">
      <c r="A2553" t="s">
        <v>4457</v>
      </c>
      <c r="G2553" t="s">
        <v>4092</v>
      </c>
    </row>
    <row r="2554" spans="1:7">
      <c r="A2554" t="s">
        <v>4927</v>
      </c>
      <c r="G2554" t="s">
        <v>4092</v>
      </c>
    </row>
    <row r="2555" spans="1:7">
      <c r="A2555" t="s">
        <v>4239</v>
      </c>
      <c r="G2555" t="s">
        <v>4092</v>
      </c>
    </row>
    <row r="2556" spans="1:7">
      <c r="A2556" t="s">
        <v>4928</v>
      </c>
      <c r="G2556" t="s">
        <v>4092</v>
      </c>
    </row>
    <row r="2557" spans="1:7">
      <c r="A2557" t="s">
        <v>4589</v>
      </c>
      <c r="G2557" t="s">
        <v>4092</v>
      </c>
    </row>
    <row r="2558" spans="1:7">
      <c r="A2558" t="s">
        <v>4519</v>
      </c>
      <c r="G2558" t="s">
        <v>4092</v>
      </c>
    </row>
    <row r="2559" spans="1:7">
      <c r="A2559" t="s">
        <v>4826</v>
      </c>
      <c r="G2559" t="s">
        <v>4092</v>
      </c>
    </row>
    <row r="2560" spans="1:7">
      <c r="A2560" t="s">
        <v>4929</v>
      </c>
      <c r="G2560" t="s">
        <v>4186</v>
      </c>
    </row>
    <row r="2561" spans="1:7">
      <c r="A2561" t="s">
        <v>4881</v>
      </c>
      <c r="G2561" t="s">
        <v>4186</v>
      </c>
    </row>
    <row r="2562" spans="1:7">
      <c r="A2562" t="s">
        <v>4930</v>
      </c>
      <c r="G2562" t="s">
        <v>4186</v>
      </c>
    </row>
    <row r="2563" spans="1:7">
      <c r="A2563" t="s">
        <v>4525</v>
      </c>
      <c r="G2563" t="s">
        <v>4186</v>
      </c>
    </row>
    <row r="2564" spans="1:7">
      <c r="A2564" t="s">
        <v>4656</v>
      </c>
      <c r="G2564" t="s">
        <v>4186</v>
      </c>
    </row>
    <row r="2565" spans="1:7">
      <c r="A2565" t="s">
        <v>4625</v>
      </c>
      <c r="G2565" t="s">
        <v>4186</v>
      </c>
    </row>
    <row r="2566" spans="1:7">
      <c r="A2566" t="s">
        <v>4911</v>
      </c>
      <c r="G2566" t="s">
        <v>4186</v>
      </c>
    </row>
    <row r="2567" spans="1:7">
      <c r="A2567" t="s">
        <v>4276</v>
      </c>
      <c r="G2567" t="s">
        <v>4186</v>
      </c>
    </row>
    <row r="2568" spans="1:7">
      <c r="A2568" t="s">
        <v>4720</v>
      </c>
      <c r="G2568" t="s">
        <v>4186</v>
      </c>
    </row>
    <row r="2569" spans="1:7">
      <c r="A2569" t="s">
        <v>4085</v>
      </c>
      <c r="G2569" t="s">
        <v>4186</v>
      </c>
    </row>
    <row r="2570" spans="1:7">
      <c r="A2570" t="s">
        <v>4669</v>
      </c>
      <c r="G2570" t="s">
        <v>4186</v>
      </c>
    </row>
    <row r="2571" spans="1:7">
      <c r="A2571" t="s">
        <v>4931</v>
      </c>
      <c r="G2571" t="s">
        <v>4186</v>
      </c>
    </row>
    <row r="2572" spans="1:7">
      <c r="A2572" t="s">
        <v>4567</v>
      </c>
      <c r="B2572">
        <v>5405097</v>
      </c>
      <c r="G2572" t="s">
        <v>4186</v>
      </c>
    </row>
    <row r="2573" spans="1:7">
      <c r="A2573" t="s">
        <v>4327</v>
      </c>
      <c r="G2573" t="s">
        <v>4186</v>
      </c>
    </row>
    <row r="2574" spans="1:7">
      <c r="A2574" t="s">
        <v>4116</v>
      </c>
      <c r="G2574" t="s">
        <v>4186</v>
      </c>
    </row>
    <row r="2575" spans="1:7">
      <c r="A2575" t="s">
        <v>4098</v>
      </c>
      <c r="G2575" t="s">
        <v>4186</v>
      </c>
    </row>
    <row r="2576" spans="1:7">
      <c r="A2576" t="s">
        <v>4043</v>
      </c>
      <c r="G2576" t="s">
        <v>4254</v>
      </c>
    </row>
    <row r="2577" spans="1:7">
      <c r="A2577" t="s">
        <v>4262</v>
      </c>
      <c r="G2577" t="s">
        <v>4254</v>
      </c>
    </row>
    <row r="2578" spans="1:7">
      <c r="A2578" t="s">
        <v>4556</v>
      </c>
      <c r="G2578" t="s">
        <v>4254</v>
      </c>
    </row>
    <row r="2579" spans="1:7">
      <c r="A2579" t="s">
        <v>4766</v>
      </c>
      <c r="G2579" t="s">
        <v>4254</v>
      </c>
    </row>
    <row r="2580" spans="1:7">
      <c r="A2580" t="s">
        <v>4313</v>
      </c>
      <c r="G2580" t="s">
        <v>4254</v>
      </c>
    </row>
    <row r="2581" spans="1:7">
      <c r="A2581" t="s">
        <v>4035</v>
      </c>
      <c r="G2581" t="s">
        <v>4254</v>
      </c>
    </row>
    <row r="2582" spans="1:7">
      <c r="A2582" t="s">
        <v>4698</v>
      </c>
      <c r="G2582" t="s">
        <v>4254</v>
      </c>
    </row>
    <row r="2583" spans="1:7">
      <c r="A2583" t="s">
        <v>4757</v>
      </c>
      <c r="G2583" t="s">
        <v>4254</v>
      </c>
    </row>
    <row r="2584" spans="1:7">
      <c r="A2584" t="s">
        <v>4465</v>
      </c>
      <c r="G2584" t="s">
        <v>4254</v>
      </c>
    </row>
    <row r="2585" spans="1:7">
      <c r="A2585" t="s">
        <v>4826</v>
      </c>
      <c r="G2585" t="s">
        <v>4932</v>
      </c>
    </row>
    <row r="2586" spans="1:7">
      <c r="A2586" t="s">
        <v>4820</v>
      </c>
      <c r="G2586" t="s">
        <v>4162</v>
      </c>
    </row>
    <row r="2587" spans="1:7">
      <c r="A2587" t="s">
        <v>4933</v>
      </c>
      <c r="G2587" t="s">
        <v>4162</v>
      </c>
    </row>
    <row r="2588" spans="1:7">
      <c r="A2588" t="s">
        <v>4816</v>
      </c>
      <c r="G2588" t="s">
        <v>4162</v>
      </c>
    </row>
    <row r="2589" spans="1:7">
      <c r="A2589" t="s">
        <v>4414</v>
      </c>
      <c r="G2589" t="s">
        <v>4162</v>
      </c>
    </row>
    <row r="2590" spans="1:7">
      <c r="A2590" t="s">
        <v>4747</v>
      </c>
      <c r="G2590" t="s">
        <v>4162</v>
      </c>
    </row>
    <row r="2591" spans="1:7">
      <c r="A2591" t="s">
        <v>4785</v>
      </c>
      <c r="G2591" t="s">
        <v>4162</v>
      </c>
    </row>
    <row r="2592" spans="1:7">
      <c r="A2592" t="s">
        <v>4759</v>
      </c>
      <c r="G2592" t="s">
        <v>4162</v>
      </c>
    </row>
    <row r="2593" spans="1:7">
      <c r="A2593" t="s">
        <v>4233</v>
      </c>
      <c r="B2593">
        <v>5404097</v>
      </c>
      <c r="G2593" t="s">
        <v>4162</v>
      </c>
    </row>
    <row r="2594" spans="1:7">
      <c r="A2594" t="s">
        <v>4607</v>
      </c>
      <c r="G2594" t="s">
        <v>4162</v>
      </c>
    </row>
    <row r="2595" spans="1:7">
      <c r="A2595" t="s">
        <v>4154</v>
      </c>
      <c r="B2595">
        <v>5396097</v>
      </c>
      <c r="G2595" t="s">
        <v>4162</v>
      </c>
    </row>
    <row r="2596" spans="1:7">
      <c r="A2596" t="s">
        <v>4627</v>
      </c>
      <c r="G2596" t="s">
        <v>4162</v>
      </c>
    </row>
    <row r="2597" spans="1:7">
      <c r="A2597" t="s">
        <v>4091</v>
      </c>
      <c r="G2597" t="s">
        <v>4162</v>
      </c>
    </row>
    <row r="2598" spans="1:7">
      <c r="A2598" t="s">
        <v>4741</v>
      </c>
      <c r="G2598" t="s">
        <v>4162</v>
      </c>
    </row>
    <row r="2599" spans="1:7">
      <c r="A2599" t="s">
        <v>4418</v>
      </c>
      <c r="G2599" t="s">
        <v>4162</v>
      </c>
    </row>
    <row r="2600" spans="1:7">
      <c r="A2600" t="s">
        <v>4286</v>
      </c>
      <c r="G2600" t="s">
        <v>4162</v>
      </c>
    </row>
    <row r="2601" spans="1:7">
      <c r="A2601" t="s">
        <v>4165</v>
      </c>
      <c r="G2601" t="s">
        <v>4162</v>
      </c>
    </row>
    <row r="2602" spans="1:7">
      <c r="A2602" t="s">
        <v>4147</v>
      </c>
      <c r="G2602" t="s">
        <v>4162</v>
      </c>
    </row>
    <row r="2603" spans="1:7">
      <c r="A2603" t="s">
        <v>4905</v>
      </c>
      <c r="G2603" t="s">
        <v>4162</v>
      </c>
    </row>
    <row r="2604" spans="1:7">
      <c r="A2604" t="s">
        <v>4082</v>
      </c>
      <c r="G2604" t="s">
        <v>4162</v>
      </c>
    </row>
    <row r="2605" spans="1:7">
      <c r="A2605" t="s">
        <v>4372</v>
      </c>
      <c r="G2605" t="s">
        <v>4162</v>
      </c>
    </row>
    <row r="2606" spans="1:7">
      <c r="A2606" t="s">
        <v>4732</v>
      </c>
      <c r="G2606" t="s">
        <v>4162</v>
      </c>
    </row>
    <row r="2607" spans="1:7">
      <c r="A2607" t="s">
        <v>4136</v>
      </c>
      <c r="G2607" t="s">
        <v>4162</v>
      </c>
    </row>
    <row r="2608" spans="1:7">
      <c r="A2608" t="s">
        <v>4112</v>
      </c>
      <c r="G2608" t="s">
        <v>4162</v>
      </c>
    </row>
    <row r="2609" spans="1:7">
      <c r="A2609" t="s">
        <v>4169</v>
      </c>
      <c r="G2609" t="s">
        <v>4222</v>
      </c>
    </row>
    <row r="2610" spans="1:7">
      <c r="A2610" t="s">
        <v>4080</v>
      </c>
      <c r="G2610" t="s">
        <v>4222</v>
      </c>
    </row>
    <row r="2611" spans="1:7">
      <c r="A2611" t="s">
        <v>4610</v>
      </c>
      <c r="G2611" t="s">
        <v>4934</v>
      </c>
    </row>
    <row r="2612" spans="1:8">
      <c r="A2612" t="s">
        <v>4720</v>
      </c>
      <c r="G2612" t="s">
        <v>4934</v>
      </c>
      <c r="H2612">
        <v>5169097</v>
      </c>
    </row>
    <row r="2613" spans="1:8">
      <c r="A2613" t="s">
        <v>4062</v>
      </c>
      <c r="B2613">
        <v>5395097</v>
      </c>
      <c r="G2613" t="s">
        <v>4934</v>
      </c>
      <c r="H2613">
        <v>5192097</v>
      </c>
    </row>
    <row r="2614" spans="1:7">
      <c r="A2614" t="s">
        <v>4666</v>
      </c>
      <c r="G2614" t="s">
        <v>4935</v>
      </c>
    </row>
    <row r="2615" spans="1:7">
      <c r="A2615" t="s">
        <v>4915</v>
      </c>
      <c r="G2615" t="s">
        <v>4261</v>
      </c>
    </row>
    <row r="2616" spans="1:7">
      <c r="A2616" t="s">
        <v>4664</v>
      </c>
      <c r="G2616" t="s">
        <v>4261</v>
      </c>
    </row>
    <row r="2617" spans="1:7">
      <c r="A2617" t="s">
        <v>4131</v>
      </c>
      <c r="G2617" t="s">
        <v>4261</v>
      </c>
    </row>
    <row r="2618" spans="1:7">
      <c r="A2618" t="s">
        <v>4234</v>
      </c>
      <c r="G2618" t="s">
        <v>4261</v>
      </c>
    </row>
    <row r="2619" spans="1:7">
      <c r="A2619" t="s">
        <v>4757</v>
      </c>
      <c r="G2619" t="s">
        <v>4261</v>
      </c>
    </row>
    <row r="2620" spans="1:7">
      <c r="A2620" t="s">
        <v>4107</v>
      </c>
      <c r="G2620" t="s">
        <v>4261</v>
      </c>
    </row>
    <row r="2621" spans="1:7">
      <c r="A2621" t="s">
        <v>4808</v>
      </c>
      <c r="G2621" t="s">
        <v>4261</v>
      </c>
    </row>
    <row r="2622" spans="1:7">
      <c r="A2622" t="s">
        <v>4919</v>
      </c>
      <c r="G2622" t="s">
        <v>4261</v>
      </c>
    </row>
    <row r="2623" spans="1:7">
      <c r="A2623" t="s">
        <v>4171</v>
      </c>
      <c r="G2623" t="s">
        <v>4936</v>
      </c>
    </row>
    <row r="2624" spans="1:7">
      <c r="A2624" t="s">
        <v>4170</v>
      </c>
      <c r="G2624" t="s">
        <v>4937</v>
      </c>
    </row>
    <row r="2625" spans="1:7">
      <c r="A2625" t="s">
        <v>4799</v>
      </c>
      <c r="G2625" t="s">
        <v>4027</v>
      </c>
    </row>
    <row r="2626" spans="1:7">
      <c r="A2626" t="s">
        <v>4122</v>
      </c>
      <c r="G2626" t="s">
        <v>4027</v>
      </c>
    </row>
    <row r="2627" spans="1:7">
      <c r="A2627" t="s">
        <v>4085</v>
      </c>
      <c r="G2627" t="s">
        <v>4027</v>
      </c>
    </row>
    <row r="2628" spans="1:7">
      <c r="A2628" t="s">
        <v>4938</v>
      </c>
      <c r="G2628" t="s">
        <v>4027</v>
      </c>
    </row>
    <row r="2629" spans="1:7">
      <c r="A2629" t="s">
        <v>4092</v>
      </c>
      <c r="G2629" t="s">
        <v>4027</v>
      </c>
    </row>
    <row r="2630" spans="1:7">
      <c r="A2630" t="s">
        <v>4175</v>
      </c>
      <c r="G2630" t="s">
        <v>4939</v>
      </c>
    </row>
    <row r="2631" spans="1:7">
      <c r="A2631" t="s">
        <v>4798</v>
      </c>
      <c r="G2631" t="s">
        <v>4262</v>
      </c>
    </row>
    <row r="2632" spans="1:7">
      <c r="A2632" t="s">
        <v>4258</v>
      </c>
      <c r="G2632" t="s">
        <v>4262</v>
      </c>
    </row>
    <row r="2633" spans="1:7">
      <c r="A2633" t="s">
        <v>4245</v>
      </c>
      <c r="G2633" t="s">
        <v>4262</v>
      </c>
    </row>
    <row r="2634" spans="1:7">
      <c r="A2634" t="s">
        <v>4102</v>
      </c>
      <c r="G2634" t="s">
        <v>4262</v>
      </c>
    </row>
    <row r="2635" spans="1:7">
      <c r="A2635" t="s">
        <v>4735</v>
      </c>
      <c r="G2635" t="s">
        <v>4262</v>
      </c>
    </row>
    <row r="2636" spans="1:7">
      <c r="A2636" t="s">
        <v>4123</v>
      </c>
      <c r="G2636" t="s">
        <v>4262</v>
      </c>
    </row>
    <row r="2637" spans="1:7">
      <c r="A2637" t="s">
        <v>4739</v>
      </c>
      <c r="G2637" t="s">
        <v>4262</v>
      </c>
    </row>
    <row r="2638" spans="1:7">
      <c r="A2638" t="s">
        <v>4562</v>
      </c>
      <c r="G2638" t="s">
        <v>4262</v>
      </c>
    </row>
    <row r="2639" spans="1:7">
      <c r="A2639" t="s">
        <v>4626</v>
      </c>
      <c r="G2639" t="s">
        <v>4262</v>
      </c>
    </row>
    <row r="2640" spans="1:7">
      <c r="A2640" t="s">
        <v>4606</v>
      </c>
      <c r="G2640" t="s">
        <v>4262</v>
      </c>
    </row>
    <row r="2641" spans="1:7">
      <c r="A2641" t="s">
        <v>4701</v>
      </c>
      <c r="G2641" t="s">
        <v>4262</v>
      </c>
    </row>
    <row r="2642" spans="1:7">
      <c r="A2642" t="s">
        <v>4658</v>
      </c>
      <c r="G2642" t="s">
        <v>4262</v>
      </c>
    </row>
    <row r="2643" spans="1:7">
      <c r="A2643" t="s">
        <v>4262</v>
      </c>
      <c r="B2643">
        <v>5393097</v>
      </c>
      <c r="G2643" t="s">
        <v>4262</v>
      </c>
    </row>
    <row r="2644" spans="1:7">
      <c r="A2644" t="s">
        <v>4437</v>
      </c>
      <c r="G2644" t="s">
        <v>4262</v>
      </c>
    </row>
    <row r="2645" spans="1:7">
      <c r="A2645" t="s">
        <v>4276</v>
      </c>
      <c r="G2645" t="s">
        <v>4262</v>
      </c>
    </row>
    <row r="2646" spans="1:7">
      <c r="A2646" t="s">
        <v>4142</v>
      </c>
      <c r="G2646" t="s">
        <v>4262</v>
      </c>
    </row>
    <row r="2647" spans="1:7">
      <c r="A2647" t="s">
        <v>4090</v>
      </c>
      <c r="G2647" t="s">
        <v>4262</v>
      </c>
    </row>
    <row r="2648" spans="1:7">
      <c r="A2648" t="s">
        <v>4771</v>
      </c>
      <c r="G2648" t="s">
        <v>4262</v>
      </c>
    </row>
    <row r="2649" spans="1:7">
      <c r="A2649" t="s">
        <v>4940</v>
      </c>
      <c r="G2649" t="s">
        <v>4262</v>
      </c>
    </row>
    <row r="2650" spans="1:7">
      <c r="A2650" t="s">
        <v>4113</v>
      </c>
      <c r="G2650" t="s">
        <v>4262</v>
      </c>
    </row>
    <row r="2651" spans="1:7">
      <c r="A2651" t="s">
        <v>4703</v>
      </c>
      <c r="G2651" t="s">
        <v>4262</v>
      </c>
    </row>
    <row r="2652" spans="1:7">
      <c r="A2652" t="s">
        <v>4941</v>
      </c>
      <c r="B2652">
        <v>5400097</v>
      </c>
      <c r="G2652" t="s">
        <v>4262</v>
      </c>
    </row>
    <row r="2653" spans="1:8">
      <c r="A2653" t="s">
        <v>4615</v>
      </c>
      <c r="G2653" t="s">
        <v>4262</v>
      </c>
      <c r="H2653">
        <v>5393097</v>
      </c>
    </row>
    <row r="2654" spans="1:7">
      <c r="A2654" t="s">
        <v>4802</v>
      </c>
      <c r="G2654" t="s">
        <v>4262</v>
      </c>
    </row>
    <row r="2655" spans="1:7">
      <c r="A2655" t="s">
        <v>4942</v>
      </c>
      <c r="G2655" t="s">
        <v>4262</v>
      </c>
    </row>
    <row r="2656" spans="1:7">
      <c r="A2656" t="s">
        <v>4005</v>
      </c>
      <c r="G2656" t="s">
        <v>4262</v>
      </c>
    </row>
    <row r="2657" spans="1:7">
      <c r="A2657" t="s">
        <v>4035</v>
      </c>
      <c r="G2657" t="s">
        <v>4115</v>
      </c>
    </row>
    <row r="2658" spans="1:7">
      <c r="A2658" t="s">
        <v>4943</v>
      </c>
      <c r="B2658">
        <v>5392097</v>
      </c>
      <c r="G2658" t="s">
        <v>4115</v>
      </c>
    </row>
    <row r="2659" spans="1:7">
      <c r="A2659" t="s">
        <v>4916</v>
      </c>
      <c r="G2659" t="s">
        <v>4115</v>
      </c>
    </row>
    <row r="2660" spans="1:7">
      <c r="A2660" t="s">
        <v>4348</v>
      </c>
      <c r="G2660" t="s">
        <v>4115</v>
      </c>
    </row>
    <row r="2661" spans="1:7">
      <c r="A2661" t="s">
        <v>4054</v>
      </c>
      <c r="G2661" t="s">
        <v>4115</v>
      </c>
    </row>
    <row r="2662" spans="1:7">
      <c r="A2662" t="s">
        <v>4944</v>
      </c>
      <c r="G2662" t="s">
        <v>4115</v>
      </c>
    </row>
    <row r="2663" spans="1:7">
      <c r="A2663" t="s">
        <v>4945</v>
      </c>
      <c r="G2663" t="s">
        <v>4115</v>
      </c>
    </row>
    <row r="2664" spans="1:7">
      <c r="A2664" t="s">
        <v>4946</v>
      </c>
      <c r="G2664" t="s">
        <v>4115</v>
      </c>
    </row>
    <row r="2665" spans="1:7">
      <c r="A2665" t="s">
        <v>4498</v>
      </c>
      <c r="G2665" t="s">
        <v>4115</v>
      </c>
    </row>
    <row r="2666" spans="1:7">
      <c r="A2666" t="s">
        <v>4691</v>
      </c>
      <c r="G2666" t="s">
        <v>4115</v>
      </c>
    </row>
    <row r="2667" spans="1:7">
      <c r="A2667" t="s">
        <v>4947</v>
      </c>
      <c r="G2667" t="s">
        <v>4115</v>
      </c>
    </row>
    <row r="2668" spans="1:7">
      <c r="A2668" t="s">
        <v>4570</v>
      </c>
      <c r="B2668">
        <v>5397097</v>
      </c>
      <c r="G2668" t="s">
        <v>4115</v>
      </c>
    </row>
    <row r="2669" spans="1:7">
      <c r="A2669" t="s">
        <v>4734</v>
      </c>
      <c r="G2669" t="s">
        <v>4115</v>
      </c>
    </row>
    <row r="2670" spans="1:8">
      <c r="A2670" t="s">
        <v>4454</v>
      </c>
      <c r="G2670" t="s">
        <v>4115</v>
      </c>
      <c r="H2670">
        <v>5405097</v>
      </c>
    </row>
    <row r="2671" spans="1:7">
      <c r="A2671" t="s">
        <v>4161</v>
      </c>
      <c r="G2671" t="s">
        <v>4115</v>
      </c>
    </row>
    <row r="2672" spans="1:7">
      <c r="A2672" t="s">
        <v>4948</v>
      </c>
      <c r="G2672" t="s">
        <v>4115</v>
      </c>
    </row>
    <row r="2673" spans="1:7">
      <c r="A2673" t="s">
        <v>4524</v>
      </c>
      <c r="G2673" t="s">
        <v>4115</v>
      </c>
    </row>
    <row r="2674" spans="1:7">
      <c r="A2674" t="s">
        <v>4450</v>
      </c>
      <c r="G2674" t="s">
        <v>4115</v>
      </c>
    </row>
    <row r="2675" spans="1:7">
      <c r="A2675" t="s">
        <v>4949</v>
      </c>
      <c r="G2675" t="s">
        <v>4115</v>
      </c>
    </row>
    <row r="2676" spans="1:7">
      <c r="A2676" t="s">
        <v>4950</v>
      </c>
      <c r="G2676" t="s">
        <v>4115</v>
      </c>
    </row>
    <row r="2677" spans="1:7">
      <c r="A2677" t="s">
        <v>4232</v>
      </c>
      <c r="G2677" t="s">
        <v>4115</v>
      </c>
    </row>
    <row r="2678" spans="1:7">
      <c r="A2678" t="s">
        <v>4900</v>
      </c>
      <c r="G2678" t="s">
        <v>4115</v>
      </c>
    </row>
    <row r="2679" spans="1:7">
      <c r="A2679" t="s">
        <v>4820</v>
      </c>
      <c r="G2679" t="s">
        <v>4115</v>
      </c>
    </row>
    <row r="2680" spans="1:7">
      <c r="A2680" t="s">
        <v>4234</v>
      </c>
      <c r="G2680" t="s">
        <v>4115</v>
      </c>
    </row>
    <row r="2681" spans="1:7">
      <c r="A2681" t="s">
        <v>4922</v>
      </c>
      <c r="G2681" t="s">
        <v>4115</v>
      </c>
    </row>
    <row r="2682" spans="1:7">
      <c r="A2682" t="s">
        <v>4092</v>
      </c>
      <c r="G2682" t="s">
        <v>4115</v>
      </c>
    </row>
    <row r="2683" spans="1:8">
      <c r="A2683" t="s">
        <v>4143</v>
      </c>
      <c r="G2683" t="s">
        <v>4115</v>
      </c>
      <c r="H2683">
        <v>5194097</v>
      </c>
    </row>
    <row r="2684" spans="1:7">
      <c r="A2684" t="s">
        <v>4951</v>
      </c>
      <c r="G2684" t="s">
        <v>4115</v>
      </c>
    </row>
    <row r="2685" spans="1:7">
      <c r="A2685" t="s">
        <v>4420</v>
      </c>
      <c r="G2685" t="s">
        <v>4115</v>
      </c>
    </row>
    <row r="2686" spans="1:7">
      <c r="A2686" t="s">
        <v>4549</v>
      </c>
      <c r="G2686" t="s">
        <v>4115</v>
      </c>
    </row>
    <row r="2687" spans="1:7">
      <c r="A2687" t="s">
        <v>4086</v>
      </c>
      <c r="G2687" t="s">
        <v>4115</v>
      </c>
    </row>
    <row r="2688" spans="1:8">
      <c r="A2688" t="s">
        <v>4925</v>
      </c>
      <c r="G2688" t="s">
        <v>4115</v>
      </c>
      <c r="H2688">
        <v>5100097</v>
      </c>
    </row>
    <row r="2689" spans="1:7">
      <c r="A2689" t="s">
        <v>4136</v>
      </c>
      <c r="G2689" t="s">
        <v>4115</v>
      </c>
    </row>
    <row r="2690" spans="1:7">
      <c r="A2690" t="s">
        <v>4115</v>
      </c>
      <c r="G2690" t="s">
        <v>4115</v>
      </c>
    </row>
    <row r="2691" spans="1:7">
      <c r="A2691" t="s">
        <v>4952</v>
      </c>
      <c r="G2691" t="s">
        <v>4115</v>
      </c>
    </row>
    <row r="2692" spans="1:7">
      <c r="A2692" t="s">
        <v>4953</v>
      </c>
      <c r="G2692" t="s">
        <v>4115</v>
      </c>
    </row>
    <row r="2693" spans="1:7">
      <c r="A2693" t="s">
        <v>4113</v>
      </c>
      <c r="G2693" t="s">
        <v>4115</v>
      </c>
    </row>
    <row r="2694" spans="1:7">
      <c r="A2694" t="s">
        <v>4135</v>
      </c>
      <c r="G2694" t="s">
        <v>4115</v>
      </c>
    </row>
    <row r="2695" spans="1:7">
      <c r="A2695" t="s">
        <v>4239</v>
      </c>
      <c r="G2695" t="s">
        <v>4115</v>
      </c>
    </row>
    <row r="2696" spans="1:7">
      <c r="A2696" t="s">
        <v>4720</v>
      </c>
      <c r="G2696" t="s">
        <v>4115</v>
      </c>
    </row>
    <row r="2697" spans="1:7">
      <c r="A2697" t="s">
        <v>4954</v>
      </c>
      <c r="G2697" t="s">
        <v>4115</v>
      </c>
    </row>
    <row r="2698" spans="1:7">
      <c r="A2698" t="s">
        <v>4915</v>
      </c>
      <c r="G2698" t="s">
        <v>4115</v>
      </c>
    </row>
    <row r="2699" spans="1:7">
      <c r="A2699" t="s">
        <v>4756</v>
      </c>
      <c r="G2699" t="s">
        <v>4115</v>
      </c>
    </row>
    <row r="2700" spans="1:7">
      <c r="A2700" t="s">
        <v>4928</v>
      </c>
      <c r="G2700" t="s">
        <v>4115</v>
      </c>
    </row>
    <row r="2701" spans="1:7">
      <c r="A2701" t="s">
        <v>4186</v>
      </c>
      <c r="G2701" t="s">
        <v>4683</v>
      </c>
    </row>
    <row r="2702" spans="1:8">
      <c r="A2702" t="s">
        <v>4547</v>
      </c>
      <c r="G2702" t="s">
        <v>4683</v>
      </c>
      <c r="H2702">
        <v>5279097</v>
      </c>
    </row>
    <row r="2703" spans="1:7">
      <c r="A2703" t="s">
        <v>4731</v>
      </c>
      <c r="G2703" t="s">
        <v>4683</v>
      </c>
    </row>
    <row r="2704" spans="1:7">
      <c r="A2704" t="s">
        <v>4519</v>
      </c>
      <c r="G2704" t="s">
        <v>4683</v>
      </c>
    </row>
    <row r="2705" spans="1:7">
      <c r="A2705" t="s">
        <v>4589</v>
      </c>
      <c r="G2705" t="s">
        <v>4578</v>
      </c>
    </row>
    <row r="2706" spans="1:7">
      <c r="A2706" t="s">
        <v>4262</v>
      </c>
      <c r="G2706" t="s">
        <v>4578</v>
      </c>
    </row>
    <row r="2707" spans="1:7">
      <c r="A2707" t="s">
        <v>4276</v>
      </c>
      <c r="B2707">
        <v>5386097</v>
      </c>
      <c r="G2707" t="s">
        <v>4578</v>
      </c>
    </row>
    <row r="2708" spans="1:7">
      <c r="A2708" t="s">
        <v>4152</v>
      </c>
      <c r="G2708" t="s">
        <v>4578</v>
      </c>
    </row>
    <row r="2709" spans="1:7">
      <c r="A2709" t="s">
        <v>4563</v>
      </c>
      <c r="G2709" t="s">
        <v>4578</v>
      </c>
    </row>
    <row r="2710" spans="1:7">
      <c r="A2710" t="s">
        <v>4810</v>
      </c>
      <c r="G2710" t="s">
        <v>4578</v>
      </c>
    </row>
    <row r="2711" spans="1:7">
      <c r="A2711" t="s">
        <v>4929</v>
      </c>
      <c r="G2711" t="s">
        <v>4578</v>
      </c>
    </row>
    <row r="2712" spans="1:7">
      <c r="A2712" t="s">
        <v>4291</v>
      </c>
      <c r="G2712" t="s">
        <v>4578</v>
      </c>
    </row>
    <row r="2713" spans="1:7">
      <c r="A2713" t="s">
        <v>4373</v>
      </c>
      <c r="G2713" t="s">
        <v>4521</v>
      </c>
    </row>
    <row r="2714" spans="1:7">
      <c r="A2714" t="s">
        <v>4826</v>
      </c>
      <c r="G2714" t="s">
        <v>4521</v>
      </c>
    </row>
    <row r="2715" spans="1:7">
      <c r="A2715" t="s">
        <v>4085</v>
      </c>
      <c r="G2715" t="s">
        <v>4521</v>
      </c>
    </row>
    <row r="2716" spans="1:7">
      <c r="A2716" t="s">
        <v>4230</v>
      </c>
      <c r="G2716" t="s">
        <v>4521</v>
      </c>
    </row>
    <row r="2717" spans="1:7">
      <c r="A2717" t="s">
        <v>4233</v>
      </c>
      <c r="G2717" t="s">
        <v>4521</v>
      </c>
    </row>
    <row r="2718" spans="1:7">
      <c r="A2718" t="s">
        <v>4594</v>
      </c>
      <c r="G2718" t="s">
        <v>4521</v>
      </c>
    </row>
    <row r="2719" spans="1:7">
      <c r="A2719" t="s">
        <v>4911</v>
      </c>
      <c r="G2719" t="s">
        <v>4955</v>
      </c>
    </row>
    <row r="2720" spans="1:8">
      <c r="A2720" t="s">
        <v>4122</v>
      </c>
      <c r="G2720" t="s">
        <v>4955</v>
      </c>
      <c r="H2720">
        <v>4952097</v>
      </c>
    </row>
    <row r="2721" spans="1:7">
      <c r="A2721" t="s">
        <v>4801</v>
      </c>
      <c r="G2721" t="s">
        <v>4955</v>
      </c>
    </row>
    <row r="2722" spans="1:7">
      <c r="A2722" t="s">
        <v>4171</v>
      </c>
      <c r="G2722" t="s">
        <v>4955</v>
      </c>
    </row>
    <row r="2723" spans="1:7">
      <c r="A2723" t="s">
        <v>4956</v>
      </c>
      <c r="G2723" t="s">
        <v>4955</v>
      </c>
    </row>
    <row r="2724" spans="1:7">
      <c r="A2724" t="s">
        <v>4957</v>
      </c>
      <c r="G2724" t="s">
        <v>4955</v>
      </c>
    </row>
    <row r="2725" spans="1:7">
      <c r="A2725" t="s">
        <v>4349</v>
      </c>
      <c r="B2725">
        <v>5396097</v>
      </c>
      <c r="G2725" t="s">
        <v>4955</v>
      </c>
    </row>
    <row r="2726" spans="1:7">
      <c r="A2726" t="s">
        <v>4360</v>
      </c>
      <c r="G2726" t="s">
        <v>4955</v>
      </c>
    </row>
    <row r="2727" spans="1:7">
      <c r="A2727" t="s">
        <v>4480</v>
      </c>
      <c r="G2727" t="s">
        <v>4955</v>
      </c>
    </row>
    <row r="2728" spans="1:7">
      <c r="A2728" t="s">
        <v>4107</v>
      </c>
      <c r="G2728" t="s">
        <v>4955</v>
      </c>
    </row>
    <row r="2729" spans="1:7">
      <c r="A2729" t="s">
        <v>4820</v>
      </c>
      <c r="G2729" t="s">
        <v>4955</v>
      </c>
    </row>
    <row r="2730" spans="1:7">
      <c r="A2730" t="s">
        <v>4379</v>
      </c>
      <c r="G2730" t="s">
        <v>4955</v>
      </c>
    </row>
    <row r="2731" spans="1:7">
      <c r="A2731" t="s">
        <v>4826</v>
      </c>
      <c r="G2731" t="s">
        <v>4955</v>
      </c>
    </row>
    <row r="2732" spans="1:7">
      <c r="A2732" t="s">
        <v>4346</v>
      </c>
      <c r="G2732" t="s">
        <v>4955</v>
      </c>
    </row>
    <row r="2733" spans="1:8">
      <c r="A2733" t="s">
        <v>4363</v>
      </c>
      <c r="G2733" t="s">
        <v>4955</v>
      </c>
      <c r="H2733">
        <v>4854097</v>
      </c>
    </row>
    <row r="2734" spans="1:8">
      <c r="A2734" t="s">
        <v>4787</v>
      </c>
      <c r="G2734" t="s">
        <v>4955</v>
      </c>
      <c r="H2734">
        <v>4842097</v>
      </c>
    </row>
    <row r="2735" spans="1:7">
      <c r="A2735" t="s">
        <v>4483</v>
      </c>
      <c r="G2735" t="s">
        <v>4955</v>
      </c>
    </row>
    <row r="2736" spans="1:7">
      <c r="A2736" t="s">
        <v>4355</v>
      </c>
      <c r="G2736" t="s">
        <v>4955</v>
      </c>
    </row>
    <row r="2737" spans="1:7">
      <c r="A2737" t="s">
        <v>4083</v>
      </c>
      <c r="G2737" t="s">
        <v>4955</v>
      </c>
    </row>
    <row r="2738" spans="1:8">
      <c r="A2738" t="s">
        <v>4684</v>
      </c>
      <c r="G2738" t="s">
        <v>4955</v>
      </c>
      <c r="H2738">
        <v>4844097</v>
      </c>
    </row>
    <row r="2739" spans="1:7">
      <c r="A2739" t="s">
        <v>4358</v>
      </c>
      <c r="G2739" t="s">
        <v>4955</v>
      </c>
    </row>
    <row r="2740" spans="1:8">
      <c r="A2740" t="s">
        <v>4361</v>
      </c>
      <c r="G2740" t="s">
        <v>4955</v>
      </c>
      <c r="H2740">
        <v>4840097</v>
      </c>
    </row>
    <row r="2741" spans="1:7">
      <c r="A2741" t="s">
        <v>4338</v>
      </c>
      <c r="G2741" t="s">
        <v>4955</v>
      </c>
    </row>
    <row r="2742" spans="1:8">
      <c r="A2742" t="s">
        <v>4958</v>
      </c>
      <c r="G2742" t="s">
        <v>4955</v>
      </c>
      <c r="H2742">
        <v>4816097</v>
      </c>
    </row>
    <row r="2743" spans="1:8">
      <c r="A2743" t="s">
        <v>4361</v>
      </c>
      <c r="B2743">
        <v>5395097</v>
      </c>
      <c r="G2743" t="s">
        <v>4955</v>
      </c>
      <c r="H2743">
        <v>4826097</v>
      </c>
    </row>
    <row r="2744" spans="1:7">
      <c r="A2744" t="s">
        <v>4480</v>
      </c>
      <c r="G2744" t="s">
        <v>4955</v>
      </c>
    </row>
    <row r="2745" spans="1:7">
      <c r="A2745" t="s">
        <v>4959</v>
      </c>
      <c r="G2745" t="s">
        <v>4955</v>
      </c>
    </row>
    <row r="2746" spans="1:7">
      <c r="A2746" t="s">
        <v>4960</v>
      </c>
      <c r="G2746" t="s">
        <v>4955</v>
      </c>
    </row>
    <row r="2747" spans="1:7">
      <c r="A2747" t="s">
        <v>4186</v>
      </c>
      <c r="G2747" t="s">
        <v>4955</v>
      </c>
    </row>
    <row r="2748" spans="1:7">
      <c r="A2748" t="s">
        <v>4821</v>
      </c>
      <c r="G2748" t="s">
        <v>4955</v>
      </c>
    </row>
    <row r="2749" spans="1:7">
      <c r="A2749" t="s">
        <v>4961</v>
      </c>
      <c r="G2749" t="s">
        <v>4955</v>
      </c>
    </row>
    <row r="2750" spans="1:7">
      <c r="A2750" t="s">
        <v>4962</v>
      </c>
      <c r="G2750" t="s">
        <v>4955</v>
      </c>
    </row>
    <row r="2751" spans="1:7">
      <c r="A2751" t="s">
        <v>4355</v>
      </c>
      <c r="G2751" t="s">
        <v>4955</v>
      </c>
    </row>
    <row r="2752" spans="1:7">
      <c r="A2752" t="s">
        <v>4349</v>
      </c>
      <c r="G2752" t="s">
        <v>4135</v>
      </c>
    </row>
    <row r="2753" spans="1:7">
      <c r="A2753" t="s">
        <v>4820</v>
      </c>
      <c r="G2753" t="s">
        <v>4135</v>
      </c>
    </row>
    <row r="2754" spans="1:7">
      <c r="A2754" t="s">
        <v>4826</v>
      </c>
      <c r="G2754" t="s">
        <v>4135</v>
      </c>
    </row>
    <row r="2755" spans="1:7">
      <c r="A2755" t="s">
        <v>4354</v>
      </c>
      <c r="G2755" t="s">
        <v>4135</v>
      </c>
    </row>
    <row r="2756" spans="1:7">
      <c r="A2756" t="s">
        <v>4815</v>
      </c>
      <c r="G2756" t="s">
        <v>4135</v>
      </c>
    </row>
    <row r="2757" spans="1:7">
      <c r="A2757" t="s">
        <v>4262</v>
      </c>
      <c r="G2757" t="s">
        <v>4135</v>
      </c>
    </row>
    <row r="2758" spans="1:8">
      <c r="A2758" t="s">
        <v>4360</v>
      </c>
      <c r="G2758" t="s">
        <v>4135</v>
      </c>
      <c r="H2758">
        <v>5487097</v>
      </c>
    </row>
    <row r="2759" spans="1:7">
      <c r="A2759" t="s">
        <v>4336</v>
      </c>
      <c r="G2759" t="s">
        <v>4135</v>
      </c>
    </row>
    <row r="2760" spans="1:7">
      <c r="A2760" t="s">
        <v>4333</v>
      </c>
      <c r="G2760" t="s">
        <v>4135</v>
      </c>
    </row>
    <row r="2761" spans="1:7">
      <c r="A2761" t="s">
        <v>4963</v>
      </c>
      <c r="G2761" t="s">
        <v>4135</v>
      </c>
    </row>
    <row r="2762" spans="1:7">
      <c r="A2762" t="s">
        <v>4364</v>
      </c>
      <c r="G2762" t="s">
        <v>4135</v>
      </c>
    </row>
    <row r="2763" spans="1:7">
      <c r="A2763" t="s">
        <v>4964</v>
      </c>
      <c r="G2763" t="s">
        <v>4135</v>
      </c>
    </row>
    <row r="2764" spans="1:7">
      <c r="A2764" t="s">
        <v>4965</v>
      </c>
      <c r="G2764" t="s">
        <v>4135</v>
      </c>
    </row>
    <row r="2765" spans="1:7">
      <c r="A2765" t="s">
        <v>4483</v>
      </c>
      <c r="G2765" t="s">
        <v>4135</v>
      </c>
    </row>
    <row r="2766" spans="1:7">
      <c r="A2766" t="s">
        <v>4347</v>
      </c>
      <c r="G2766" t="s">
        <v>4135</v>
      </c>
    </row>
    <row r="2767" spans="1:7">
      <c r="A2767" t="s">
        <v>4331</v>
      </c>
      <c r="G2767" t="s">
        <v>4135</v>
      </c>
    </row>
    <row r="2768" spans="1:7">
      <c r="A2768" t="s">
        <v>4358</v>
      </c>
      <c r="G2768" t="s">
        <v>4135</v>
      </c>
    </row>
    <row r="2769" spans="1:7">
      <c r="A2769" t="s">
        <v>4363</v>
      </c>
      <c r="B2769">
        <v>5385097</v>
      </c>
      <c r="G2769" t="s">
        <v>4135</v>
      </c>
    </row>
    <row r="2770" spans="1:7">
      <c r="A2770" t="s">
        <v>4914</v>
      </c>
      <c r="G2770" t="s">
        <v>4135</v>
      </c>
    </row>
    <row r="2771" spans="1:7">
      <c r="A2771" t="s">
        <v>4338</v>
      </c>
      <c r="G2771" t="s">
        <v>4135</v>
      </c>
    </row>
    <row r="2772" spans="1:7">
      <c r="A2772" t="s">
        <v>4356</v>
      </c>
      <c r="G2772" t="s">
        <v>4135</v>
      </c>
    </row>
    <row r="2773" spans="1:7">
      <c r="A2773" t="s">
        <v>4349</v>
      </c>
      <c r="B2773">
        <v>5393097</v>
      </c>
      <c r="G2773" t="s">
        <v>4135</v>
      </c>
    </row>
    <row r="2774" spans="1:7">
      <c r="A2774" t="s">
        <v>4480</v>
      </c>
      <c r="G2774" t="s">
        <v>4135</v>
      </c>
    </row>
    <row r="2775" spans="1:7">
      <c r="A2775" t="s">
        <v>4772</v>
      </c>
      <c r="G2775" t="s">
        <v>4135</v>
      </c>
    </row>
    <row r="2776" spans="1:7">
      <c r="A2776" t="s">
        <v>4378</v>
      </c>
      <c r="G2776" t="s">
        <v>4135</v>
      </c>
    </row>
    <row r="2777" spans="1:7">
      <c r="A2777" t="s">
        <v>4083</v>
      </c>
      <c r="G2777" t="s">
        <v>4966</v>
      </c>
    </row>
    <row r="2778" spans="1:7">
      <c r="A2778" t="s">
        <v>4820</v>
      </c>
      <c r="G2778" t="s">
        <v>4966</v>
      </c>
    </row>
    <row r="2779" spans="1:7">
      <c r="A2779" t="s">
        <v>4826</v>
      </c>
      <c r="G2779" t="s">
        <v>4966</v>
      </c>
    </row>
    <row r="2780" spans="1:7">
      <c r="A2780" t="s">
        <v>4356</v>
      </c>
      <c r="G2780" t="s">
        <v>4966</v>
      </c>
    </row>
    <row r="2781" spans="1:7">
      <c r="A2781" t="s">
        <v>4331</v>
      </c>
      <c r="G2781" t="s">
        <v>4268</v>
      </c>
    </row>
    <row r="2782" spans="1:7">
      <c r="A2782" t="s">
        <v>4338</v>
      </c>
      <c r="G2782" t="s">
        <v>4268</v>
      </c>
    </row>
    <row r="2783" spans="1:7">
      <c r="A2783" t="s">
        <v>4361</v>
      </c>
      <c r="G2783" t="s">
        <v>4967</v>
      </c>
    </row>
    <row r="2784" spans="1:7">
      <c r="A2784" t="s">
        <v>4684</v>
      </c>
      <c r="G2784" t="s">
        <v>4707</v>
      </c>
    </row>
    <row r="2785" spans="1:7">
      <c r="A2785" t="s">
        <v>4968</v>
      </c>
      <c r="G2785" t="s">
        <v>4707</v>
      </c>
    </row>
    <row r="2786" spans="1:8">
      <c r="A2786" t="s">
        <v>4969</v>
      </c>
      <c r="G2786" t="s">
        <v>4707</v>
      </c>
      <c r="H2786">
        <v>5333097</v>
      </c>
    </row>
    <row r="2787" spans="1:8">
      <c r="A2787" t="s">
        <v>4363</v>
      </c>
      <c r="G2787" t="s">
        <v>4970</v>
      </c>
      <c r="H2787">
        <v>5208097</v>
      </c>
    </row>
    <row r="2788" spans="1:7">
      <c r="A2788" t="s">
        <v>4589</v>
      </c>
      <c r="B2788">
        <v>5392097</v>
      </c>
      <c r="G2788" t="s">
        <v>4970</v>
      </c>
    </row>
    <row r="2789" spans="1:7">
      <c r="A2789" t="s">
        <v>4161</v>
      </c>
      <c r="G2789" t="s">
        <v>4970</v>
      </c>
    </row>
    <row r="2790" spans="1:7">
      <c r="A2790" t="s">
        <v>4948</v>
      </c>
      <c r="G2790" t="s">
        <v>4971</v>
      </c>
    </row>
    <row r="2791" spans="1:7">
      <c r="A2791" t="s">
        <v>4233</v>
      </c>
      <c r="G2791" t="s">
        <v>4971</v>
      </c>
    </row>
    <row r="2792" spans="1:7">
      <c r="A2792" t="s">
        <v>4922</v>
      </c>
      <c r="G2792" t="s">
        <v>4971</v>
      </c>
    </row>
    <row r="2793" spans="1:7">
      <c r="A2793" t="s">
        <v>4234</v>
      </c>
      <c r="G2793" t="s">
        <v>4971</v>
      </c>
    </row>
    <row r="2794" spans="1:7">
      <c r="A2794" t="s">
        <v>4450</v>
      </c>
      <c r="G2794" t="s">
        <v>4971</v>
      </c>
    </row>
    <row r="2795" spans="1:7">
      <c r="A2795" t="s">
        <v>4950</v>
      </c>
      <c r="B2795">
        <v>5378097</v>
      </c>
      <c r="G2795" t="s">
        <v>4595</v>
      </c>
    </row>
    <row r="2796" spans="1:7">
      <c r="A2796" t="s">
        <v>4900</v>
      </c>
      <c r="G2796" t="s">
        <v>4595</v>
      </c>
    </row>
    <row r="2797" spans="1:7">
      <c r="A2797" t="s">
        <v>4171</v>
      </c>
      <c r="G2797" t="s">
        <v>4766</v>
      </c>
    </row>
    <row r="2798" spans="1:7">
      <c r="A2798" t="s">
        <v>4956</v>
      </c>
      <c r="G2798" t="s">
        <v>4766</v>
      </c>
    </row>
    <row r="2799" spans="1:7">
      <c r="A2799" t="s">
        <v>4143</v>
      </c>
      <c r="G2799" t="s">
        <v>4972</v>
      </c>
    </row>
    <row r="2800" spans="1:7">
      <c r="A2800" t="s">
        <v>4734</v>
      </c>
      <c r="G2800" t="s">
        <v>4060</v>
      </c>
    </row>
    <row r="2801" spans="1:7">
      <c r="A2801" t="s">
        <v>4085</v>
      </c>
      <c r="G2801" t="s">
        <v>4059</v>
      </c>
    </row>
    <row r="2802" spans="1:7">
      <c r="A2802" t="s">
        <v>4136</v>
      </c>
      <c r="G2802" t="s">
        <v>4473</v>
      </c>
    </row>
    <row r="2803" spans="1:7">
      <c r="A2803" t="s">
        <v>4549</v>
      </c>
      <c r="G2803" t="s">
        <v>4473</v>
      </c>
    </row>
    <row r="2804" spans="1:7">
      <c r="A2804" t="s">
        <v>4115</v>
      </c>
      <c r="G2804" t="s">
        <v>4473</v>
      </c>
    </row>
    <row r="2805" spans="1:7">
      <c r="A2805" t="s">
        <v>4086</v>
      </c>
      <c r="G2805" t="s">
        <v>4473</v>
      </c>
    </row>
    <row r="2806" spans="1:7">
      <c r="A2806" t="s">
        <v>4420</v>
      </c>
      <c r="G2806" t="s">
        <v>4473</v>
      </c>
    </row>
    <row r="2807" spans="1:7">
      <c r="A2807" t="s">
        <v>4239</v>
      </c>
      <c r="G2807" t="s">
        <v>4682</v>
      </c>
    </row>
    <row r="2808" spans="1:7">
      <c r="A2808" t="s">
        <v>4692</v>
      </c>
      <c r="G2808" t="s">
        <v>4968</v>
      </c>
    </row>
    <row r="2809" spans="1:7">
      <c r="A2809" t="s">
        <v>4925</v>
      </c>
      <c r="G2809" t="s">
        <v>4973</v>
      </c>
    </row>
    <row r="2810" spans="1:7">
      <c r="A2810" t="s">
        <v>4952</v>
      </c>
      <c r="G2810" t="s">
        <v>4269</v>
      </c>
    </row>
    <row r="2811" spans="1:7">
      <c r="A2811" t="s">
        <v>4135</v>
      </c>
      <c r="G2811" t="s">
        <v>4269</v>
      </c>
    </row>
    <row r="2812" spans="1:7">
      <c r="A2812" t="s">
        <v>4953</v>
      </c>
      <c r="G2812" t="s">
        <v>4269</v>
      </c>
    </row>
    <row r="2813" spans="1:7">
      <c r="A2813" t="s">
        <v>4801</v>
      </c>
      <c r="G2813" t="s">
        <v>4269</v>
      </c>
    </row>
    <row r="2814" spans="1:7">
      <c r="A2814" t="s">
        <v>4547</v>
      </c>
      <c r="G2814" t="s">
        <v>4269</v>
      </c>
    </row>
    <row r="2815" spans="1:7">
      <c r="A2815" t="s">
        <v>4756</v>
      </c>
      <c r="G2815" t="s">
        <v>4269</v>
      </c>
    </row>
    <row r="2816" spans="1:7">
      <c r="A2816" t="s">
        <v>4720</v>
      </c>
      <c r="G2816" t="s">
        <v>4269</v>
      </c>
    </row>
    <row r="2817" spans="1:7">
      <c r="A2817" t="s">
        <v>4113</v>
      </c>
      <c r="G2817" t="s">
        <v>4269</v>
      </c>
    </row>
    <row r="2818" spans="1:7">
      <c r="A2818" t="s">
        <v>4974</v>
      </c>
      <c r="G2818" t="s">
        <v>4269</v>
      </c>
    </row>
    <row r="2819" spans="1:7">
      <c r="A2819" t="s">
        <v>4929</v>
      </c>
      <c r="G2819" t="s">
        <v>4942</v>
      </c>
    </row>
    <row r="2820" spans="1:7">
      <c r="A2820" t="s">
        <v>4262</v>
      </c>
      <c r="G2820" t="s">
        <v>4942</v>
      </c>
    </row>
    <row r="2821" spans="1:7">
      <c r="A2821" t="s">
        <v>4810</v>
      </c>
      <c r="G2821" t="s">
        <v>4942</v>
      </c>
    </row>
    <row r="2822" spans="1:7">
      <c r="A2822" t="s">
        <v>4826</v>
      </c>
      <c r="G2822" t="s">
        <v>4975</v>
      </c>
    </row>
    <row r="2823" spans="1:7">
      <c r="A2823" t="s">
        <v>4276</v>
      </c>
      <c r="G2823" t="s">
        <v>4975</v>
      </c>
    </row>
    <row r="2824" spans="1:7">
      <c r="A2824" t="s">
        <v>4055</v>
      </c>
      <c r="G2824" t="s">
        <v>4975</v>
      </c>
    </row>
    <row r="2825" spans="1:7">
      <c r="A2825" t="s">
        <v>4563</v>
      </c>
      <c r="G2825" t="s">
        <v>4975</v>
      </c>
    </row>
    <row r="2826" spans="1:7">
      <c r="A2826" t="s">
        <v>4242</v>
      </c>
      <c r="G2826" t="s">
        <v>4975</v>
      </c>
    </row>
    <row r="2827" spans="1:7">
      <c r="A2827" t="s">
        <v>4393</v>
      </c>
      <c r="G2827" t="s">
        <v>4567</v>
      </c>
    </row>
    <row r="2828" spans="1:7">
      <c r="A2828" t="s">
        <v>4152</v>
      </c>
      <c r="G2828" t="s">
        <v>4567</v>
      </c>
    </row>
    <row r="2829" spans="1:7">
      <c r="A2829" t="s">
        <v>4230</v>
      </c>
      <c r="G2829" t="s">
        <v>4567</v>
      </c>
    </row>
    <row r="2830" spans="1:7">
      <c r="A2830" t="s">
        <v>4570</v>
      </c>
      <c r="G2830" t="s">
        <v>4567</v>
      </c>
    </row>
    <row r="2831" spans="1:8">
      <c r="A2831" t="s">
        <v>4373</v>
      </c>
      <c r="B2831">
        <v>5375097</v>
      </c>
      <c r="G2831" t="s">
        <v>4567</v>
      </c>
      <c r="H2831">
        <v>5405097</v>
      </c>
    </row>
    <row r="2832" spans="1:7">
      <c r="A2832" t="s">
        <v>4122</v>
      </c>
      <c r="G2832" t="s">
        <v>4000</v>
      </c>
    </row>
    <row r="2833" spans="1:7">
      <c r="A2833" t="s">
        <v>4911</v>
      </c>
      <c r="G2833" t="s">
        <v>4328</v>
      </c>
    </row>
    <row r="2834" spans="1:7">
      <c r="A2834" t="s">
        <v>4454</v>
      </c>
      <c r="G2834" t="s">
        <v>4328</v>
      </c>
    </row>
    <row r="2835" spans="1:7">
      <c r="A2835" t="s">
        <v>4820</v>
      </c>
      <c r="G2835" t="s">
        <v>4342</v>
      </c>
    </row>
    <row r="2836" spans="1:7">
      <c r="A2836" t="s">
        <v>4232</v>
      </c>
      <c r="G2836" t="s">
        <v>4342</v>
      </c>
    </row>
    <row r="2837" spans="1:7">
      <c r="A2837" t="s">
        <v>4128</v>
      </c>
      <c r="B2837">
        <v>5386097</v>
      </c>
      <c r="G2837" t="s">
        <v>4342</v>
      </c>
    </row>
    <row r="2838" spans="1:7">
      <c r="A2838" t="s">
        <v>4102</v>
      </c>
      <c r="G2838" t="s">
        <v>4342</v>
      </c>
    </row>
    <row r="2839" spans="1:7">
      <c r="A2839" t="s">
        <v>4570</v>
      </c>
      <c r="G2839" t="s">
        <v>4342</v>
      </c>
    </row>
    <row r="2840" spans="1:7">
      <c r="A2840" t="s">
        <v>4169</v>
      </c>
      <c r="G2840" t="s">
        <v>4342</v>
      </c>
    </row>
    <row r="2841" spans="1:7">
      <c r="A2841" t="s">
        <v>4233</v>
      </c>
      <c r="G2841" t="s">
        <v>4342</v>
      </c>
    </row>
    <row r="2842" spans="1:7">
      <c r="A2842" t="s">
        <v>4915</v>
      </c>
      <c r="G2842" t="s">
        <v>4342</v>
      </c>
    </row>
    <row r="2843" spans="1:7">
      <c r="A2843" t="s">
        <v>4620</v>
      </c>
      <c r="G2843" t="s">
        <v>4342</v>
      </c>
    </row>
    <row r="2844" spans="1:7">
      <c r="A2844" t="s">
        <v>4178</v>
      </c>
      <c r="G2844" t="s">
        <v>4342</v>
      </c>
    </row>
    <row r="2845" spans="1:7">
      <c r="A2845" t="s">
        <v>4122</v>
      </c>
      <c r="G2845" t="s">
        <v>4342</v>
      </c>
    </row>
    <row r="2846" spans="1:7">
      <c r="A2846" t="s">
        <v>4154</v>
      </c>
      <c r="G2846" t="s">
        <v>4342</v>
      </c>
    </row>
    <row r="2847" spans="1:7">
      <c r="A2847" t="s">
        <v>4181</v>
      </c>
      <c r="G2847" t="s">
        <v>4342</v>
      </c>
    </row>
    <row r="2848" spans="1:7">
      <c r="A2848" t="s">
        <v>4756</v>
      </c>
      <c r="G2848" t="s">
        <v>4342</v>
      </c>
    </row>
    <row r="2849" spans="1:7">
      <c r="A2849" t="s">
        <v>4189</v>
      </c>
      <c r="G2849" t="s">
        <v>4342</v>
      </c>
    </row>
    <row r="2850" spans="1:7">
      <c r="A2850" t="s">
        <v>4976</v>
      </c>
      <c r="G2850" t="s">
        <v>4342</v>
      </c>
    </row>
    <row r="2851" spans="1:7">
      <c r="A2851" t="s">
        <v>4085</v>
      </c>
      <c r="G2851" t="s">
        <v>4342</v>
      </c>
    </row>
    <row r="2852" spans="1:8">
      <c r="A2852" t="s">
        <v>4977</v>
      </c>
      <c r="G2852" t="s">
        <v>4342</v>
      </c>
      <c r="H2852">
        <v>4852097</v>
      </c>
    </row>
    <row r="2853" spans="1:7">
      <c r="A2853" t="s">
        <v>4568</v>
      </c>
      <c r="G2853" t="s">
        <v>4342</v>
      </c>
    </row>
    <row r="2854" spans="1:7">
      <c r="A2854" t="s">
        <v>4401</v>
      </c>
      <c r="G2854" t="s">
        <v>4342</v>
      </c>
    </row>
    <row r="2855" spans="1:7">
      <c r="A2855" t="s">
        <v>4828</v>
      </c>
      <c r="G2855" t="s">
        <v>4342</v>
      </c>
    </row>
    <row r="2856" spans="1:7">
      <c r="A2856" t="s">
        <v>4258</v>
      </c>
      <c r="G2856" t="s">
        <v>4342</v>
      </c>
    </row>
    <row r="2857" spans="1:7">
      <c r="A2857" t="s">
        <v>4978</v>
      </c>
      <c r="G2857" t="s">
        <v>4342</v>
      </c>
    </row>
    <row r="2858" spans="1:7">
      <c r="A2858" t="s">
        <v>4286</v>
      </c>
      <c r="G2858" t="s">
        <v>4342</v>
      </c>
    </row>
    <row r="2859" spans="1:7">
      <c r="A2859" t="s">
        <v>4870</v>
      </c>
      <c r="G2859" t="s">
        <v>4342</v>
      </c>
    </row>
    <row r="2860" spans="1:7">
      <c r="A2860" t="s">
        <v>4186</v>
      </c>
      <c r="G2860" t="s">
        <v>4342</v>
      </c>
    </row>
    <row r="2861" spans="1:7">
      <c r="A2861" t="s">
        <v>4588</v>
      </c>
      <c r="G2861" t="s">
        <v>4342</v>
      </c>
    </row>
    <row r="2862" spans="1:7">
      <c r="A2862" t="s">
        <v>4979</v>
      </c>
      <c r="G2862" t="s">
        <v>4342</v>
      </c>
    </row>
    <row r="2863" spans="1:8">
      <c r="A2863" t="s">
        <v>4147</v>
      </c>
      <c r="G2863" t="s">
        <v>4342</v>
      </c>
      <c r="H2863">
        <v>4822097</v>
      </c>
    </row>
    <row r="2864" spans="1:7">
      <c r="A2864" t="s">
        <v>4741</v>
      </c>
      <c r="G2864" t="s">
        <v>4342</v>
      </c>
    </row>
    <row r="2865" spans="1:7">
      <c r="A2865" t="s">
        <v>4732</v>
      </c>
      <c r="G2865" t="s">
        <v>4342</v>
      </c>
    </row>
    <row r="2866" spans="1:8">
      <c r="A2866" t="s">
        <v>4820</v>
      </c>
      <c r="G2866" t="s">
        <v>4342</v>
      </c>
      <c r="H2866">
        <v>4807097</v>
      </c>
    </row>
    <row r="2867" spans="1:7">
      <c r="A2867" t="s">
        <v>4911</v>
      </c>
      <c r="G2867" t="s">
        <v>4342</v>
      </c>
    </row>
    <row r="2868" spans="1:7">
      <c r="A2868" t="s">
        <v>4141</v>
      </c>
      <c r="G2868" t="s">
        <v>4342</v>
      </c>
    </row>
    <row r="2869" spans="1:7">
      <c r="A2869" t="s">
        <v>4980</v>
      </c>
      <c r="G2869" t="s">
        <v>4342</v>
      </c>
    </row>
    <row r="2870" spans="1:7">
      <c r="A2870" t="s">
        <v>4589</v>
      </c>
      <c r="G2870" t="s">
        <v>4342</v>
      </c>
    </row>
    <row r="2871" spans="1:7">
      <c r="A2871" t="s">
        <v>4606</v>
      </c>
      <c r="G2871" t="s">
        <v>4342</v>
      </c>
    </row>
    <row r="2872" spans="1:7">
      <c r="A2872" t="s">
        <v>4803</v>
      </c>
      <c r="G2872" t="s">
        <v>4342</v>
      </c>
    </row>
    <row r="2873" spans="1:7">
      <c r="A2873" t="s">
        <v>4084</v>
      </c>
      <c r="G2873" t="s">
        <v>4342</v>
      </c>
    </row>
    <row r="2874" spans="1:7">
      <c r="A2874" t="s">
        <v>4115</v>
      </c>
      <c r="G2874" t="s">
        <v>4342</v>
      </c>
    </row>
    <row r="2875" spans="1:7">
      <c r="A2875" t="s">
        <v>4666</v>
      </c>
      <c r="G2875" t="s">
        <v>4342</v>
      </c>
    </row>
    <row r="2876" spans="1:7">
      <c r="A2876" t="s">
        <v>4091</v>
      </c>
      <c r="G2876" t="s">
        <v>4342</v>
      </c>
    </row>
    <row r="2877" spans="1:7">
      <c r="A2877" t="s">
        <v>4211</v>
      </c>
      <c r="G2877" t="s">
        <v>4342</v>
      </c>
    </row>
    <row r="2878" spans="1:7">
      <c r="A2878" t="s">
        <v>4981</v>
      </c>
      <c r="G2878" t="s">
        <v>4342</v>
      </c>
    </row>
    <row r="2879" spans="1:7">
      <c r="A2879" t="s">
        <v>4562</v>
      </c>
      <c r="G2879" t="s">
        <v>4342</v>
      </c>
    </row>
    <row r="2880" spans="1:7">
      <c r="A2880" t="s">
        <v>4437</v>
      </c>
      <c r="G2880" t="s">
        <v>4946</v>
      </c>
    </row>
    <row r="2881" spans="1:7">
      <c r="A2881" t="s">
        <v>4397</v>
      </c>
      <c r="G2881" t="s">
        <v>4748</v>
      </c>
    </row>
    <row r="2882" spans="1:7">
      <c r="A2882" t="s">
        <v>4163</v>
      </c>
      <c r="G2882" t="s">
        <v>4126</v>
      </c>
    </row>
    <row r="2883" spans="1:7">
      <c r="A2883" t="s">
        <v>4170</v>
      </c>
      <c r="G2883" t="s">
        <v>4126</v>
      </c>
    </row>
    <row r="2884" spans="1:7">
      <c r="A2884" t="s">
        <v>4009</v>
      </c>
      <c r="G2884" t="s">
        <v>4126</v>
      </c>
    </row>
    <row r="2885" spans="1:7">
      <c r="A2885" t="s">
        <v>4930</v>
      </c>
      <c r="G2885" t="s">
        <v>4126</v>
      </c>
    </row>
    <row r="2886" spans="1:7">
      <c r="A2886" t="s">
        <v>4474</v>
      </c>
      <c r="G2886" t="s">
        <v>4126</v>
      </c>
    </row>
    <row r="2887" spans="1:7">
      <c r="A2887" t="s">
        <v>4450</v>
      </c>
      <c r="G2887" t="s">
        <v>4126</v>
      </c>
    </row>
    <row r="2888" spans="1:8">
      <c r="A2888" t="s">
        <v>4136</v>
      </c>
      <c r="G2888" t="s">
        <v>4126</v>
      </c>
      <c r="H2888">
        <v>5473097</v>
      </c>
    </row>
    <row r="2889" spans="1:7">
      <c r="A2889" t="s">
        <v>4949</v>
      </c>
      <c r="G2889" t="s">
        <v>4126</v>
      </c>
    </row>
    <row r="2890" spans="1:7">
      <c r="A2890" t="s">
        <v>4527</v>
      </c>
      <c r="G2890" t="s">
        <v>4126</v>
      </c>
    </row>
    <row r="2891" spans="1:8">
      <c r="A2891" t="s">
        <v>4982</v>
      </c>
      <c r="G2891" t="s">
        <v>4126</v>
      </c>
      <c r="H2891">
        <v>5456097</v>
      </c>
    </row>
    <row r="2892" spans="1:7">
      <c r="A2892" t="s">
        <v>4735</v>
      </c>
      <c r="G2892" t="s">
        <v>4126</v>
      </c>
    </row>
    <row r="2893" spans="1:7">
      <c r="A2893" t="s">
        <v>4625</v>
      </c>
      <c r="G2893" t="s">
        <v>4126</v>
      </c>
    </row>
    <row r="2894" spans="1:7">
      <c r="A2894" t="s">
        <v>4190</v>
      </c>
      <c r="G2894" t="s">
        <v>4126</v>
      </c>
    </row>
    <row r="2895" spans="1:7">
      <c r="A2895" t="s">
        <v>4234</v>
      </c>
      <c r="G2895" t="s">
        <v>4126</v>
      </c>
    </row>
    <row r="2896" spans="1:7">
      <c r="A2896" t="s">
        <v>4092</v>
      </c>
      <c r="G2896" t="s">
        <v>4126</v>
      </c>
    </row>
    <row r="2897" spans="1:7">
      <c r="A2897" t="s">
        <v>4143</v>
      </c>
      <c r="G2897" t="s">
        <v>4126</v>
      </c>
    </row>
    <row r="2898" spans="1:7">
      <c r="A2898" t="s">
        <v>4135</v>
      </c>
      <c r="G2898" t="s">
        <v>4126</v>
      </c>
    </row>
    <row r="2899" spans="1:7">
      <c r="A2899" t="s">
        <v>4481</v>
      </c>
      <c r="B2899">
        <v>5385097</v>
      </c>
      <c r="G2899" t="s">
        <v>4126</v>
      </c>
    </row>
    <row r="2900" spans="1:7">
      <c r="A2900" t="s">
        <v>4319</v>
      </c>
      <c r="G2900" t="s">
        <v>4126</v>
      </c>
    </row>
    <row r="2901" spans="1:7">
      <c r="A2901" t="s">
        <v>4083</v>
      </c>
      <c r="G2901" t="s">
        <v>4126</v>
      </c>
    </row>
    <row r="2902" spans="1:8">
      <c r="A2902" t="s">
        <v>4983</v>
      </c>
      <c r="G2902" t="s">
        <v>4126</v>
      </c>
      <c r="H2902">
        <v>5176097</v>
      </c>
    </row>
    <row r="2903" spans="1:7">
      <c r="A2903" t="s">
        <v>4290</v>
      </c>
      <c r="G2903" t="s">
        <v>4126</v>
      </c>
    </row>
    <row r="2904" spans="1:7">
      <c r="A2904" t="s">
        <v>4815</v>
      </c>
      <c r="G2904" t="s">
        <v>4126</v>
      </c>
    </row>
    <row r="2905" spans="1:7">
      <c r="A2905" t="s">
        <v>4480</v>
      </c>
      <c r="G2905" t="s">
        <v>4126</v>
      </c>
    </row>
    <row r="2906" spans="1:7">
      <c r="A2906" t="s">
        <v>4821</v>
      </c>
      <c r="G2906" t="s">
        <v>4126</v>
      </c>
    </row>
    <row r="2907" spans="1:7">
      <c r="A2907" t="s">
        <v>4358</v>
      </c>
      <c r="G2907" t="s">
        <v>4126</v>
      </c>
    </row>
    <row r="2908" spans="1:7">
      <c r="A2908" t="s">
        <v>4336</v>
      </c>
      <c r="G2908" t="s">
        <v>4126</v>
      </c>
    </row>
    <row r="2909" spans="1:7">
      <c r="A2909" t="s">
        <v>4356</v>
      </c>
      <c r="G2909" t="s">
        <v>4126</v>
      </c>
    </row>
    <row r="2910" spans="1:7">
      <c r="A2910" t="s">
        <v>4347</v>
      </c>
      <c r="G2910" t="s">
        <v>4126</v>
      </c>
    </row>
    <row r="2911" spans="1:7">
      <c r="A2911" t="s">
        <v>4961</v>
      </c>
      <c r="G2911" t="s">
        <v>4126</v>
      </c>
    </row>
    <row r="2912" spans="1:7">
      <c r="A2912" t="s">
        <v>4820</v>
      </c>
      <c r="G2912" t="s">
        <v>4126</v>
      </c>
    </row>
    <row r="2913" spans="1:7">
      <c r="A2913" t="s">
        <v>4349</v>
      </c>
      <c r="G2913" t="s">
        <v>4126</v>
      </c>
    </row>
    <row r="2914" spans="1:7">
      <c r="A2914" t="s">
        <v>4984</v>
      </c>
      <c r="G2914" t="s">
        <v>4370</v>
      </c>
    </row>
    <row r="2915" spans="1:7">
      <c r="A2915" t="s">
        <v>4355</v>
      </c>
      <c r="G2915" t="s">
        <v>4370</v>
      </c>
    </row>
    <row r="2916" spans="1:7">
      <c r="A2916" t="s">
        <v>4826</v>
      </c>
      <c r="G2916" t="s">
        <v>4370</v>
      </c>
    </row>
    <row r="2917" spans="1:8">
      <c r="A2917" t="s">
        <v>4338</v>
      </c>
      <c r="B2917">
        <v>5353097</v>
      </c>
      <c r="G2917" t="s">
        <v>4370</v>
      </c>
      <c r="H2917">
        <v>5487097</v>
      </c>
    </row>
    <row r="2918" spans="1:7">
      <c r="A2918" t="s">
        <v>4772</v>
      </c>
      <c r="G2918" t="s">
        <v>4370</v>
      </c>
    </row>
    <row r="2919" spans="1:7">
      <c r="A2919" t="s">
        <v>4899</v>
      </c>
      <c r="G2919" t="s">
        <v>4370</v>
      </c>
    </row>
    <row r="2920" spans="1:7">
      <c r="A2920" t="s">
        <v>4363</v>
      </c>
      <c r="G2920" t="s">
        <v>4370</v>
      </c>
    </row>
    <row r="2921" spans="1:7">
      <c r="A2921" t="s">
        <v>4985</v>
      </c>
      <c r="G2921" t="s">
        <v>4370</v>
      </c>
    </row>
    <row r="2922" spans="1:7">
      <c r="A2922" t="s">
        <v>4331</v>
      </c>
      <c r="G2922" t="s">
        <v>4370</v>
      </c>
    </row>
    <row r="2923" spans="1:7">
      <c r="A2923" t="s">
        <v>4364</v>
      </c>
      <c r="B2923">
        <v>5351097</v>
      </c>
      <c r="G2923" t="s">
        <v>4370</v>
      </c>
    </row>
    <row r="2924" spans="1:7">
      <c r="A2924" t="s">
        <v>4354</v>
      </c>
      <c r="G2924" t="s">
        <v>4370</v>
      </c>
    </row>
    <row r="2925" spans="1:7">
      <c r="A2925" t="s">
        <v>4454</v>
      </c>
      <c r="B2925">
        <v>5378097</v>
      </c>
      <c r="G2925" t="s">
        <v>4370</v>
      </c>
    </row>
    <row r="2926" spans="1:7">
      <c r="A2926" t="s">
        <v>4633</v>
      </c>
      <c r="G2926" t="s">
        <v>4370</v>
      </c>
    </row>
    <row r="2927" spans="1:7">
      <c r="A2927" t="s">
        <v>4705</v>
      </c>
      <c r="G2927" t="s">
        <v>4370</v>
      </c>
    </row>
    <row r="2928" spans="1:7">
      <c r="A2928" t="s">
        <v>4232</v>
      </c>
      <c r="G2928" t="s">
        <v>4370</v>
      </c>
    </row>
    <row r="2929" spans="1:7">
      <c r="A2929" t="s">
        <v>4052</v>
      </c>
      <c r="G2929" t="s">
        <v>4370</v>
      </c>
    </row>
    <row r="2930" spans="1:7">
      <c r="A2930" t="s">
        <v>4055</v>
      </c>
      <c r="G2930" t="s">
        <v>4986</v>
      </c>
    </row>
    <row r="2931" spans="1:8">
      <c r="A2931" t="s">
        <v>4659</v>
      </c>
      <c r="G2931" t="s">
        <v>4524</v>
      </c>
      <c r="H2931">
        <v>5496097</v>
      </c>
    </row>
    <row r="2932" spans="1:7">
      <c r="A2932" t="s">
        <v>4122</v>
      </c>
      <c r="B2932">
        <v>5347097</v>
      </c>
      <c r="G2932" t="s">
        <v>4524</v>
      </c>
    </row>
    <row r="2933" spans="1:7">
      <c r="A2933" t="s">
        <v>4548</v>
      </c>
      <c r="G2933" t="s">
        <v>4524</v>
      </c>
    </row>
    <row r="2934" spans="1:7">
      <c r="A2934" t="s">
        <v>4170</v>
      </c>
      <c r="G2934" t="s">
        <v>4524</v>
      </c>
    </row>
    <row r="2935" spans="1:8">
      <c r="A2935" t="s">
        <v>4136</v>
      </c>
      <c r="G2935" t="s">
        <v>4524</v>
      </c>
      <c r="H2935">
        <v>5492097</v>
      </c>
    </row>
    <row r="2936" spans="1:7">
      <c r="A2936" t="s">
        <v>4171</v>
      </c>
      <c r="G2936" t="s">
        <v>4524</v>
      </c>
    </row>
    <row r="2937" spans="1:7">
      <c r="A2937" t="s">
        <v>4703</v>
      </c>
      <c r="G2937" t="s">
        <v>4524</v>
      </c>
    </row>
    <row r="2938" spans="1:7">
      <c r="A2938" t="s">
        <v>4685</v>
      </c>
      <c r="G2938" t="s">
        <v>4524</v>
      </c>
    </row>
    <row r="2939" spans="1:7">
      <c r="A2939" t="s">
        <v>4126</v>
      </c>
      <c r="G2939" t="s">
        <v>4524</v>
      </c>
    </row>
    <row r="2940" spans="1:7">
      <c r="A2940" t="s">
        <v>4571</v>
      </c>
      <c r="G2940" t="s">
        <v>4524</v>
      </c>
    </row>
    <row r="2941" spans="1:7">
      <c r="A2941" t="s">
        <v>4073</v>
      </c>
      <c r="G2941" t="s">
        <v>4524</v>
      </c>
    </row>
    <row r="2942" spans="1:7">
      <c r="A2942" t="s">
        <v>4940</v>
      </c>
      <c r="G2942" t="s">
        <v>4524</v>
      </c>
    </row>
    <row r="2943" spans="1:7">
      <c r="A2943" t="s">
        <v>4689</v>
      </c>
      <c r="G2943" t="s">
        <v>4524</v>
      </c>
    </row>
    <row r="2944" spans="1:7">
      <c r="A2944" t="s">
        <v>4091</v>
      </c>
      <c r="G2944" t="s">
        <v>4524</v>
      </c>
    </row>
    <row r="2945" spans="1:7">
      <c r="A2945" t="s">
        <v>4189</v>
      </c>
      <c r="G2945" t="s">
        <v>4524</v>
      </c>
    </row>
    <row r="2946" spans="1:7">
      <c r="A2946" t="s">
        <v>4764</v>
      </c>
      <c r="G2946" t="s">
        <v>4524</v>
      </c>
    </row>
    <row r="2947" spans="1:7">
      <c r="A2947" t="s">
        <v>4769</v>
      </c>
      <c r="G2947" t="s">
        <v>4291</v>
      </c>
    </row>
    <row r="2948" spans="1:7">
      <c r="A2948" t="s">
        <v>4085</v>
      </c>
      <c r="G2948" t="s">
        <v>4291</v>
      </c>
    </row>
    <row r="2949" spans="1:7">
      <c r="A2949" t="s">
        <v>4135</v>
      </c>
      <c r="G2949" t="s">
        <v>4291</v>
      </c>
    </row>
    <row r="2950" spans="1:7">
      <c r="A2950" t="s">
        <v>4718</v>
      </c>
      <c r="G2950" t="s">
        <v>4291</v>
      </c>
    </row>
    <row r="2951" spans="1:7">
      <c r="A2951" t="s">
        <v>4798</v>
      </c>
      <c r="G2951" t="s">
        <v>4291</v>
      </c>
    </row>
    <row r="2952" spans="1:7">
      <c r="A2952" t="s">
        <v>4987</v>
      </c>
      <c r="G2952" t="s">
        <v>4291</v>
      </c>
    </row>
    <row r="2953" spans="1:7">
      <c r="A2953" t="s">
        <v>4609</v>
      </c>
      <c r="G2953" t="s">
        <v>4291</v>
      </c>
    </row>
    <row r="2954" spans="1:7">
      <c r="A2954" t="s">
        <v>4162</v>
      </c>
      <c r="G2954" t="s">
        <v>4291</v>
      </c>
    </row>
    <row r="2955" spans="1:7">
      <c r="A2955" t="s">
        <v>4988</v>
      </c>
      <c r="G2955" t="s">
        <v>4291</v>
      </c>
    </row>
    <row r="2956" spans="1:7">
      <c r="A2956" t="s">
        <v>4115</v>
      </c>
      <c r="G2956" t="s">
        <v>4291</v>
      </c>
    </row>
    <row r="2957" spans="1:8">
      <c r="A2957" t="s">
        <v>4095</v>
      </c>
      <c r="G2957" t="s">
        <v>4291</v>
      </c>
      <c r="H2957">
        <v>4942097</v>
      </c>
    </row>
    <row r="2958" spans="1:7">
      <c r="A2958" t="s">
        <v>4913</v>
      </c>
      <c r="G2958" t="s">
        <v>4291</v>
      </c>
    </row>
    <row r="2959" spans="1:7">
      <c r="A2959" t="s">
        <v>4211</v>
      </c>
      <c r="G2959" t="s">
        <v>4291</v>
      </c>
    </row>
    <row r="2960" spans="1:7">
      <c r="A2960" t="s">
        <v>4478</v>
      </c>
      <c r="G2960" t="s">
        <v>4291</v>
      </c>
    </row>
    <row r="2961" spans="1:7">
      <c r="A2961" t="s">
        <v>4809</v>
      </c>
      <c r="B2961">
        <v>5375097</v>
      </c>
      <c r="G2961" t="s">
        <v>4291</v>
      </c>
    </row>
    <row r="2962" spans="1:7">
      <c r="A2962" t="s">
        <v>4989</v>
      </c>
      <c r="G2962" t="s">
        <v>4291</v>
      </c>
    </row>
    <row r="2963" spans="1:7">
      <c r="A2963" t="s">
        <v>4719</v>
      </c>
      <c r="G2963" t="s">
        <v>4291</v>
      </c>
    </row>
    <row r="2964" spans="1:7">
      <c r="A2964" t="s">
        <v>3983</v>
      </c>
      <c r="G2964" t="s">
        <v>4291</v>
      </c>
    </row>
    <row r="2965" spans="1:7">
      <c r="A2965" t="s">
        <v>4990</v>
      </c>
      <c r="G2965" t="s">
        <v>4291</v>
      </c>
    </row>
    <row r="2966" spans="1:7">
      <c r="A2966" t="s">
        <v>4190</v>
      </c>
      <c r="G2966" t="s">
        <v>4291</v>
      </c>
    </row>
    <row r="2967" spans="1:7">
      <c r="A2967" t="s">
        <v>4669</v>
      </c>
      <c r="G2967" t="s">
        <v>4021</v>
      </c>
    </row>
    <row r="2968" spans="1:7">
      <c r="A2968" t="s">
        <v>4091</v>
      </c>
      <c r="G2968" t="s">
        <v>4991</v>
      </c>
    </row>
    <row r="2969" spans="1:7">
      <c r="A2969" t="s">
        <v>4893</v>
      </c>
      <c r="G2969" t="s">
        <v>4992</v>
      </c>
    </row>
    <row r="2970" spans="1:7">
      <c r="A2970" t="s">
        <v>4364</v>
      </c>
      <c r="G2970" t="s">
        <v>4031</v>
      </c>
    </row>
    <row r="2971" spans="1:7">
      <c r="A2971" t="s">
        <v>4993</v>
      </c>
      <c r="G2971" t="s">
        <v>4031</v>
      </c>
    </row>
    <row r="2972" spans="1:7">
      <c r="A2972" t="s">
        <v>4778</v>
      </c>
      <c r="G2972" t="s">
        <v>4031</v>
      </c>
    </row>
    <row r="2973" spans="1:7">
      <c r="A2973" t="s">
        <v>4826</v>
      </c>
      <c r="G2973" t="s">
        <v>4031</v>
      </c>
    </row>
    <row r="2974" spans="1:7">
      <c r="A2974" t="s">
        <v>4994</v>
      </c>
      <c r="G2974" t="s">
        <v>4995</v>
      </c>
    </row>
    <row r="2975" spans="1:7">
      <c r="A2975" t="s">
        <v>4820</v>
      </c>
      <c r="B2975">
        <v>5346097</v>
      </c>
      <c r="G2975" t="s">
        <v>4996</v>
      </c>
    </row>
    <row r="2976" spans="1:7">
      <c r="A2976" t="s">
        <v>4135</v>
      </c>
      <c r="G2976" t="s">
        <v>4996</v>
      </c>
    </row>
    <row r="2977" spans="1:7">
      <c r="A2977" t="s">
        <v>4233</v>
      </c>
      <c r="G2977" t="s">
        <v>4996</v>
      </c>
    </row>
    <row r="2978" spans="1:7">
      <c r="A2978" t="s">
        <v>4997</v>
      </c>
      <c r="G2978" t="s">
        <v>4996</v>
      </c>
    </row>
    <row r="2979" spans="1:7">
      <c r="A2979" t="s">
        <v>4437</v>
      </c>
      <c r="G2979" t="s">
        <v>4996</v>
      </c>
    </row>
    <row r="2980" spans="1:7">
      <c r="A2980" t="s">
        <v>4881</v>
      </c>
      <c r="G2980" t="s">
        <v>4996</v>
      </c>
    </row>
    <row r="2981" spans="1:7">
      <c r="A2981" t="s">
        <v>4998</v>
      </c>
      <c r="G2981" t="s">
        <v>4996</v>
      </c>
    </row>
    <row r="2982" spans="1:7">
      <c r="A2982" t="s">
        <v>4921</v>
      </c>
      <c r="G2982" t="s">
        <v>4996</v>
      </c>
    </row>
    <row r="2983" spans="1:7">
      <c r="A2983" t="s">
        <v>4999</v>
      </c>
      <c r="G2983" t="s">
        <v>4996</v>
      </c>
    </row>
    <row r="2984" spans="1:7">
      <c r="A2984" t="s">
        <v>4165</v>
      </c>
      <c r="G2984" t="s">
        <v>4996</v>
      </c>
    </row>
    <row r="2985" spans="1:7">
      <c r="A2985" t="s">
        <v>4652</v>
      </c>
      <c r="G2985" t="s">
        <v>4996</v>
      </c>
    </row>
    <row r="2986" spans="1:7">
      <c r="A2986" t="s">
        <v>4052</v>
      </c>
      <c r="G2986" t="s">
        <v>4996</v>
      </c>
    </row>
    <row r="2987" spans="1:7">
      <c r="A2987" t="s">
        <v>4625</v>
      </c>
      <c r="G2987" t="s">
        <v>5000</v>
      </c>
    </row>
    <row r="2988" spans="1:7">
      <c r="A2988" t="s">
        <v>4610</v>
      </c>
      <c r="G2988" t="s">
        <v>4950</v>
      </c>
    </row>
    <row r="2989" spans="1:8">
      <c r="A2989" t="s">
        <v>4764</v>
      </c>
      <c r="G2989" t="s">
        <v>4950</v>
      </c>
      <c r="H2989">
        <v>5378097</v>
      </c>
    </row>
    <row r="2990" spans="1:7">
      <c r="A2990" t="s">
        <v>4156</v>
      </c>
      <c r="G2990" t="s">
        <v>4950</v>
      </c>
    </row>
    <row r="2991" spans="1:7">
      <c r="A2991" t="s">
        <v>4062</v>
      </c>
      <c r="G2991" t="s">
        <v>4951</v>
      </c>
    </row>
    <row r="2992" spans="1:7">
      <c r="A2992" t="s">
        <v>5001</v>
      </c>
      <c r="G2992" t="s">
        <v>4951</v>
      </c>
    </row>
    <row r="2993" spans="1:7">
      <c r="A2993" t="s">
        <v>4084</v>
      </c>
      <c r="G2993" t="s">
        <v>4951</v>
      </c>
    </row>
    <row r="2994" spans="1:7">
      <c r="A2994" t="s">
        <v>4979</v>
      </c>
      <c r="G2994" t="s">
        <v>5002</v>
      </c>
    </row>
    <row r="2995" spans="1:8">
      <c r="A2995" t="s">
        <v>4745</v>
      </c>
      <c r="G2995" t="s">
        <v>5002</v>
      </c>
      <c r="H2995">
        <v>5107097</v>
      </c>
    </row>
    <row r="2996" spans="1:8">
      <c r="A2996" t="s">
        <v>5003</v>
      </c>
      <c r="G2996" t="s">
        <v>5002</v>
      </c>
      <c r="H2996">
        <v>5063097</v>
      </c>
    </row>
    <row r="2997" spans="1:7">
      <c r="A2997" t="s">
        <v>4102</v>
      </c>
      <c r="G2997" t="s">
        <v>5002</v>
      </c>
    </row>
    <row r="2998" spans="1:8">
      <c r="A2998" t="s">
        <v>4666</v>
      </c>
      <c r="G2998" t="s">
        <v>5002</v>
      </c>
      <c r="H2998">
        <v>5023097</v>
      </c>
    </row>
    <row r="2999" spans="1:7">
      <c r="A2999" t="s">
        <v>4525</v>
      </c>
      <c r="G2999" t="s">
        <v>5002</v>
      </c>
    </row>
    <row r="3000" spans="1:8">
      <c r="A3000" t="s">
        <v>4450</v>
      </c>
      <c r="G3000" t="s">
        <v>5002</v>
      </c>
      <c r="H3000">
        <v>4745097</v>
      </c>
    </row>
    <row r="3001" spans="1:8">
      <c r="A3001" t="s">
        <v>4092</v>
      </c>
      <c r="G3001" t="s">
        <v>5002</v>
      </c>
      <c r="H3001">
        <v>4722097</v>
      </c>
    </row>
    <row r="3002" spans="1:7">
      <c r="A3002" t="s">
        <v>4978</v>
      </c>
      <c r="G3002" t="s">
        <v>5002</v>
      </c>
    </row>
    <row r="3003" spans="1:7">
      <c r="A3003" t="s">
        <v>4136</v>
      </c>
      <c r="G3003" t="s">
        <v>5004</v>
      </c>
    </row>
    <row r="3004" spans="1:7">
      <c r="A3004" t="s">
        <v>4922</v>
      </c>
      <c r="G3004" t="s">
        <v>5004</v>
      </c>
    </row>
    <row r="3005" spans="1:7">
      <c r="A3005" t="s">
        <v>5005</v>
      </c>
      <c r="G3005" t="s">
        <v>5004</v>
      </c>
    </row>
    <row r="3006" spans="1:7">
      <c r="A3006" t="s">
        <v>4211</v>
      </c>
      <c r="G3006" t="s">
        <v>5004</v>
      </c>
    </row>
    <row r="3007" spans="1:7">
      <c r="A3007" t="s">
        <v>4900</v>
      </c>
      <c r="G3007" t="s">
        <v>5004</v>
      </c>
    </row>
    <row r="3008" spans="1:8">
      <c r="A3008" t="s">
        <v>5006</v>
      </c>
      <c r="G3008" t="s">
        <v>5004</v>
      </c>
      <c r="H3008">
        <v>4930097</v>
      </c>
    </row>
    <row r="3009" spans="1:7">
      <c r="A3009" t="s">
        <v>4291</v>
      </c>
      <c r="G3009" t="s">
        <v>5004</v>
      </c>
    </row>
    <row r="3010" spans="1:7">
      <c r="A3010" t="s">
        <v>5007</v>
      </c>
      <c r="G3010" t="s">
        <v>5004</v>
      </c>
    </row>
    <row r="3011" spans="1:7">
      <c r="A3011" t="s">
        <v>4980</v>
      </c>
      <c r="G3011" t="s">
        <v>5004</v>
      </c>
    </row>
    <row r="3012" spans="1:7">
      <c r="A3012" t="s">
        <v>4870</v>
      </c>
      <c r="G3012" t="s">
        <v>4785</v>
      </c>
    </row>
    <row r="3013" spans="1:7">
      <c r="A3013" t="s">
        <v>5008</v>
      </c>
      <c r="G3013" t="s">
        <v>4785</v>
      </c>
    </row>
    <row r="3014" spans="1:7">
      <c r="A3014" t="s">
        <v>5009</v>
      </c>
      <c r="G3014" t="s">
        <v>4785</v>
      </c>
    </row>
    <row r="3015" spans="1:7">
      <c r="A3015" t="s">
        <v>4147</v>
      </c>
      <c r="G3015" t="s">
        <v>4047</v>
      </c>
    </row>
    <row r="3016" spans="1:7">
      <c r="A3016" t="s">
        <v>4563</v>
      </c>
      <c r="G3016" t="s">
        <v>4047</v>
      </c>
    </row>
    <row r="3017" spans="1:8">
      <c r="A3017" t="s">
        <v>5010</v>
      </c>
      <c r="G3017" t="s">
        <v>5011</v>
      </c>
      <c r="H3017">
        <v>5269097</v>
      </c>
    </row>
    <row r="3018" spans="1:8">
      <c r="A3018" t="s">
        <v>4956</v>
      </c>
      <c r="G3018" t="s">
        <v>5011</v>
      </c>
      <c r="H3018">
        <v>5098097</v>
      </c>
    </row>
    <row r="3019" spans="1:7">
      <c r="A3019" t="s">
        <v>4176</v>
      </c>
      <c r="G3019" t="s">
        <v>4057</v>
      </c>
    </row>
    <row r="3020" spans="1:7">
      <c r="A3020" t="s">
        <v>4418</v>
      </c>
      <c r="G3020" t="s">
        <v>4057</v>
      </c>
    </row>
    <row r="3021" spans="1:7">
      <c r="A3021" t="s">
        <v>5012</v>
      </c>
      <c r="G3021" t="s">
        <v>4167</v>
      </c>
    </row>
    <row r="3022" spans="1:7">
      <c r="A3022" t="s">
        <v>4079</v>
      </c>
      <c r="G3022" t="s">
        <v>4167</v>
      </c>
    </row>
    <row r="3023" spans="1:7">
      <c r="A3023" t="s">
        <v>4131</v>
      </c>
      <c r="G3023" t="s">
        <v>4167</v>
      </c>
    </row>
    <row r="3024" spans="1:7">
      <c r="A3024" t="s">
        <v>4568</v>
      </c>
      <c r="G3024" t="s">
        <v>4167</v>
      </c>
    </row>
    <row r="3025" spans="1:7">
      <c r="A3025" t="s">
        <v>5013</v>
      </c>
      <c r="G3025" t="s">
        <v>4167</v>
      </c>
    </row>
    <row r="3026" spans="1:7">
      <c r="A3026" t="s">
        <v>4085</v>
      </c>
      <c r="G3026" t="s">
        <v>4167</v>
      </c>
    </row>
    <row r="3027" spans="1:7">
      <c r="A3027" t="s">
        <v>5014</v>
      </c>
      <c r="G3027" t="s">
        <v>4167</v>
      </c>
    </row>
    <row r="3028" spans="1:7">
      <c r="A3028" t="s">
        <v>4697</v>
      </c>
      <c r="G3028" t="s">
        <v>4167</v>
      </c>
    </row>
    <row r="3029" spans="1:8">
      <c r="A3029" t="s">
        <v>4157</v>
      </c>
      <c r="G3029" t="s">
        <v>4167</v>
      </c>
      <c r="H3029">
        <v>4835097</v>
      </c>
    </row>
    <row r="3030" spans="1:7">
      <c r="A3030" t="s">
        <v>4570</v>
      </c>
      <c r="G3030" t="s">
        <v>4167</v>
      </c>
    </row>
    <row r="3031" spans="1:7">
      <c r="A3031" t="s">
        <v>4623</v>
      </c>
      <c r="G3031" t="s">
        <v>4983</v>
      </c>
    </row>
    <row r="3032" spans="1:7">
      <c r="A3032" t="s">
        <v>5015</v>
      </c>
      <c r="G3032" t="s">
        <v>5016</v>
      </c>
    </row>
    <row r="3033" spans="1:7">
      <c r="A3033" t="s">
        <v>4143</v>
      </c>
      <c r="G3033" t="s">
        <v>4863</v>
      </c>
    </row>
    <row r="3034" spans="1:7">
      <c r="A3034" t="s">
        <v>4170</v>
      </c>
      <c r="G3034" t="s">
        <v>4863</v>
      </c>
    </row>
    <row r="3035" spans="1:7">
      <c r="A3035" t="s">
        <v>4627</v>
      </c>
      <c r="G3035" t="s">
        <v>4215</v>
      </c>
    </row>
    <row r="3036" spans="1:7">
      <c r="A3036" t="s">
        <v>4659</v>
      </c>
      <c r="G3036" t="s">
        <v>4215</v>
      </c>
    </row>
    <row r="3037" spans="1:7">
      <c r="A3037" t="s">
        <v>4824</v>
      </c>
      <c r="G3037" t="s">
        <v>4215</v>
      </c>
    </row>
    <row r="3038" spans="1:7">
      <c r="A3038" t="s">
        <v>4731</v>
      </c>
      <c r="G3038" t="s">
        <v>4215</v>
      </c>
    </row>
    <row r="3039" spans="1:8">
      <c r="A3039" t="s">
        <v>4009</v>
      </c>
      <c r="G3039" t="s">
        <v>4215</v>
      </c>
      <c r="H3039">
        <v>5523097</v>
      </c>
    </row>
    <row r="3040" spans="1:7">
      <c r="A3040" t="s">
        <v>5017</v>
      </c>
      <c r="G3040" t="s">
        <v>4215</v>
      </c>
    </row>
    <row r="3041" spans="1:7">
      <c r="A3041" t="s">
        <v>5018</v>
      </c>
      <c r="G3041" t="s">
        <v>4215</v>
      </c>
    </row>
    <row r="3042" spans="1:7">
      <c r="A3042" t="s">
        <v>4088</v>
      </c>
      <c r="G3042" t="s">
        <v>4215</v>
      </c>
    </row>
    <row r="3043" spans="1:8">
      <c r="A3043" t="s">
        <v>5019</v>
      </c>
      <c r="G3043" t="s">
        <v>4215</v>
      </c>
      <c r="H3043">
        <v>5512097</v>
      </c>
    </row>
    <row r="3044" spans="1:7">
      <c r="A3044" t="s">
        <v>4565</v>
      </c>
      <c r="G3044" t="s">
        <v>4215</v>
      </c>
    </row>
    <row r="3045" spans="1:7">
      <c r="A3045" t="s">
        <v>4720</v>
      </c>
      <c r="G3045" t="s">
        <v>4215</v>
      </c>
    </row>
    <row r="3046" spans="1:7">
      <c r="A3046" t="s">
        <v>4132</v>
      </c>
      <c r="G3046" t="s">
        <v>4215</v>
      </c>
    </row>
    <row r="3047" spans="1:7">
      <c r="A3047" t="s">
        <v>5020</v>
      </c>
      <c r="B3047">
        <v>5353097</v>
      </c>
      <c r="G3047" t="s">
        <v>4215</v>
      </c>
    </row>
    <row r="3048" spans="1:7">
      <c r="A3048" t="s">
        <v>4884</v>
      </c>
      <c r="G3048" t="s">
        <v>4215</v>
      </c>
    </row>
    <row r="3049" spans="1:7">
      <c r="A3049" t="s">
        <v>5021</v>
      </c>
      <c r="G3049" t="s">
        <v>4215</v>
      </c>
    </row>
    <row r="3050" spans="1:7">
      <c r="A3050" t="s">
        <v>5022</v>
      </c>
      <c r="G3050" t="s">
        <v>4215</v>
      </c>
    </row>
    <row r="3051" spans="1:7">
      <c r="A3051" t="s">
        <v>5023</v>
      </c>
      <c r="G3051" t="s">
        <v>4215</v>
      </c>
    </row>
    <row r="3052" spans="1:7">
      <c r="A3052" t="s">
        <v>5024</v>
      </c>
      <c r="G3052" t="s">
        <v>4215</v>
      </c>
    </row>
    <row r="3053" spans="1:7">
      <c r="A3053" t="s">
        <v>4409</v>
      </c>
      <c r="B3053">
        <v>5351097</v>
      </c>
      <c r="G3053" t="s">
        <v>4215</v>
      </c>
    </row>
    <row r="3054" spans="1:7">
      <c r="A3054" t="s">
        <v>5025</v>
      </c>
      <c r="G3054" t="s">
        <v>4215</v>
      </c>
    </row>
    <row r="3055" spans="1:7">
      <c r="A3055" t="s">
        <v>4854</v>
      </c>
      <c r="G3055" t="s">
        <v>4215</v>
      </c>
    </row>
    <row r="3056" spans="1:7">
      <c r="A3056" t="s">
        <v>5024</v>
      </c>
      <c r="G3056" t="s">
        <v>4215</v>
      </c>
    </row>
    <row r="3057" spans="1:7">
      <c r="A3057" t="s">
        <v>4776</v>
      </c>
      <c r="G3057" t="s">
        <v>4215</v>
      </c>
    </row>
    <row r="3058" spans="1:7">
      <c r="A3058" t="s">
        <v>4015</v>
      </c>
      <c r="G3058" t="s">
        <v>4215</v>
      </c>
    </row>
    <row r="3059" spans="1:7">
      <c r="A3059" t="s">
        <v>4863</v>
      </c>
      <c r="G3059" t="s">
        <v>4215</v>
      </c>
    </row>
    <row r="3060" spans="1:7">
      <c r="A3060" t="s">
        <v>4508</v>
      </c>
      <c r="G3060" t="s">
        <v>4347</v>
      </c>
    </row>
    <row r="3061" spans="1:7">
      <c r="A3061" t="s">
        <v>4497</v>
      </c>
      <c r="G3061" t="s">
        <v>4347</v>
      </c>
    </row>
    <row r="3062" spans="1:8">
      <c r="A3062" t="s">
        <v>4336</v>
      </c>
      <c r="B3062">
        <v>5347097</v>
      </c>
      <c r="G3062" t="s">
        <v>4347</v>
      </c>
      <c r="H3062">
        <v>5495097</v>
      </c>
    </row>
    <row r="3063" spans="1:7">
      <c r="A3063" t="s">
        <v>5026</v>
      </c>
      <c r="G3063" t="s">
        <v>4347</v>
      </c>
    </row>
    <row r="3064" spans="1:7">
      <c r="A3064" t="s">
        <v>4347</v>
      </c>
      <c r="G3064" t="s">
        <v>4347</v>
      </c>
    </row>
    <row r="3065" spans="1:7">
      <c r="A3065" t="s">
        <v>4820</v>
      </c>
      <c r="G3065" t="s">
        <v>4347</v>
      </c>
    </row>
    <row r="3066" spans="1:7">
      <c r="A3066" t="s">
        <v>4107</v>
      </c>
      <c r="G3066" t="s">
        <v>4347</v>
      </c>
    </row>
    <row r="3067" spans="1:7">
      <c r="A3067" t="s">
        <v>4388</v>
      </c>
      <c r="G3067" t="s">
        <v>4347</v>
      </c>
    </row>
    <row r="3068" spans="1:7">
      <c r="A3068" t="s">
        <v>4576</v>
      </c>
      <c r="G3068" t="s">
        <v>4347</v>
      </c>
    </row>
    <row r="3069" spans="1:7">
      <c r="A3069" t="s">
        <v>4379</v>
      </c>
      <c r="G3069" t="s">
        <v>4347</v>
      </c>
    </row>
    <row r="3070" spans="1:7">
      <c r="A3070" t="s">
        <v>5027</v>
      </c>
      <c r="G3070" t="s">
        <v>4347</v>
      </c>
    </row>
    <row r="3071" spans="1:7">
      <c r="A3071" t="s">
        <v>5028</v>
      </c>
      <c r="G3071" t="s">
        <v>5029</v>
      </c>
    </row>
    <row r="3072" spans="1:7">
      <c r="A3072" t="s">
        <v>4102</v>
      </c>
      <c r="G3072" t="s">
        <v>4188</v>
      </c>
    </row>
    <row r="3073" spans="1:7">
      <c r="A3073" t="s">
        <v>4142</v>
      </c>
      <c r="G3073" t="s">
        <v>4188</v>
      </c>
    </row>
    <row r="3074" spans="1:7">
      <c r="A3074" t="s">
        <v>4826</v>
      </c>
      <c r="G3074" t="s">
        <v>4188</v>
      </c>
    </row>
    <row r="3075" spans="1:7">
      <c r="A3075" t="s">
        <v>4009</v>
      </c>
      <c r="G3075" t="s">
        <v>4188</v>
      </c>
    </row>
    <row r="3076" spans="1:8">
      <c r="A3076" t="s">
        <v>5030</v>
      </c>
      <c r="G3076" t="s">
        <v>4188</v>
      </c>
      <c r="H3076">
        <v>5199097</v>
      </c>
    </row>
    <row r="3077" spans="1:7">
      <c r="A3077" t="s">
        <v>4632</v>
      </c>
      <c r="G3077" t="s">
        <v>4188</v>
      </c>
    </row>
    <row r="3078" spans="1:7">
      <c r="A3078" t="s">
        <v>4716</v>
      </c>
      <c r="G3078" t="s">
        <v>4188</v>
      </c>
    </row>
    <row r="3079" spans="1:7">
      <c r="A3079" t="s">
        <v>5005</v>
      </c>
      <c r="G3079" t="s">
        <v>4188</v>
      </c>
    </row>
    <row r="3080" spans="1:7">
      <c r="A3080" t="s">
        <v>4331</v>
      </c>
      <c r="G3080" t="s">
        <v>4188</v>
      </c>
    </row>
    <row r="3081" spans="1:7">
      <c r="A3081" t="s">
        <v>4961</v>
      </c>
      <c r="G3081" t="s">
        <v>4188</v>
      </c>
    </row>
    <row r="3082" spans="1:7">
      <c r="A3082" t="s">
        <v>4361</v>
      </c>
      <c r="G3082" t="s">
        <v>4188</v>
      </c>
    </row>
    <row r="3083" spans="1:7">
      <c r="A3083" t="s">
        <v>4715</v>
      </c>
      <c r="G3083" t="s">
        <v>5031</v>
      </c>
    </row>
    <row r="3084" spans="1:7">
      <c r="A3084" t="s">
        <v>4285</v>
      </c>
      <c r="G3084" t="s">
        <v>4530</v>
      </c>
    </row>
    <row r="3085" spans="1:7">
      <c r="A3085" t="s">
        <v>4360</v>
      </c>
      <c r="G3085" t="s">
        <v>4530</v>
      </c>
    </row>
    <row r="3086" spans="1:7">
      <c r="A3086" t="s">
        <v>4333</v>
      </c>
      <c r="G3086" t="s">
        <v>4530</v>
      </c>
    </row>
    <row r="3087" spans="1:7">
      <c r="A3087" t="s">
        <v>4363</v>
      </c>
      <c r="G3087" t="s">
        <v>4530</v>
      </c>
    </row>
    <row r="3088" spans="1:7">
      <c r="A3088" t="s">
        <v>4960</v>
      </c>
      <c r="G3088" t="s">
        <v>4530</v>
      </c>
    </row>
    <row r="3089" spans="1:8">
      <c r="A3089" t="s">
        <v>4147</v>
      </c>
      <c r="G3089" t="s">
        <v>4530</v>
      </c>
      <c r="H3089">
        <v>5491097</v>
      </c>
    </row>
    <row r="3090" spans="1:7">
      <c r="A3090" t="s">
        <v>4338</v>
      </c>
      <c r="G3090" t="s">
        <v>4530</v>
      </c>
    </row>
    <row r="3091" spans="1:7">
      <c r="A3091" t="s">
        <v>4821</v>
      </c>
      <c r="G3091" t="s">
        <v>4530</v>
      </c>
    </row>
    <row r="3092" spans="1:7">
      <c r="A3092" t="s">
        <v>4358</v>
      </c>
      <c r="G3092" t="s">
        <v>4530</v>
      </c>
    </row>
    <row r="3093" spans="1:8">
      <c r="A3093" t="s">
        <v>4483</v>
      </c>
      <c r="B3093">
        <v>5343097</v>
      </c>
      <c r="G3093" t="s">
        <v>4109</v>
      </c>
      <c r="H3093">
        <v>5623097</v>
      </c>
    </row>
    <row r="3094" spans="1:7">
      <c r="A3094" t="s">
        <v>4340</v>
      </c>
      <c r="G3094" t="s">
        <v>4109</v>
      </c>
    </row>
    <row r="3095" spans="1:7">
      <c r="A3095" t="s">
        <v>4356</v>
      </c>
      <c r="G3095" t="s">
        <v>4109</v>
      </c>
    </row>
    <row r="3096" spans="1:7">
      <c r="A3096" t="s">
        <v>4832</v>
      </c>
      <c r="G3096" t="s">
        <v>4109</v>
      </c>
    </row>
    <row r="3097" spans="1:7">
      <c r="A3097" t="s">
        <v>4387</v>
      </c>
      <c r="G3097" t="s">
        <v>4109</v>
      </c>
    </row>
    <row r="3098" spans="1:7">
      <c r="A3098" t="s">
        <v>4962</v>
      </c>
      <c r="G3098" t="s">
        <v>4109</v>
      </c>
    </row>
    <row r="3099" spans="1:7">
      <c r="A3099" t="s">
        <v>5032</v>
      </c>
      <c r="G3099" t="s">
        <v>4109</v>
      </c>
    </row>
    <row r="3100" spans="1:7">
      <c r="A3100" t="s">
        <v>4984</v>
      </c>
      <c r="G3100" t="s">
        <v>4109</v>
      </c>
    </row>
    <row r="3101" spans="1:7">
      <c r="A3101" t="s">
        <v>4364</v>
      </c>
      <c r="G3101" t="s">
        <v>4109</v>
      </c>
    </row>
    <row r="3102" spans="1:7">
      <c r="A3102" t="s">
        <v>4359</v>
      </c>
      <c r="G3102" t="s">
        <v>4109</v>
      </c>
    </row>
    <row r="3103" spans="1:7">
      <c r="A3103" t="s">
        <v>5033</v>
      </c>
      <c r="G3103" t="s">
        <v>4109</v>
      </c>
    </row>
    <row r="3104" spans="1:7">
      <c r="A3104" t="s">
        <v>4930</v>
      </c>
      <c r="G3104" t="s">
        <v>4109</v>
      </c>
    </row>
    <row r="3105" spans="1:7">
      <c r="A3105" t="s">
        <v>5034</v>
      </c>
      <c r="B3105">
        <v>5346097</v>
      </c>
      <c r="G3105" t="s">
        <v>4109</v>
      </c>
    </row>
    <row r="3106" spans="1:7">
      <c r="A3106" t="s">
        <v>4808</v>
      </c>
      <c r="G3106" t="s">
        <v>4109</v>
      </c>
    </row>
    <row r="3107" spans="1:7">
      <c r="A3107" t="s">
        <v>5035</v>
      </c>
      <c r="G3107" t="s">
        <v>4109</v>
      </c>
    </row>
    <row r="3108" spans="1:7">
      <c r="A3108" t="s">
        <v>4719</v>
      </c>
      <c r="G3108" t="s">
        <v>4109</v>
      </c>
    </row>
    <row r="3109" spans="1:7">
      <c r="A3109" t="s">
        <v>4727</v>
      </c>
      <c r="G3109" t="s">
        <v>4109</v>
      </c>
    </row>
    <row r="3110" spans="1:7">
      <c r="A3110" t="s">
        <v>4999</v>
      </c>
      <c r="G3110" t="s">
        <v>4109</v>
      </c>
    </row>
    <row r="3111" spans="1:7">
      <c r="A3111" t="s">
        <v>4809</v>
      </c>
      <c r="G3111" t="s">
        <v>4109</v>
      </c>
    </row>
    <row r="3112" spans="1:7">
      <c r="A3112" t="s">
        <v>4112</v>
      </c>
      <c r="G3112" t="s">
        <v>4109</v>
      </c>
    </row>
    <row r="3113" spans="1:7">
      <c r="A3113" t="s">
        <v>4136</v>
      </c>
      <c r="G3113" t="s">
        <v>4109</v>
      </c>
    </row>
    <row r="3114" spans="1:7">
      <c r="A3114" t="s">
        <v>4930</v>
      </c>
      <c r="G3114" t="s">
        <v>4109</v>
      </c>
    </row>
    <row r="3115" spans="1:7">
      <c r="A3115" t="s">
        <v>5036</v>
      </c>
      <c r="G3115" t="s">
        <v>4109</v>
      </c>
    </row>
    <row r="3116" spans="1:7">
      <c r="A3116" t="s">
        <v>4568</v>
      </c>
      <c r="G3116" t="s">
        <v>4109</v>
      </c>
    </row>
    <row r="3117" spans="1:7">
      <c r="A3117" t="s">
        <v>4186</v>
      </c>
      <c r="G3117" t="s">
        <v>4109</v>
      </c>
    </row>
    <row r="3118" spans="1:7">
      <c r="A3118" t="s">
        <v>4147</v>
      </c>
      <c r="G3118" t="s">
        <v>4109</v>
      </c>
    </row>
    <row r="3119" spans="1:7">
      <c r="A3119" t="s">
        <v>4581</v>
      </c>
      <c r="G3119" t="s">
        <v>4109</v>
      </c>
    </row>
    <row r="3120" spans="1:7">
      <c r="A3120" t="s">
        <v>4286</v>
      </c>
      <c r="G3120" t="s">
        <v>4109</v>
      </c>
    </row>
    <row r="3121" spans="1:7">
      <c r="A3121" t="s">
        <v>4724</v>
      </c>
      <c r="G3121" t="s">
        <v>4109</v>
      </c>
    </row>
    <row r="3122" spans="1:7">
      <c r="A3122" t="s">
        <v>4571</v>
      </c>
      <c r="G3122" t="s">
        <v>4109</v>
      </c>
    </row>
    <row r="3123" spans="1:7">
      <c r="A3123" t="s">
        <v>4084</v>
      </c>
      <c r="G3123" t="s">
        <v>4109</v>
      </c>
    </row>
    <row r="3124" spans="1:7">
      <c r="A3124" t="s">
        <v>4131</v>
      </c>
      <c r="G3124" t="s">
        <v>4109</v>
      </c>
    </row>
    <row r="3125" spans="1:8">
      <c r="A3125" t="s">
        <v>4107</v>
      </c>
      <c r="G3125" t="s">
        <v>4109</v>
      </c>
      <c r="H3125">
        <v>5109097</v>
      </c>
    </row>
    <row r="3126" spans="1:7">
      <c r="A3126" t="s">
        <v>4194</v>
      </c>
      <c r="G3126" t="s">
        <v>4109</v>
      </c>
    </row>
    <row r="3127" spans="1:7">
      <c r="A3127" t="s">
        <v>4820</v>
      </c>
      <c r="G3127" t="s">
        <v>4109</v>
      </c>
    </row>
    <row r="3128" spans="1:7">
      <c r="A3128" t="s">
        <v>4082</v>
      </c>
      <c r="G3128" t="s">
        <v>4109</v>
      </c>
    </row>
    <row r="3129" spans="1:7">
      <c r="A3129" t="s">
        <v>5037</v>
      </c>
      <c r="G3129" t="s">
        <v>4109</v>
      </c>
    </row>
    <row r="3130" spans="1:7">
      <c r="A3130" t="s">
        <v>4778</v>
      </c>
      <c r="G3130" t="s">
        <v>4109</v>
      </c>
    </row>
    <row r="3131" spans="1:7">
      <c r="A3131" t="s">
        <v>4091</v>
      </c>
      <c r="G3131" t="s">
        <v>4109</v>
      </c>
    </row>
    <row r="3132" spans="1:7">
      <c r="A3132" t="s">
        <v>4258</v>
      </c>
      <c r="G3132" t="s">
        <v>4109</v>
      </c>
    </row>
    <row r="3133" spans="1:7">
      <c r="A3133" t="s">
        <v>4230</v>
      </c>
      <c r="G3133" t="s">
        <v>4109</v>
      </c>
    </row>
    <row r="3134" spans="1:7">
      <c r="A3134" t="s">
        <v>4697</v>
      </c>
      <c r="G3134" t="s">
        <v>4109</v>
      </c>
    </row>
    <row r="3135" spans="1:7">
      <c r="A3135" t="s">
        <v>4211</v>
      </c>
      <c r="G3135" t="s">
        <v>4109</v>
      </c>
    </row>
    <row r="3136" spans="1:7">
      <c r="A3136" t="s">
        <v>4055</v>
      </c>
      <c r="G3136" t="s">
        <v>4109</v>
      </c>
    </row>
    <row r="3137" spans="1:7">
      <c r="A3137" t="s">
        <v>4098</v>
      </c>
      <c r="G3137" t="s">
        <v>4109</v>
      </c>
    </row>
    <row r="3138" spans="1:7">
      <c r="A3138" t="s">
        <v>4103</v>
      </c>
      <c r="G3138" t="s">
        <v>4109</v>
      </c>
    </row>
    <row r="3139" spans="1:7">
      <c r="A3139" t="s">
        <v>4171</v>
      </c>
      <c r="G3139" t="s">
        <v>4109</v>
      </c>
    </row>
    <row r="3140" spans="1:7">
      <c r="A3140" t="s">
        <v>4373</v>
      </c>
      <c r="G3140" t="s">
        <v>5038</v>
      </c>
    </row>
    <row r="3141" spans="1:7">
      <c r="A3141" t="s">
        <v>4461</v>
      </c>
      <c r="G3141" t="s">
        <v>4559</v>
      </c>
    </row>
    <row r="3142" spans="1:7">
      <c r="A3142" t="s">
        <v>4009</v>
      </c>
      <c r="G3142" t="s">
        <v>4559</v>
      </c>
    </row>
    <row r="3143" spans="1:7">
      <c r="A3143" t="s">
        <v>3993</v>
      </c>
      <c r="G3143" t="s">
        <v>4559</v>
      </c>
    </row>
    <row r="3144" spans="1:7">
      <c r="A3144" t="s">
        <v>4117</v>
      </c>
      <c r="G3144" t="s">
        <v>4559</v>
      </c>
    </row>
    <row r="3145" spans="1:7">
      <c r="A3145" t="s">
        <v>4477</v>
      </c>
      <c r="G3145" t="s">
        <v>4559</v>
      </c>
    </row>
    <row r="3146" spans="1:7">
      <c r="A3146" t="s">
        <v>4153</v>
      </c>
      <c r="G3146" t="s">
        <v>4559</v>
      </c>
    </row>
    <row r="3147" spans="1:7">
      <c r="A3147" t="s">
        <v>4922</v>
      </c>
      <c r="G3147" t="s">
        <v>4559</v>
      </c>
    </row>
    <row r="3148" spans="1:8">
      <c r="A3148" t="s">
        <v>4526</v>
      </c>
      <c r="G3148" t="s">
        <v>4943</v>
      </c>
      <c r="H3148">
        <v>5392097</v>
      </c>
    </row>
    <row r="3149" spans="1:7">
      <c r="A3149" t="s">
        <v>4080</v>
      </c>
      <c r="G3149" t="s">
        <v>4943</v>
      </c>
    </row>
    <row r="3150" spans="1:7">
      <c r="A3150" t="s">
        <v>4824</v>
      </c>
      <c r="G3150" t="s">
        <v>4519</v>
      </c>
    </row>
    <row r="3151" spans="1:7">
      <c r="A3151" t="s">
        <v>5039</v>
      </c>
      <c r="G3151" t="s">
        <v>4519</v>
      </c>
    </row>
    <row r="3152" spans="1:7">
      <c r="A3152" t="s">
        <v>4652</v>
      </c>
      <c r="G3152" t="s">
        <v>4519</v>
      </c>
    </row>
    <row r="3153" spans="1:7">
      <c r="A3153" t="s">
        <v>4248</v>
      </c>
      <c r="G3153" t="s">
        <v>4519</v>
      </c>
    </row>
    <row r="3154" spans="1:7">
      <c r="A3154" t="s">
        <v>4097</v>
      </c>
      <c r="G3154" t="s">
        <v>4519</v>
      </c>
    </row>
    <row r="3155" spans="1:7">
      <c r="A3155" t="s">
        <v>4237</v>
      </c>
      <c r="G3155" t="s">
        <v>4519</v>
      </c>
    </row>
    <row r="3156" spans="1:7">
      <c r="A3156" t="s">
        <v>4625</v>
      </c>
      <c r="G3156" t="s">
        <v>5040</v>
      </c>
    </row>
    <row r="3157" spans="1:7">
      <c r="A3157" t="s">
        <v>5041</v>
      </c>
      <c r="G3157" t="s">
        <v>4086</v>
      </c>
    </row>
    <row r="3158" spans="1:7">
      <c r="A3158" t="s">
        <v>5042</v>
      </c>
      <c r="G3158" t="s">
        <v>4086</v>
      </c>
    </row>
    <row r="3159" spans="1:7">
      <c r="A3159" t="s">
        <v>5043</v>
      </c>
      <c r="G3159" t="s">
        <v>4086</v>
      </c>
    </row>
    <row r="3160" spans="1:7">
      <c r="A3160" t="s">
        <v>4426</v>
      </c>
      <c r="G3160" t="s">
        <v>4086</v>
      </c>
    </row>
    <row r="3161" spans="1:7">
      <c r="A3161" t="s">
        <v>4474</v>
      </c>
      <c r="G3161" t="s">
        <v>4086</v>
      </c>
    </row>
    <row r="3162" spans="1:7">
      <c r="A3162" t="s">
        <v>5044</v>
      </c>
      <c r="G3162" t="s">
        <v>4086</v>
      </c>
    </row>
    <row r="3163" spans="1:7">
      <c r="A3163" t="s">
        <v>4165</v>
      </c>
      <c r="G3163" t="s">
        <v>4086</v>
      </c>
    </row>
    <row r="3164" spans="1:7">
      <c r="A3164" t="s">
        <v>4113</v>
      </c>
      <c r="G3164" t="s">
        <v>4086</v>
      </c>
    </row>
    <row r="3165" spans="1:7">
      <c r="A3165" t="s">
        <v>4704</v>
      </c>
      <c r="G3165" t="s">
        <v>4086</v>
      </c>
    </row>
    <row r="3166" spans="1:7">
      <c r="A3166" t="s">
        <v>4570</v>
      </c>
      <c r="G3166" t="s">
        <v>4086</v>
      </c>
    </row>
    <row r="3167" spans="1:7">
      <c r="A3167" t="s">
        <v>4821</v>
      </c>
      <c r="G3167" t="s">
        <v>4086</v>
      </c>
    </row>
    <row r="3168" spans="1:7">
      <c r="A3168" t="s">
        <v>5028</v>
      </c>
      <c r="G3168" t="s">
        <v>4086</v>
      </c>
    </row>
    <row r="3169" spans="1:7">
      <c r="A3169" t="s">
        <v>4720</v>
      </c>
      <c r="G3169" t="s">
        <v>4086</v>
      </c>
    </row>
    <row r="3170" spans="1:7">
      <c r="A3170" t="s">
        <v>4716</v>
      </c>
      <c r="G3170" t="s">
        <v>4086</v>
      </c>
    </row>
    <row r="3171" spans="1:7">
      <c r="A3171" t="s">
        <v>4233</v>
      </c>
      <c r="G3171" t="s">
        <v>4086</v>
      </c>
    </row>
    <row r="3172" spans="1:7">
      <c r="A3172" t="s">
        <v>4285</v>
      </c>
      <c r="G3172" t="s">
        <v>4086</v>
      </c>
    </row>
    <row r="3173" spans="1:7">
      <c r="A3173" t="s">
        <v>4290</v>
      </c>
      <c r="G3173" t="s">
        <v>4086</v>
      </c>
    </row>
    <row r="3174" spans="1:7">
      <c r="A3174" t="s">
        <v>4870</v>
      </c>
      <c r="G3174" t="s">
        <v>4086</v>
      </c>
    </row>
    <row r="3175" spans="1:7">
      <c r="A3175" t="s">
        <v>4545</v>
      </c>
      <c r="G3175" t="s">
        <v>4086</v>
      </c>
    </row>
    <row r="3176" spans="1:7">
      <c r="A3176" t="s">
        <v>3978</v>
      </c>
      <c r="B3176">
        <v>5341097</v>
      </c>
      <c r="G3176" t="s">
        <v>4086</v>
      </c>
    </row>
    <row r="3177" spans="1:7">
      <c r="A3177" t="s">
        <v>3990</v>
      </c>
      <c r="G3177" t="s">
        <v>4086</v>
      </c>
    </row>
    <row r="3178" spans="1:7">
      <c r="A3178" t="s">
        <v>4159</v>
      </c>
      <c r="G3178" t="s">
        <v>4086</v>
      </c>
    </row>
    <row r="3179" spans="1:7">
      <c r="A3179" t="s">
        <v>5005</v>
      </c>
      <c r="G3179" t="s">
        <v>4086</v>
      </c>
    </row>
    <row r="3180" spans="1:8">
      <c r="A3180" t="s">
        <v>4108</v>
      </c>
      <c r="G3180" t="s">
        <v>4086</v>
      </c>
      <c r="H3180">
        <v>5409097</v>
      </c>
    </row>
    <row r="3181" spans="1:7">
      <c r="A3181" t="s">
        <v>4124</v>
      </c>
      <c r="G3181" t="s">
        <v>4086</v>
      </c>
    </row>
    <row r="3182" spans="1:7">
      <c r="A3182" t="s">
        <v>4745</v>
      </c>
      <c r="G3182" t="s">
        <v>4086</v>
      </c>
    </row>
    <row r="3183" spans="1:7">
      <c r="A3183" t="s">
        <v>5045</v>
      </c>
      <c r="G3183" t="s">
        <v>4086</v>
      </c>
    </row>
    <row r="3184" spans="1:7">
      <c r="A3184" t="s">
        <v>4454</v>
      </c>
      <c r="G3184" t="s">
        <v>4086</v>
      </c>
    </row>
    <row r="3185" spans="1:7">
      <c r="A3185" t="s">
        <v>4175</v>
      </c>
      <c r="B3185">
        <v>5339097</v>
      </c>
      <c r="G3185" t="s">
        <v>4086</v>
      </c>
    </row>
    <row r="3186" spans="1:7">
      <c r="A3186" t="s">
        <v>4929</v>
      </c>
      <c r="G3186" t="s">
        <v>4457</v>
      </c>
    </row>
    <row r="3187" spans="1:7">
      <c r="A3187" t="s">
        <v>5046</v>
      </c>
      <c r="G3187" t="s">
        <v>4457</v>
      </c>
    </row>
    <row r="3188" spans="1:7">
      <c r="A3188" t="s">
        <v>5047</v>
      </c>
      <c r="G3188" t="s">
        <v>4457</v>
      </c>
    </row>
    <row r="3189" spans="1:7">
      <c r="A3189" t="s">
        <v>4169</v>
      </c>
      <c r="G3189" t="s">
        <v>4457</v>
      </c>
    </row>
    <row r="3190" spans="1:7">
      <c r="A3190" t="s">
        <v>4701</v>
      </c>
      <c r="G3190" t="s">
        <v>4457</v>
      </c>
    </row>
    <row r="3191" spans="1:7">
      <c r="A3191" t="s">
        <v>4998</v>
      </c>
      <c r="G3191" t="s">
        <v>4457</v>
      </c>
    </row>
    <row r="3192" spans="1:8">
      <c r="A3192" t="s">
        <v>5027</v>
      </c>
      <c r="G3192" t="s">
        <v>4457</v>
      </c>
      <c r="H3192">
        <v>5160097</v>
      </c>
    </row>
    <row r="3193" spans="1:7">
      <c r="A3193" t="s">
        <v>4670</v>
      </c>
      <c r="G3193" t="s">
        <v>4457</v>
      </c>
    </row>
    <row r="3194" spans="1:7">
      <c r="A3194" t="s">
        <v>5048</v>
      </c>
      <c r="G3194" t="s">
        <v>4457</v>
      </c>
    </row>
    <row r="3195" spans="1:7">
      <c r="A3195" t="s">
        <v>4905</v>
      </c>
      <c r="G3195" t="s">
        <v>4457</v>
      </c>
    </row>
    <row r="3196" spans="1:7">
      <c r="A3196" t="s">
        <v>4520</v>
      </c>
      <c r="G3196" t="s">
        <v>4168</v>
      </c>
    </row>
    <row r="3197" spans="1:7">
      <c r="A3197" t="s">
        <v>4085</v>
      </c>
      <c r="G3197" t="s">
        <v>5049</v>
      </c>
    </row>
    <row r="3198" spans="1:7">
      <c r="A3198" t="s">
        <v>5050</v>
      </c>
      <c r="G3198" t="s">
        <v>5049</v>
      </c>
    </row>
    <row r="3199" spans="1:7">
      <c r="A3199" t="s">
        <v>4989</v>
      </c>
      <c r="G3199" t="s">
        <v>5049</v>
      </c>
    </row>
    <row r="3200" spans="1:7">
      <c r="A3200" t="s">
        <v>4372</v>
      </c>
      <c r="G3200" t="s">
        <v>5049</v>
      </c>
    </row>
    <row r="3201" spans="1:7">
      <c r="A3201" t="s">
        <v>4135</v>
      </c>
      <c r="G3201" t="s">
        <v>5049</v>
      </c>
    </row>
    <row r="3202" spans="1:7">
      <c r="A3202" t="s">
        <v>4132</v>
      </c>
      <c r="G3202" t="s">
        <v>5049</v>
      </c>
    </row>
    <row r="3203" spans="1:7">
      <c r="A3203" t="s">
        <v>4548</v>
      </c>
      <c r="G3203" t="s">
        <v>5049</v>
      </c>
    </row>
    <row r="3204" spans="1:7">
      <c r="A3204" t="s">
        <v>4826</v>
      </c>
      <c r="G3204" t="s">
        <v>5049</v>
      </c>
    </row>
    <row r="3205" spans="1:7">
      <c r="A3205" t="s">
        <v>4157</v>
      </c>
      <c r="G3205" t="s">
        <v>5049</v>
      </c>
    </row>
    <row r="3206" spans="1:7">
      <c r="A3206" t="s">
        <v>4140</v>
      </c>
      <c r="G3206" t="s">
        <v>5049</v>
      </c>
    </row>
    <row r="3207" spans="1:7">
      <c r="A3207" t="s">
        <v>5051</v>
      </c>
      <c r="G3207" t="s">
        <v>5049</v>
      </c>
    </row>
    <row r="3208" spans="1:7">
      <c r="A3208" t="s">
        <v>4062</v>
      </c>
      <c r="G3208" t="s">
        <v>5049</v>
      </c>
    </row>
    <row r="3209" spans="1:7">
      <c r="A3209" t="s">
        <v>4102</v>
      </c>
      <c r="G3209" t="s">
        <v>5049</v>
      </c>
    </row>
    <row r="3210" spans="1:7">
      <c r="A3210" t="s">
        <v>4156</v>
      </c>
      <c r="G3210" t="s">
        <v>5049</v>
      </c>
    </row>
    <row r="3211" spans="1:7">
      <c r="A3211" t="s">
        <v>4128</v>
      </c>
      <c r="G3211" t="s">
        <v>5049</v>
      </c>
    </row>
    <row r="3212" spans="1:7">
      <c r="A3212" t="s">
        <v>5052</v>
      </c>
      <c r="G3212" t="s">
        <v>5049</v>
      </c>
    </row>
    <row r="3213" spans="1:7">
      <c r="A3213" t="s">
        <v>5053</v>
      </c>
      <c r="G3213" t="s">
        <v>5054</v>
      </c>
    </row>
    <row r="3214" spans="1:7">
      <c r="A3214" t="s">
        <v>5055</v>
      </c>
      <c r="G3214" t="s">
        <v>5054</v>
      </c>
    </row>
    <row r="3215" spans="1:7">
      <c r="A3215" t="s">
        <v>4940</v>
      </c>
      <c r="B3215">
        <v>5336097</v>
      </c>
      <c r="G3215" t="s">
        <v>5054</v>
      </c>
    </row>
    <row r="3216" spans="1:7">
      <c r="A3216" t="s">
        <v>5056</v>
      </c>
      <c r="G3216" t="s">
        <v>4155</v>
      </c>
    </row>
    <row r="3217" spans="1:7">
      <c r="A3217" t="s">
        <v>4563</v>
      </c>
      <c r="G3217" t="s">
        <v>4155</v>
      </c>
    </row>
    <row r="3218" spans="1:7">
      <c r="A3218" t="s">
        <v>4911</v>
      </c>
      <c r="G3218" t="s">
        <v>4155</v>
      </c>
    </row>
    <row r="3219" spans="1:7">
      <c r="A3219" t="s">
        <v>5032</v>
      </c>
      <c r="G3219" t="s">
        <v>4155</v>
      </c>
    </row>
    <row r="3220" spans="1:7">
      <c r="A3220" t="s">
        <v>4437</v>
      </c>
      <c r="G3220" t="s">
        <v>4155</v>
      </c>
    </row>
    <row r="3221" spans="1:7">
      <c r="A3221" t="s">
        <v>4079</v>
      </c>
      <c r="G3221" t="s">
        <v>4155</v>
      </c>
    </row>
    <row r="3222" spans="1:7">
      <c r="A3222" t="s">
        <v>4549</v>
      </c>
      <c r="G3222" t="s">
        <v>4155</v>
      </c>
    </row>
    <row r="3223" spans="1:7">
      <c r="A3223" t="s">
        <v>4562</v>
      </c>
      <c r="B3223">
        <v>5343097</v>
      </c>
      <c r="G3223" t="s">
        <v>4155</v>
      </c>
    </row>
    <row r="3224" spans="1:7">
      <c r="A3224" t="s">
        <v>4062</v>
      </c>
      <c r="G3224" t="s">
        <v>4155</v>
      </c>
    </row>
    <row r="3225" spans="1:7">
      <c r="A3225" t="s">
        <v>5057</v>
      </c>
      <c r="G3225" t="s">
        <v>4155</v>
      </c>
    </row>
    <row r="3226" spans="1:7">
      <c r="A3226" t="s">
        <v>4705</v>
      </c>
      <c r="G3226" t="s">
        <v>4155</v>
      </c>
    </row>
    <row r="3227" spans="1:7">
      <c r="A3227" t="s">
        <v>4077</v>
      </c>
      <c r="G3227" t="s">
        <v>4155</v>
      </c>
    </row>
    <row r="3228" spans="1:7">
      <c r="A3228" t="s">
        <v>4135</v>
      </c>
      <c r="G3228" t="s">
        <v>4155</v>
      </c>
    </row>
    <row r="3229" spans="1:7">
      <c r="A3229" t="s">
        <v>4729</v>
      </c>
      <c r="G3229" t="s">
        <v>5017</v>
      </c>
    </row>
    <row r="3230" spans="1:7">
      <c r="A3230" t="s">
        <v>4134</v>
      </c>
      <c r="G3230" t="s">
        <v>5017</v>
      </c>
    </row>
    <row r="3231" spans="1:7">
      <c r="A3231" t="s">
        <v>4152</v>
      </c>
      <c r="G3231" t="s">
        <v>5017</v>
      </c>
    </row>
    <row r="3232" spans="1:7">
      <c r="A3232" t="s">
        <v>4236</v>
      </c>
      <c r="G3232" t="s">
        <v>5017</v>
      </c>
    </row>
    <row r="3233" spans="1:7">
      <c r="A3233" t="s">
        <v>4372</v>
      </c>
      <c r="G3233" t="s">
        <v>5017</v>
      </c>
    </row>
    <row r="3234" spans="1:7">
      <c r="A3234" t="s">
        <v>4571</v>
      </c>
      <c r="G3234" t="s">
        <v>5017</v>
      </c>
    </row>
    <row r="3235" spans="1:7">
      <c r="A3235" t="s">
        <v>4374</v>
      </c>
      <c r="G3235" t="s">
        <v>5017</v>
      </c>
    </row>
    <row r="3236" spans="1:7">
      <c r="A3236" t="s">
        <v>4290</v>
      </c>
      <c r="G3236" t="s">
        <v>5017</v>
      </c>
    </row>
    <row r="3237" spans="1:7">
      <c r="A3237" t="s">
        <v>4084</v>
      </c>
      <c r="G3237" t="s">
        <v>5017</v>
      </c>
    </row>
    <row r="3238" spans="1:7">
      <c r="A3238" t="s">
        <v>4606</v>
      </c>
      <c r="G3238" t="s">
        <v>4561</v>
      </c>
    </row>
    <row r="3239" spans="1:7">
      <c r="A3239" t="s">
        <v>4478</v>
      </c>
      <c r="G3239" t="s">
        <v>4561</v>
      </c>
    </row>
    <row r="3240" spans="1:7">
      <c r="A3240" t="s">
        <v>4579</v>
      </c>
      <c r="G3240" t="s">
        <v>4561</v>
      </c>
    </row>
    <row r="3241" spans="1:7">
      <c r="A3241" t="s">
        <v>4549</v>
      </c>
      <c r="G3241" t="s">
        <v>4561</v>
      </c>
    </row>
    <row r="3242" spans="1:7">
      <c r="A3242" t="s">
        <v>4697</v>
      </c>
      <c r="G3242" t="s">
        <v>4698</v>
      </c>
    </row>
    <row r="3243" spans="1:8">
      <c r="A3243" t="s">
        <v>4820</v>
      </c>
      <c r="G3243" t="s">
        <v>4698</v>
      </c>
      <c r="H3243">
        <v>5464097</v>
      </c>
    </row>
    <row r="3244" spans="1:7">
      <c r="A3244" t="s">
        <v>4122</v>
      </c>
      <c r="G3244" t="s">
        <v>4698</v>
      </c>
    </row>
    <row r="3245" spans="1:7">
      <c r="A3245" t="s">
        <v>5058</v>
      </c>
      <c r="G3245" t="s">
        <v>4044</v>
      </c>
    </row>
    <row r="3246" spans="1:7">
      <c r="A3246" t="s">
        <v>4763</v>
      </c>
      <c r="G3246" t="s">
        <v>4154</v>
      </c>
    </row>
    <row r="3247" spans="1:7">
      <c r="A3247" t="s">
        <v>4911</v>
      </c>
      <c r="G3247" t="s">
        <v>4154</v>
      </c>
    </row>
    <row r="3248" spans="1:7">
      <c r="A3248" t="s">
        <v>4079</v>
      </c>
      <c r="G3248" t="s">
        <v>4154</v>
      </c>
    </row>
    <row r="3249" spans="1:7">
      <c r="A3249" t="s">
        <v>4525</v>
      </c>
      <c r="G3249" t="s">
        <v>4154</v>
      </c>
    </row>
    <row r="3250" spans="1:7">
      <c r="A3250" t="s">
        <v>4437</v>
      </c>
      <c r="G3250" t="s">
        <v>4154</v>
      </c>
    </row>
    <row r="3251" spans="1:7">
      <c r="A3251" t="s">
        <v>5059</v>
      </c>
      <c r="G3251" t="s">
        <v>4154</v>
      </c>
    </row>
    <row r="3252" spans="1:7">
      <c r="A3252" t="s">
        <v>4157</v>
      </c>
      <c r="G3252" t="s">
        <v>4154</v>
      </c>
    </row>
    <row r="3253" spans="1:7">
      <c r="A3253" t="s">
        <v>5060</v>
      </c>
      <c r="G3253" t="s">
        <v>4154</v>
      </c>
    </row>
    <row r="3254" spans="1:7">
      <c r="A3254" t="s">
        <v>4825</v>
      </c>
      <c r="G3254" t="s">
        <v>4154</v>
      </c>
    </row>
    <row r="3255" spans="1:8">
      <c r="A3255" t="s">
        <v>4055</v>
      </c>
      <c r="G3255" t="s">
        <v>4154</v>
      </c>
      <c r="H3255">
        <v>5396097</v>
      </c>
    </row>
    <row r="3256" spans="1:7">
      <c r="A3256" t="s">
        <v>4142</v>
      </c>
      <c r="G3256" t="s">
        <v>4154</v>
      </c>
    </row>
    <row r="3257" spans="1:7">
      <c r="A3257" t="s">
        <v>4614</v>
      </c>
      <c r="G3257" t="s">
        <v>4154</v>
      </c>
    </row>
    <row r="3258" spans="1:7">
      <c r="A3258" t="s">
        <v>4171</v>
      </c>
      <c r="G3258" t="s">
        <v>4154</v>
      </c>
    </row>
    <row r="3259" spans="1:7">
      <c r="A3259" t="s">
        <v>4124</v>
      </c>
      <c r="G3259" t="s">
        <v>4154</v>
      </c>
    </row>
    <row r="3260" spans="1:7">
      <c r="A3260" t="s">
        <v>4581</v>
      </c>
      <c r="G3260" t="s">
        <v>4154</v>
      </c>
    </row>
    <row r="3261" spans="1:7">
      <c r="A3261" t="s">
        <v>4211</v>
      </c>
      <c r="G3261" t="s">
        <v>4154</v>
      </c>
    </row>
    <row r="3262" spans="1:7">
      <c r="A3262" t="s">
        <v>4091</v>
      </c>
      <c r="G3262" t="s">
        <v>5061</v>
      </c>
    </row>
    <row r="3263" spans="1:7">
      <c r="A3263" t="s">
        <v>4136</v>
      </c>
      <c r="G3263" t="s">
        <v>5062</v>
      </c>
    </row>
    <row r="3264" spans="1:7">
      <c r="A3264" t="s">
        <v>4620</v>
      </c>
      <c r="G3264" t="s">
        <v>4097</v>
      </c>
    </row>
    <row r="3265" spans="1:7">
      <c r="A3265" t="s">
        <v>4454</v>
      </c>
      <c r="G3265" t="s">
        <v>4097</v>
      </c>
    </row>
    <row r="3266" spans="1:7">
      <c r="A3266" t="s">
        <v>4474</v>
      </c>
      <c r="G3266" t="s">
        <v>4097</v>
      </c>
    </row>
    <row r="3267" spans="1:7">
      <c r="A3267" t="s">
        <v>4426</v>
      </c>
      <c r="G3267" t="s">
        <v>4097</v>
      </c>
    </row>
    <row r="3268" spans="1:7">
      <c r="A3268" t="s">
        <v>4082</v>
      </c>
      <c r="G3268" t="s">
        <v>4097</v>
      </c>
    </row>
    <row r="3269" spans="1:7">
      <c r="A3269" t="s">
        <v>5037</v>
      </c>
      <c r="G3269" t="s">
        <v>4097</v>
      </c>
    </row>
    <row r="3270" spans="1:7">
      <c r="A3270" t="s">
        <v>4218</v>
      </c>
      <c r="G3270" t="s">
        <v>4097</v>
      </c>
    </row>
    <row r="3271" spans="1:7">
      <c r="A3271" t="s">
        <v>4894</v>
      </c>
      <c r="G3271" t="s">
        <v>4097</v>
      </c>
    </row>
    <row r="3272" spans="1:7">
      <c r="A3272" t="s">
        <v>4489</v>
      </c>
      <c r="G3272" t="s">
        <v>4097</v>
      </c>
    </row>
    <row r="3273" spans="1:7">
      <c r="A3273" t="s">
        <v>4113</v>
      </c>
      <c r="G3273" t="s">
        <v>4097</v>
      </c>
    </row>
    <row r="3274" spans="1:7">
      <c r="A3274" t="s">
        <v>4112</v>
      </c>
      <c r="G3274" t="s">
        <v>4097</v>
      </c>
    </row>
    <row r="3275" spans="1:7">
      <c r="A3275" t="s">
        <v>4556</v>
      </c>
      <c r="G3275" t="s">
        <v>4097</v>
      </c>
    </row>
    <row r="3276" spans="1:7">
      <c r="A3276" t="s">
        <v>4239</v>
      </c>
      <c r="B3276">
        <v>5335097</v>
      </c>
      <c r="G3276" t="s">
        <v>4097</v>
      </c>
    </row>
    <row r="3277" spans="1:7">
      <c r="A3277" t="s">
        <v>4658</v>
      </c>
      <c r="G3277" t="s">
        <v>4097</v>
      </c>
    </row>
    <row r="3278" spans="1:7">
      <c r="A3278" t="s">
        <v>5046</v>
      </c>
      <c r="G3278" t="s">
        <v>4097</v>
      </c>
    </row>
    <row r="3279" spans="1:7">
      <c r="A3279" t="s">
        <v>5063</v>
      </c>
      <c r="G3279" t="s">
        <v>4097</v>
      </c>
    </row>
    <row r="3280" spans="1:7">
      <c r="A3280" t="s">
        <v>4148</v>
      </c>
      <c r="G3280" t="s">
        <v>4097</v>
      </c>
    </row>
    <row r="3281" spans="1:7">
      <c r="A3281" t="s">
        <v>4098</v>
      </c>
      <c r="G3281" t="s">
        <v>4097</v>
      </c>
    </row>
    <row r="3282" spans="1:7">
      <c r="A3282" t="s">
        <v>4150</v>
      </c>
      <c r="G3282" t="s">
        <v>4097</v>
      </c>
    </row>
    <row r="3283" spans="1:7">
      <c r="A3283" t="s">
        <v>4959</v>
      </c>
      <c r="G3283" t="s">
        <v>4097</v>
      </c>
    </row>
    <row r="3284" spans="1:7">
      <c r="A3284" t="s">
        <v>4147</v>
      </c>
      <c r="G3284" t="s">
        <v>4097</v>
      </c>
    </row>
    <row r="3285" spans="1:7">
      <c r="A3285" t="s">
        <v>4979</v>
      </c>
      <c r="G3285" t="s">
        <v>4097</v>
      </c>
    </row>
    <row r="3286" spans="1:7">
      <c r="A3286" t="s">
        <v>4625</v>
      </c>
      <c r="G3286" t="s">
        <v>4097</v>
      </c>
    </row>
    <row r="3287" spans="1:7">
      <c r="A3287" t="s">
        <v>4415</v>
      </c>
      <c r="G3287" t="s">
        <v>4097</v>
      </c>
    </row>
    <row r="3288" spans="1:7">
      <c r="A3288" t="s">
        <v>4981</v>
      </c>
      <c r="G3288" t="s">
        <v>4097</v>
      </c>
    </row>
    <row r="3289" spans="1:7">
      <c r="A3289" t="s">
        <v>4132</v>
      </c>
      <c r="G3289" t="s">
        <v>4097</v>
      </c>
    </row>
    <row r="3290" spans="1:7">
      <c r="A3290" t="s">
        <v>4908</v>
      </c>
      <c r="G3290" t="s">
        <v>4097</v>
      </c>
    </row>
    <row r="3291" spans="1:7">
      <c r="A3291" t="s">
        <v>5064</v>
      </c>
      <c r="G3291" t="s">
        <v>4097</v>
      </c>
    </row>
    <row r="3292" spans="1:7">
      <c r="A3292" t="s">
        <v>4100</v>
      </c>
      <c r="G3292" t="s">
        <v>4097</v>
      </c>
    </row>
    <row r="3293" spans="1:7">
      <c r="A3293" t="s">
        <v>4455</v>
      </c>
      <c r="G3293" t="s">
        <v>4097</v>
      </c>
    </row>
    <row r="3294" spans="1:7">
      <c r="A3294" t="s">
        <v>4619</v>
      </c>
      <c r="G3294" t="s">
        <v>4097</v>
      </c>
    </row>
    <row r="3295" spans="1:7">
      <c r="A3295" t="s">
        <v>4154</v>
      </c>
      <c r="G3295" t="s">
        <v>4097</v>
      </c>
    </row>
    <row r="3296" spans="1:8">
      <c r="A3296" t="s">
        <v>4610</v>
      </c>
      <c r="G3296" t="s">
        <v>4097</v>
      </c>
      <c r="H3296">
        <v>4977097</v>
      </c>
    </row>
    <row r="3297" spans="1:7">
      <c r="A3297" t="s">
        <v>4109</v>
      </c>
      <c r="G3297" t="s">
        <v>4097</v>
      </c>
    </row>
    <row r="3298" spans="1:7">
      <c r="A3298" t="s">
        <v>4930</v>
      </c>
      <c r="G3298" t="s">
        <v>4097</v>
      </c>
    </row>
    <row r="3299" spans="1:7">
      <c r="A3299" t="s">
        <v>4233</v>
      </c>
      <c r="G3299" t="s">
        <v>4097</v>
      </c>
    </row>
    <row r="3300" spans="1:7">
      <c r="A3300" t="s">
        <v>4764</v>
      </c>
      <c r="G3300" t="s">
        <v>4097</v>
      </c>
    </row>
    <row r="3301" spans="1:7">
      <c r="A3301" t="s">
        <v>4902</v>
      </c>
      <c r="G3301" t="s">
        <v>4097</v>
      </c>
    </row>
    <row r="3302" spans="1:7">
      <c r="A3302" t="s">
        <v>4264</v>
      </c>
      <c r="G3302" t="s">
        <v>4097</v>
      </c>
    </row>
    <row r="3303" spans="1:7">
      <c r="A3303" t="s">
        <v>4205</v>
      </c>
      <c r="G3303" t="s">
        <v>4097</v>
      </c>
    </row>
    <row r="3304" spans="1:7">
      <c r="A3304" t="s">
        <v>5002</v>
      </c>
      <c r="G3304" t="s">
        <v>4097</v>
      </c>
    </row>
    <row r="3305" spans="1:7">
      <c r="A3305" t="s">
        <v>4153</v>
      </c>
      <c r="G3305" t="s">
        <v>4097</v>
      </c>
    </row>
    <row r="3306" spans="1:7">
      <c r="A3306" t="s">
        <v>5065</v>
      </c>
      <c r="B3306">
        <v>5341097</v>
      </c>
      <c r="G3306" t="s">
        <v>4097</v>
      </c>
    </row>
    <row r="3307" spans="1:7">
      <c r="A3307" t="s">
        <v>4471</v>
      </c>
      <c r="G3307" t="s">
        <v>4097</v>
      </c>
    </row>
    <row r="3308" spans="1:7">
      <c r="A3308" t="s">
        <v>4497</v>
      </c>
      <c r="G3308" t="s">
        <v>5066</v>
      </c>
    </row>
    <row r="3309" spans="1:7">
      <c r="A3309" t="s">
        <v>4209</v>
      </c>
      <c r="G3309" t="s">
        <v>4149</v>
      </c>
    </row>
    <row r="3310" spans="1:7">
      <c r="A3310" t="s">
        <v>5067</v>
      </c>
      <c r="G3310" t="s">
        <v>5068</v>
      </c>
    </row>
    <row r="3311" spans="1:7">
      <c r="A3311" t="s">
        <v>5025</v>
      </c>
      <c r="G3311" t="s">
        <v>5068</v>
      </c>
    </row>
    <row r="3312" spans="1:8">
      <c r="A3312" t="s">
        <v>5069</v>
      </c>
      <c r="G3312" t="s">
        <v>4304</v>
      </c>
      <c r="H3312">
        <v>5534097</v>
      </c>
    </row>
    <row r="3313" spans="1:8">
      <c r="A3313" t="s">
        <v>4031</v>
      </c>
      <c r="G3313" t="s">
        <v>4304</v>
      </c>
      <c r="H3313">
        <v>5503097</v>
      </c>
    </row>
    <row r="3314" spans="1:7">
      <c r="A3314" t="s">
        <v>4831</v>
      </c>
      <c r="G3314" t="s">
        <v>4304</v>
      </c>
    </row>
    <row r="3315" spans="1:8">
      <c r="A3315" t="s">
        <v>4084</v>
      </c>
      <c r="B3315">
        <v>5339097</v>
      </c>
      <c r="G3315" t="s">
        <v>4304</v>
      </c>
      <c r="H3315">
        <v>4769097</v>
      </c>
    </row>
    <row r="3316" spans="1:7">
      <c r="A3316" t="s">
        <v>4115</v>
      </c>
      <c r="G3316" t="s">
        <v>4572</v>
      </c>
    </row>
    <row r="3317" spans="1:8">
      <c r="A3317" t="s">
        <v>4192</v>
      </c>
      <c r="G3317" t="s">
        <v>4572</v>
      </c>
      <c r="H3317">
        <v>5432097</v>
      </c>
    </row>
    <row r="3318" spans="1:7">
      <c r="A3318" t="s">
        <v>5070</v>
      </c>
      <c r="G3318" t="s">
        <v>4107</v>
      </c>
    </row>
    <row r="3319" spans="1:7">
      <c r="A3319" t="s">
        <v>4477</v>
      </c>
      <c r="G3319" t="s">
        <v>4107</v>
      </c>
    </row>
    <row r="3320" spans="1:7">
      <c r="A3320" t="s">
        <v>4609</v>
      </c>
      <c r="G3320" t="s">
        <v>4107</v>
      </c>
    </row>
    <row r="3321" spans="1:7">
      <c r="A3321" t="s">
        <v>4870</v>
      </c>
      <c r="G3321" t="s">
        <v>4107</v>
      </c>
    </row>
    <row r="3322" spans="1:7">
      <c r="A3322" t="s">
        <v>4820</v>
      </c>
      <c r="B3322">
        <v>5334097</v>
      </c>
      <c r="G3322" t="s">
        <v>4107</v>
      </c>
    </row>
    <row r="3323" spans="1:7">
      <c r="A3323" t="s">
        <v>5071</v>
      </c>
      <c r="G3323" t="s">
        <v>4107</v>
      </c>
    </row>
    <row r="3324" spans="1:7">
      <c r="A3324" t="s">
        <v>4103</v>
      </c>
      <c r="G3324" t="s">
        <v>4107</v>
      </c>
    </row>
    <row r="3325" spans="1:7">
      <c r="A3325" t="s">
        <v>5029</v>
      </c>
      <c r="G3325" t="s">
        <v>4107</v>
      </c>
    </row>
    <row r="3326" spans="1:7">
      <c r="A3326" t="s">
        <v>4625</v>
      </c>
      <c r="G3326" t="s">
        <v>4107</v>
      </c>
    </row>
    <row r="3327" spans="1:8">
      <c r="A3327" t="s">
        <v>4929</v>
      </c>
      <c r="G3327" t="s">
        <v>4107</v>
      </c>
      <c r="H3327">
        <v>5482097</v>
      </c>
    </row>
    <row r="3328" spans="1:7">
      <c r="A3328" t="s">
        <v>4614</v>
      </c>
      <c r="G3328" t="s">
        <v>4107</v>
      </c>
    </row>
    <row r="3329" spans="1:7">
      <c r="A3329" t="s">
        <v>4902</v>
      </c>
      <c r="G3329" t="s">
        <v>4107</v>
      </c>
    </row>
    <row r="3330" spans="1:7">
      <c r="A3330" t="s">
        <v>4606</v>
      </c>
      <c r="G3330" t="s">
        <v>4107</v>
      </c>
    </row>
    <row r="3331" spans="1:7">
      <c r="A3331" t="s">
        <v>4132</v>
      </c>
      <c r="G3331" t="s">
        <v>4107</v>
      </c>
    </row>
    <row r="3332" spans="1:7">
      <c r="A3332" t="s">
        <v>4154</v>
      </c>
      <c r="G3332" t="s">
        <v>4107</v>
      </c>
    </row>
    <row r="3333" spans="1:7">
      <c r="A3333" t="s">
        <v>4610</v>
      </c>
      <c r="G3333" t="s">
        <v>4107</v>
      </c>
    </row>
    <row r="3334" spans="1:7">
      <c r="A3334" t="s">
        <v>4372</v>
      </c>
      <c r="G3334" t="s">
        <v>4107</v>
      </c>
    </row>
    <row r="3335" spans="1:7">
      <c r="A3335" t="s">
        <v>4459</v>
      </c>
      <c r="G3335" t="s">
        <v>4107</v>
      </c>
    </row>
    <row r="3336" spans="1:7">
      <c r="A3336" t="s">
        <v>4474</v>
      </c>
      <c r="G3336" t="s">
        <v>4107</v>
      </c>
    </row>
    <row r="3337" spans="1:7">
      <c r="A3337" t="s">
        <v>4211</v>
      </c>
      <c r="G3337" t="s">
        <v>4107</v>
      </c>
    </row>
    <row r="3338" spans="1:7">
      <c r="A3338" t="s">
        <v>4290</v>
      </c>
      <c r="G3338" t="s">
        <v>4107</v>
      </c>
    </row>
    <row r="3339" spans="1:8">
      <c r="A3339" t="s">
        <v>4091</v>
      </c>
      <c r="G3339" t="s">
        <v>4107</v>
      </c>
      <c r="H3339">
        <v>5267097</v>
      </c>
    </row>
    <row r="3340" spans="1:7">
      <c r="A3340" t="s">
        <v>4763</v>
      </c>
      <c r="G3340" t="s">
        <v>4107</v>
      </c>
    </row>
    <row r="3341" spans="1:7">
      <c r="A3341" t="s">
        <v>4959</v>
      </c>
      <c r="G3341" t="s">
        <v>4107</v>
      </c>
    </row>
    <row r="3342" spans="1:7">
      <c r="A3342" t="s">
        <v>4082</v>
      </c>
      <c r="G3342" t="s">
        <v>4107</v>
      </c>
    </row>
    <row r="3343" spans="1:7">
      <c r="A3343" t="s">
        <v>5072</v>
      </c>
      <c r="G3343" t="s">
        <v>4107</v>
      </c>
    </row>
    <row r="3344" spans="1:8">
      <c r="A3344" t="s">
        <v>4440</v>
      </c>
      <c r="G3344" t="s">
        <v>4034</v>
      </c>
      <c r="H3344">
        <v>5643097</v>
      </c>
    </row>
    <row r="3345" spans="1:7">
      <c r="A3345" t="s">
        <v>4112</v>
      </c>
      <c r="B3345">
        <v>5336097</v>
      </c>
      <c r="G3345" t="s">
        <v>4034</v>
      </c>
    </row>
    <row r="3346" spans="1:7">
      <c r="A3346" t="s">
        <v>4454</v>
      </c>
      <c r="G3346" t="s">
        <v>4034</v>
      </c>
    </row>
    <row r="3347" spans="1:7">
      <c r="A3347" t="s">
        <v>4763</v>
      </c>
      <c r="G3347" t="s">
        <v>4034</v>
      </c>
    </row>
    <row r="3348" spans="1:7">
      <c r="A3348" t="s">
        <v>4109</v>
      </c>
      <c r="G3348" t="s">
        <v>4034</v>
      </c>
    </row>
    <row r="3349" spans="1:7">
      <c r="A3349" t="s">
        <v>4055</v>
      </c>
      <c r="G3349" t="s">
        <v>4034</v>
      </c>
    </row>
    <row r="3350" spans="1:7">
      <c r="A3350" t="s">
        <v>4107</v>
      </c>
      <c r="G3350" t="s">
        <v>4590</v>
      </c>
    </row>
    <row r="3351" spans="1:7">
      <c r="A3351" t="s">
        <v>4633</v>
      </c>
      <c r="G3351" t="s">
        <v>4356</v>
      </c>
    </row>
    <row r="3352" spans="1:7">
      <c r="A3352" t="s">
        <v>4084</v>
      </c>
      <c r="G3352" t="s">
        <v>4356</v>
      </c>
    </row>
    <row r="3353" spans="1:7">
      <c r="A3353" t="s">
        <v>4930</v>
      </c>
      <c r="G3353" t="s">
        <v>4356</v>
      </c>
    </row>
    <row r="3354" spans="1:7">
      <c r="A3354" t="s">
        <v>4959</v>
      </c>
      <c r="G3354" t="s">
        <v>4356</v>
      </c>
    </row>
    <row r="3355" spans="1:7">
      <c r="A3355" t="s">
        <v>4979</v>
      </c>
      <c r="G3355" t="s">
        <v>4356</v>
      </c>
    </row>
    <row r="3356" spans="1:7">
      <c r="A3356" t="s">
        <v>4480</v>
      </c>
      <c r="G3356" t="s">
        <v>4356</v>
      </c>
    </row>
    <row r="3357" spans="1:8">
      <c r="A3357" t="s">
        <v>4186</v>
      </c>
      <c r="G3357" t="s">
        <v>4356</v>
      </c>
      <c r="H3357">
        <v>5214097</v>
      </c>
    </row>
    <row r="3358" spans="1:8">
      <c r="A3358" t="s">
        <v>4764</v>
      </c>
      <c r="G3358" t="s">
        <v>4356</v>
      </c>
      <c r="H3358">
        <v>5213097</v>
      </c>
    </row>
    <row r="3359" spans="1:7">
      <c r="A3359" t="s">
        <v>4091</v>
      </c>
      <c r="G3359" t="s">
        <v>4356</v>
      </c>
    </row>
    <row r="3360" spans="1:7">
      <c r="A3360" t="s">
        <v>4401</v>
      </c>
      <c r="G3360" t="s">
        <v>4356</v>
      </c>
    </row>
    <row r="3361" spans="1:7">
      <c r="A3361" t="s">
        <v>4457</v>
      </c>
      <c r="G3361" t="s">
        <v>4356</v>
      </c>
    </row>
    <row r="3362" spans="1:7">
      <c r="A3362" t="s">
        <v>4562</v>
      </c>
      <c r="G3362" t="s">
        <v>4356</v>
      </c>
    </row>
    <row r="3363" spans="1:7">
      <c r="A3363" t="s">
        <v>4820</v>
      </c>
      <c r="G3363" t="s">
        <v>4356</v>
      </c>
    </row>
    <row r="3364" spans="1:7">
      <c r="A3364" t="s">
        <v>4571</v>
      </c>
      <c r="G3364" t="s">
        <v>4356</v>
      </c>
    </row>
    <row r="3365" spans="1:7">
      <c r="A3365" t="s">
        <v>4077</v>
      </c>
      <c r="G3365" t="s">
        <v>4356</v>
      </c>
    </row>
    <row r="3366" spans="1:7">
      <c r="A3366" t="s">
        <v>4142</v>
      </c>
      <c r="G3366" t="s">
        <v>4356</v>
      </c>
    </row>
    <row r="3367" spans="1:8">
      <c r="A3367" t="s">
        <v>4474</v>
      </c>
      <c r="G3367" t="s">
        <v>4356</v>
      </c>
      <c r="H3367">
        <v>5101097</v>
      </c>
    </row>
    <row r="3368" spans="1:7">
      <c r="A3368" t="s">
        <v>4171</v>
      </c>
      <c r="G3368" t="s">
        <v>4356</v>
      </c>
    </row>
    <row r="3369" spans="1:7">
      <c r="A3369" t="s">
        <v>4477</v>
      </c>
      <c r="G3369" t="s">
        <v>4356</v>
      </c>
    </row>
    <row r="3370" spans="1:7">
      <c r="A3370" t="s">
        <v>4870</v>
      </c>
      <c r="G3370" t="s">
        <v>4356</v>
      </c>
    </row>
    <row r="3371" spans="1:7">
      <c r="A3371" t="s">
        <v>4115</v>
      </c>
      <c r="G3371" t="s">
        <v>4356</v>
      </c>
    </row>
    <row r="3372" spans="1:7">
      <c r="A3372" t="s">
        <v>4697</v>
      </c>
      <c r="G3372" t="s">
        <v>4356</v>
      </c>
    </row>
    <row r="3373" spans="1:7">
      <c r="A3373" t="s">
        <v>4147</v>
      </c>
      <c r="G3373" t="s">
        <v>4356</v>
      </c>
    </row>
    <row r="3374" spans="1:7">
      <c r="A3374" t="s">
        <v>5059</v>
      </c>
      <c r="G3374" t="s">
        <v>4356</v>
      </c>
    </row>
    <row r="3375" spans="1:7">
      <c r="A3375" t="s">
        <v>4152</v>
      </c>
      <c r="G3375" t="s">
        <v>4356</v>
      </c>
    </row>
    <row r="3376" spans="1:7">
      <c r="A3376" t="s">
        <v>4705</v>
      </c>
      <c r="G3376" t="s">
        <v>4356</v>
      </c>
    </row>
    <row r="3377" spans="1:7">
      <c r="A3377" t="s">
        <v>4437</v>
      </c>
      <c r="G3377" t="s">
        <v>4356</v>
      </c>
    </row>
    <row r="3378" spans="1:7">
      <c r="A3378" t="s">
        <v>4581</v>
      </c>
      <c r="G3378" t="s">
        <v>4356</v>
      </c>
    </row>
    <row r="3379" spans="1:7">
      <c r="A3379" t="s">
        <v>4113</v>
      </c>
      <c r="G3379" t="s">
        <v>4356</v>
      </c>
    </row>
    <row r="3380" spans="1:7">
      <c r="A3380" t="s">
        <v>4153</v>
      </c>
      <c r="G3380" t="s">
        <v>4356</v>
      </c>
    </row>
    <row r="3381" spans="1:7">
      <c r="A3381" t="s">
        <v>4211</v>
      </c>
      <c r="G3381" t="s">
        <v>4356</v>
      </c>
    </row>
    <row r="3382" spans="1:7">
      <c r="A3382" t="s">
        <v>4233</v>
      </c>
      <c r="G3382" t="s">
        <v>4356</v>
      </c>
    </row>
    <row r="3383" spans="1:8">
      <c r="A3383" t="s">
        <v>4625</v>
      </c>
      <c r="G3383" t="s">
        <v>4356</v>
      </c>
      <c r="H3383">
        <v>4912097</v>
      </c>
    </row>
    <row r="3384" spans="1:7">
      <c r="A3384" t="s">
        <v>4230</v>
      </c>
      <c r="G3384" t="s">
        <v>4356</v>
      </c>
    </row>
    <row r="3385" spans="1:7">
      <c r="A3385" t="s">
        <v>4619</v>
      </c>
      <c r="G3385" t="s">
        <v>4356</v>
      </c>
    </row>
    <row r="3386" spans="1:7">
      <c r="A3386" t="s">
        <v>4563</v>
      </c>
      <c r="G3386" t="s">
        <v>4356</v>
      </c>
    </row>
    <row r="3387" spans="1:7">
      <c r="A3387" t="s">
        <v>4455</v>
      </c>
      <c r="G3387" t="s">
        <v>4356</v>
      </c>
    </row>
    <row r="3388" spans="1:7">
      <c r="A3388" t="s">
        <v>5064</v>
      </c>
      <c r="G3388" t="s">
        <v>4356</v>
      </c>
    </row>
    <row r="3389" spans="1:7">
      <c r="A3389" t="s">
        <v>4620</v>
      </c>
      <c r="G3389" t="s">
        <v>4356</v>
      </c>
    </row>
    <row r="3390" spans="1:7">
      <c r="A3390" t="s">
        <v>4290</v>
      </c>
      <c r="G3390" t="s">
        <v>4356</v>
      </c>
    </row>
    <row r="3391" spans="1:7">
      <c r="A3391" t="s">
        <v>4606</v>
      </c>
      <c r="G3391" t="s">
        <v>4356</v>
      </c>
    </row>
    <row r="3392" spans="1:8">
      <c r="A3392" t="s">
        <v>4218</v>
      </c>
      <c r="G3392" t="s">
        <v>4356</v>
      </c>
      <c r="H3392">
        <v>4844097</v>
      </c>
    </row>
    <row r="3393" spans="1:7">
      <c r="A3393" t="s">
        <v>4157</v>
      </c>
      <c r="G3393" t="s">
        <v>4356</v>
      </c>
    </row>
    <row r="3394" spans="1:8">
      <c r="A3394" t="s">
        <v>4610</v>
      </c>
      <c r="G3394" t="s">
        <v>4356</v>
      </c>
      <c r="H3394">
        <v>4838097</v>
      </c>
    </row>
    <row r="3395" spans="1:7">
      <c r="A3395" t="s">
        <v>4264</v>
      </c>
      <c r="G3395" t="s">
        <v>4356</v>
      </c>
    </row>
    <row r="3396" spans="1:7">
      <c r="A3396" t="s">
        <v>4521</v>
      </c>
      <c r="G3396" t="s">
        <v>4356</v>
      </c>
    </row>
    <row r="3397" spans="1:7">
      <c r="A3397" t="s">
        <v>4808</v>
      </c>
      <c r="G3397" t="s">
        <v>4356</v>
      </c>
    </row>
    <row r="3398" spans="1:7">
      <c r="A3398" t="s">
        <v>4092</v>
      </c>
      <c r="G3398" t="s">
        <v>4356</v>
      </c>
    </row>
    <row r="3399" spans="1:7">
      <c r="A3399" t="s">
        <v>4082</v>
      </c>
      <c r="G3399" t="s">
        <v>4356</v>
      </c>
    </row>
    <row r="3400" spans="1:7">
      <c r="A3400" t="s">
        <v>4719</v>
      </c>
      <c r="G3400" t="s">
        <v>4356</v>
      </c>
    </row>
    <row r="3401" spans="1:7">
      <c r="A3401" t="s">
        <v>4136</v>
      </c>
      <c r="G3401" t="s">
        <v>4356</v>
      </c>
    </row>
    <row r="3402" spans="1:7">
      <c r="A3402" t="s">
        <v>4009</v>
      </c>
      <c r="G3402" t="s">
        <v>4356</v>
      </c>
    </row>
    <row r="3403" spans="1:7">
      <c r="A3403" t="s">
        <v>4154</v>
      </c>
      <c r="G3403" t="s">
        <v>4356</v>
      </c>
    </row>
    <row r="3404" spans="1:7">
      <c r="A3404" t="s">
        <v>4098</v>
      </c>
      <c r="G3404" t="s">
        <v>4356</v>
      </c>
    </row>
    <row r="3405" spans="1:7">
      <c r="A3405" t="s">
        <v>4122</v>
      </c>
      <c r="G3405" t="s">
        <v>4356</v>
      </c>
    </row>
    <row r="3406" spans="1:7">
      <c r="A3406" t="s">
        <v>4159</v>
      </c>
      <c r="B3406">
        <v>5335097</v>
      </c>
      <c r="G3406" t="s">
        <v>4356</v>
      </c>
    </row>
    <row r="3407" spans="1:7">
      <c r="A3407" t="s">
        <v>4650</v>
      </c>
      <c r="G3407" t="s">
        <v>4356</v>
      </c>
    </row>
    <row r="3408" spans="1:7">
      <c r="A3408" t="s">
        <v>4656</v>
      </c>
      <c r="B3408">
        <v>5333097</v>
      </c>
      <c r="G3408" t="s">
        <v>4356</v>
      </c>
    </row>
    <row r="3409" spans="1:7">
      <c r="A3409" t="s">
        <v>4113</v>
      </c>
      <c r="G3409" t="s">
        <v>4356</v>
      </c>
    </row>
    <row r="3410" spans="1:7">
      <c r="A3410" t="s">
        <v>4276</v>
      </c>
      <c r="G3410" t="s">
        <v>4356</v>
      </c>
    </row>
    <row r="3411" spans="1:7">
      <c r="A3411" t="s">
        <v>4103</v>
      </c>
      <c r="G3411" t="s">
        <v>4114</v>
      </c>
    </row>
    <row r="3412" spans="1:7">
      <c r="A3412" t="s">
        <v>5053</v>
      </c>
      <c r="G3412" t="s">
        <v>5073</v>
      </c>
    </row>
    <row r="3413" spans="1:7">
      <c r="A3413" t="s">
        <v>4152</v>
      </c>
      <c r="G3413" t="s">
        <v>5073</v>
      </c>
    </row>
    <row r="3414" spans="1:7">
      <c r="A3414" t="s">
        <v>4115</v>
      </c>
      <c r="G3414" t="s">
        <v>5074</v>
      </c>
    </row>
    <row r="3415" spans="1:7">
      <c r="A3415" t="s">
        <v>4136</v>
      </c>
      <c r="G3415" t="s">
        <v>5074</v>
      </c>
    </row>
    <row r="3416" spans="1:7">
      <c r="A3416" t="s">
        <v>4055</v>
      </c>
      <c r="G3416" t="s">
        <v>4518</v>
      </c>
    </row>
    <row r="3417" spans="1:7">
      <c r="A3417" t="s">
        <v>4171</v>
      </c>
      <c r="G3417" t="s">
        <v>4518</v>
      </c>
    </row>
    <row r="3418" spans="1:7">
      <c r="A3418" t="s">
        <v>4477</v>
      </c>
      <c r="G3418" t="s">
        <v>4518</v>
      </c>
    </row>
    <row r="3419" spans="1:7">
      <c r="A3419" t="s">
        <v>4669</v>
      </c>
      <c r="G3419" t="s">
        <v>4518</v>
      </c>
    </row>
    <row r="3420" spans="1:7">
      <c r="A3420" t="s">
        <v>4562</v>
      </c>
      <c r="G3420" t="s">
        <v>4518</v>
      </c>
    </row>
    <row r="3421" spans="1:7">
      <c r="A3421" t="s">
        <v>4625</v>
      </c>
      <c r="G3421" t="s">
        <v>4518</v>
      </c>
    </row>
    <row r="3422" spans="1:7">
      <c r="A3422" t="s">
        <v>4564</v>
      </c>
      <c r="G3422" t="s">
        <v>4518</v>
      </c>
    </row>
    <row r="3423" spans="1:7">
      <c r="A3423" t="s">
        <v>4082</v>
      </c>
      <c r="G3423" t="s">
        <v>4518</v>
      </c>
    </row>
    <row r="3424" spans="1:7">
      <c r="A3424" t="s">
        <v>4971</v>
      </c>
      <c r="G3424" t="s">
        <v>4518</v>
      </c>
    </row>
    <row r="3425" spans="1:7">
      <c r="A3425" t="s">
        <v>5012</v>
      </c>
      <c r="G3425" t="s">
        <v>4518</v>
      </c>
    </row>
    <row r="3426" spans="1:7">
      <c r="A3426" t="s">
        <v>4085</v>
      </c>
      <c r="G3426" t="s">
        <v>4518</v>
      </c>
    </row>
    <row r="3427" spans="1:7">
      <c r="A3427" t="s">
        <v>4161</v>
      </c>
      <c r="G3427" t="s">
        <v>4518</v>
      </c>
    </row>
    <row r="3428" spans="1:7">
      <c r="A3428" t="s">
        <v>4667</v>
      </c>
      <c r="G3428" t="s">
        <v>4518</v>
      </c>
    </row>
    <row r="3429" spans="1:7">
      <c r="A3429" t="s">
        <v>4826</v>
      </c>
      <c r="G3429" t="s">
        <v>5044</v>
      </c>
    </row>
    <row r="3430" spans="1:7">
      <c r="A3430" t="s">
        <v>4095</v>
      </c>
      <c r="G3430" t="s">
        <v>4546</v>
      </c>
    </row>
    <row r="3431" spans="1:8">
      <c r="A3431" t="s">
        <v>4666</v>
      </c>
      <c r="G3431" t="s">
        <v>4263</v>
      </c>
      <c r="H3431">
        <v>5585097</v>
      </c>
    </row>
    <row r="3432" spans="1:7">
      <c r="A3432" t="s">
        <v>4291</v>
      </c>
      <c r="G3432" t="s">
        <v>4263</v>
      </c>
    </row>
    <row r="3433" spans="1:7">
      <c r="A3433" t="s">
        <v>4401</v>
      </c>
      <c r="G3433" t="s">
        <v>4263</v>
      </c>
    </row>
    <row r="3434" spans="1:7">
      <c r="A3434" t="s">
        <v>4820</v>
      </c>
      <c r="G3434" t="s">
        <v>4263</v>
      </c>
    </row>
    <row r="3435" spans="1:7">
      <c r="A3435" t="s">
        <v>4091</v>
      </c>
      <c r="G3435" t="s">
        <v>4263</v>
      </c>
    </row>
    <row r="3436" spans="1:7">
      <c r="A3436" t="s">
        <v>4176</v>
      </c>
      <c r="G3436" t="s">
        <v>4263</v>
      </c>
    </row>
    <row r="3437" spans="1:7">
      <c r="A3437" t="s">
        <v>4373</v>
      </c>
      <c r="G3437" t="s">
        <v>4263</v>
      </c>
    </row>
    <row r="3438" spans="1:7">
      <c r="A3438" t="s">
        <v>3985</v>
      </c>
      <c r="G3438" t="s">
        <v>4263</v>
      </c>
    </row>
    <row r="3439" spans="1:7">
      <c r="A3439" t="s">
        <v>4999</v>
      </c>
      <c r="G3439" t="s">
        <v>5075</v>
      </c>
    </row>
    <row r="3440" spans="1:7">
      <c r="A3440" t="s">
        <v>4158</v>
      </c>
      <c r="G3440" t="s">
        <v>5075</v>
      </c>
    </row>
    <row r="3441" spans="1:7">
      <c r="A3441" t="s">
        <v>4870</v>
      </c>
      <c r="G3441" t="s">
        <v>5075</v>
      </c>
    </row>
    <row r="3442" spans="1:7">
      <c r="A3442" t="s">
        <v>4703</v>
      </c>
      <c r="G3442" t="s">
        <v>5075</v>
      </c>
    </row>
    <row r="3443" spans="1:7">
      <c r="A3443" t="s">
        <v>4719</v>
      </c>
      <c r="G3443" t="s">
        <v>5075</v>
      </c>
    </row>
    <row r="3444" spans="1:7">
      <c r="A3444" t="s">
        <v>4881</v>
      </c>
      <c r="G3444" t="s">
        <v>5075</v>
      </c>
    </row>
    <row r="3445" spans="1:8">
      <c r="A3445" t="s">
        <v>4993</v>
      </c>
      <c r="G3445" t="s">
        <v>5075</v>
      </c>
      <c r="H3445">
        <v>5215097</v>
      </c>
    </row>
    <row r="3446" spans="1:7">
      <c r="A3446" t="s">
        <v>4112</v>
      </c>
      <c r="G3446" t="s">
        <v>5075</v>
      </c>
    </row>
    <row r="3447" spans="1:7">
      <c r="A3447" t="s">
        <v>4809</v>
      </c>
      <c r="G3447" t="s">
        <v>5075</v>
      </c>
    </row>
    <row r="3448" spans="1:7">
      <c r="A3448" t="s">
        <v>4655</v>
      </c>
      <c r="G3448" t="s">
        <v>5075</v>
      </c>
    </row>
    <row r="3449" spans="1:8">
      <c r="A3449" t="s">
        <v>4658</v>
      </c>
      <c r="G3449" t="s">
        <v>5075</v>
      </c>
      <c r="H3449">
        <v>5137097</v>
      </c>
    </row>
    <row r="3450" spans="1:7">
      <c r="A3450" t="s">
        <v>4156</v>
      </c>
      <c r="G3450" t="s">
        <v>5075</v>
      </c>
    </row>
    <row r="3451" spans="1:8">
      <c r="A3451" t="s">
        <v>4100</v>
      </c>
      <c r="G3451" t="s">
        <v>5075</v>
      </c>
      <c r="H3451">
        <v>5124097</v>
      </c>
    </row>
    <row r="3452" spans="1:7">
      <c r="A3452" t="s">
        <v>4239</v>
      </c>
      <c r="B3452">
        <v>5334097</v>
      </c>
      <c r="G3452" t="s">
        <v>5075</v>
      </c>
    </row>
    <row r="3453" spans="1:7">
      <c r="A3453" t="s">
        <v>4808</v>
      </c>
      <c r="G3453" t="s">
        <v>5076</v>
      </c>
    </row>
    <row r="3454" spans="1:7">
      <c r="A3454" t="s">
        <v>4707</v>
      </c>
      <c r="G3454" t="s">
        <v>4926</v>
      </c>
    </row>
    <row r="3455" spans="1:7">
      <c r="A3455" t="s">
        <v>4930</v>
      </c>
      <c r="G3455" t="s">
        <v>5041</v>
      </c>
    </row>
    <row r="3456" spans="1:7">
      <c r="A3456" t="s">
        <v>4450</v>
      </c>
      <c r="G3456" t="s">
        <v>5041</v>
      </c>
    </row>
    <row r="3457" spans="1:7">
      <c r="A3457" t="s">
        <v>3993</v>
      </c>
      <c r="G3457" t="s">
        <v>5041</v>
      </c>
    </row>
    <row r="3458" spans="1:7">
      <c r="A3458" t="s">
        <v>4237</v>
      </c>
      <c r="G3458" t="s">
        <v>5041</v>
      </c>
    </row>
    <row r="3459" spans="1:7">
      <c r="A3459" t="s">
        <v>4364</v>
      </c>
      <c r="G3459" t="s">
        <v>5041</v>
      </c>
    </row>
    <row r="3460" spans="1:7">
      <c r="A3460" t="s">
        <v>4581</v>
      </c>
      <c r="G3460" t="s">
        <v>5077</v>
      </c>
    </row>
    <row r="3461" spans="1:7">
      <c r="A3461" t="s">
        <v>4152</v>
      </c>
      <c r="G3461" t="s">
        <v>4093</v>
      </c>
    </row>
    <row r="3462" spans="1:7">
      <c r="A3462" t="s">
        <v>4474</v>
      </c>
      <c r="G3462" t="s">
        <v>4093</v>
      </c>
    </row>
    <row r="3463" spans="1:7">
      <c r="A3463" t="s">
        <v>4545</v>
      </c>
      <c r="G3463" t="s">
        <v>5078</v>
      </c>
    </row>
    <row r="3464" spans="1:7">
      <c r="A3464" t="s">
        <v>4107</v>
      </c>
      <c r="G3464" t="s">
        <v>5078</v>
      </c>
    </row>
    <row r="3465" spans="1:7">
      <c r="A3465" t="s">
        <v>4098</v>
      </c>
      <c r="G3465" t="s">
        <v>5079</v>
      </c>
    </row>
    <row r="3466" spans="1:7">
      <c r="A3466" t="s">
        <v>4091</v>
      </c>
      <c r="G3466" t="s">
        <v>4709</v>
      </c>
    </row>
    <row r="3467" spans="1:7">
      <c r="A3467" t="s">
        <v>4122</v>
      </c>
      <c r="G3467" t="s">
        <v>4042</v>
      </c>
    </row>
    <row r="3468" spans="1:7">
      <c r="A3468" t="s">
        <v>4520</v>
      </c>
      <c r="G3468" t="s">
        <v>4472</v>
      </c>
    </row>
    <row r="3469" spans="1:7">
      <c r="A3469" t="s">
        <v>4979</v>
      </c>
      <c r="G3469" t="s">
        <v>4472</v>
      </c>
    </row>
    <row r="3470" spans="1:7">
      <c r="A3470" t="s">
        <v>4084</v>
      </c>
      <c r="G3470" t="s">
        <v>4472</v>
      </c>
    </row>
    <row r="3471" spans="1:7">
      <c r="A3471" t="s">
        <v>4697</v>
      </c>
      <c r="G3471" t="s">
        <v>4472</v>
      </c>
    </row>
    <row r="3472" spans="1:7">
      <c r="A3472" t="s">
        <v>4112</v>
      </c>
      <c r="G3472" t="s">
        <v>5080</v>
      </c>
    </row>
    <row r="3473" spans="1:8">
      <c r="A3473" t="s">
        <v>4147</v>
      </c>
      <c r="G3473" t="s">
        <v>4123</v>
      </c>
      <c r="H3473">
        <v>5631097</v>
      </c>
    </row>
    <row r="3474" spans="1:7">
      <c r="A3474" t="s">
        <v>4286</v>
      </c>
      <c r="G3474" t="s">
        <v>4123</v>
      </c>
    </row>
    <row r="3475" spans="1:7">
      <c r="A3475" t="s">
        <v>4524</v>
      </c>
      <c r="G3475" t="s">
        <v>4123</v>
      </c>
    </row>
    <row r="3476" spans="1:7">
      <c r="A3476" t="s">
        <v>4142</v>
      </c>
      <c r="G3476" t="s">
        <v>4123</v>
      </c>
    </row>
    <row r="3477" spans="1:7">
      <c r="A3477" t="s">
        <v>4159</v>
      </c>
      <c r="G3477" t="s">
        <v>4123</v>
      </c>
    </row>
    <row r="3478" spans="1:7">
      <c r="A3478" t="s">
        <v>4171</v>
      </c>
      <c r="G3478" t="s">
        <v>4123</v>
      </c>
    </row>
    <row r="3479" spans="1:7">
      <c r="A3479" t="s">
        <v>4588</v>
      </c>
      <c r="G3479" t="s">
        <v>5081</v>
      </c>
    </row>
    <row r="3480" spans="1:7">
      <c r="A3480" t="s">
        <v>4136</v>
      </c>
      <c r="B3480">
        <v>5326097</v>
      </c>
      <c r="G3480" t="s">
        <v>4213</v>
      </c>
    </row>
    <row r="3481" spans="1:7">
      <c r="A3481" t="s">
        <v>4218</v>
      </c>
      <c r="G3481" t="s">
        <v>4674</v>
      </c>
    </row>
    <row r="3482" spans="1:7">
      <c r="A3482" t="s">
        <v>5034</v>
      </c>
      <c r="G3482" t="s">
        <v>4668</v>
      </c>
    </row>
    <row r="3483" spans="1:7">
      <c r="A3483" t="s">
        <v>4062</v>
      </c>
      <c r="G3483" t="s">
        <v>4806</v>
      </c>
    </row>
    <row r="3484" spans="1:7">
      <c r="A3484" t="s">
        <v>4258</v>
      </c>
      <c r="B3484">
        <v>5319097</v>
      </c>
      <c r="G3484" t="s">
        <v>4806</v>
      </c>
    </row>
    <row r="3485" spans="1:7">
      <c r="A3485" t="s">
        <v>4401</v>
      </c>
      <c r="G3485" t="s">
        <v>4150</v>
      </c>
    </row>
    <row r="3486" spans="1:7">
      <c r="A3486" t="s">
        <v>4870</v>
      </c>
      <c r="G3486" t="s">
        <v>4150</v>
      </c>
    </row>
    <row r="3487" spans="1:7">
      <c r="A3487" t="s">
        <v>4188</v>
      </c>
      <c r="G3487" t="s">
        <v>4150</v>
      </c>
    </row>
    <row r="3488" spans="1:7">
      <c r="A3488" t="s">
        <v>4980</v>
      </c>
      <c r="G3488" t="s">
        <v>5082</v>
      </c>
    </row>
    <row r="3489" spans="1:7">
      <c r="A3489" t="s">
        <v>4141</v>
      </c>
      <c r="G3489" t="s">
        <v>3982</v>
      </c>
    </row>
    <row r="3490" spans="1:7">
      <c r="A3490" t="s">
        <v>4562</v>
      </c>
      <c r="G3490" t="s">
        <v>4455</v>
      </c>
    </row>
    <row r="3491" spans="1:7">
      <c r="A3491" t="s">
        <v>4135</v>
      </c>
      <c r="G3491" t="s">
        <v>4455</v>
      </c>
    </row>
    <row r="3492" spans="1:7">
      <c r="A3492" t="s">
        <v>4454</v>
      </c>
      <c r="G3492" t="s">
        <v>4455</v>
      </c>
    </row>
    <row r="3493" spans="1:7">
      <c r="A3493" t="s">
        <v>4437</v>
      </c>
      <c r="G3493" t="s">
        <v>4455</v>
      </c>
    </row>
    <row r="3494" spans="1:7">
      <c r="A3494" t="s">
        <v>4475</v>
      </c>
      <c r="B3494">
        <v>5318097</v>
      </c>
      <c r="G3494" t="s">
        <v>4455</v>
      </c>
    </row>
    <row r="3495" spans="1:7">
      <c r="A3495" t="s">
        <v>4571</v>
      </c>
      <c r="G3495" t="s">
        <v>4455</v>
      </c>
    </row>
    <row r="3496" spans="1:7">
      <c r="A3496" t="s">
        <v>4103</v>
      </c>
      <c r="G3496" t="s">
        <v>4455</v>
      </c>
    </row>
    <row r="3497" spans="1:7">
      <c r="A3497" t="s">
        <v>4108</v>
      </c>
      <c r="G3497" t="s">
        <v>4455</v>
      </c>
    </row>
    <row r="3498" spans="1:7">
      <c r="A3498" t="s">
        <v>4156</v>
      </c>
      <c r="G3498" t="s">
        <v>4455</v>
      </c>
    </row>
    <row r="3499" spans="1:7">
      <c r="A3499" t="s">
        <v>4477</v>
      </c>
      <c r="G3499" t="s">
        <v>4455</v>
      </c>
    </row>
    <row r="3500" spans="1:7">
      <c r="A3500" t="s">
        <v>4563</v>
      </c>
      <c r="G3500" t="s">
        <v>4455</v>
      </c>
    </row>
    <row r="3501" spans="1:7">
      <c r="A3501" t="s">
        <v>4211</v>
      </c>
      <c r="G3501" t="s">
        <v>4455</v>
      </c>
    </row>
    <row r="3502" spans="1:7">
      <c r="A3502" t="s">
        <v>4828</v>
      </c>
      <c r="G3502" t="s">
        <v>4455</v>
      </c>
    </row>
    <row r="3503" spans="1:7">
      <c r="A3503" t="s">
        <v>4525</v>
      </c>
      <c r="G3503" t="s">
        <v>4455</v>
      </c>
    </row>
    <row r="3504" spans="1:7">
      <c r="A3504" t="s">
        <v>4165</v>
      </c>
      <c r="G3504" t="s">
        <v>4455</v>
      </c>
    </row>
    <row r="3505" spans="1:7">
      <c r="A3505" t="s">
        <v>4158</v>
      </c>
      <c r="B3505">
        <v>5316097</v>
      </c>
      <c r="G3505" t="s">
        <v>4455</v>
      </c>
    </row>
    <row r="3506" spans="1:7">
      <c r="A3506" t="s">
        <v>5037</v>
      </c>
      <c r="G3506" t="s">
        <v>4455</v>
      </c>
    </row>
    <row r="3507" spans="1:7">
      <c r="A3507" t="s">
        <v>4625</v>
      </c>
      <c r="G3507" t="s">
        <v>4455</v>
      </c>
    </row>
    <row r="3508" spans="1:7">
      <c r="A3508" t="s">
        <v>4704</v>
      </c>
      <c r="G3508" t="s">
        <v>4455</v>
      </c>
    </row>
    <row r="3509" spans="1:7">
      <c r="A3509" t="s">
        <v>4157</v>
      </c>
      <c r="G3509" t="s">
        <v>4455</v>
      </c>
    </row>
    <row r="3510" spans="1:7">
      <c r="A3510" t="s">
        <v>4589</v>
      </c>
      <c r="G3510" t="s">
        <v>4455</v>
      </c>
    </row>
    <row r="3511" spans="1:7">
      <c r="A3511" t="s">
        <v>4568</v>
      </c>
      <c r="G3511" t="s">
        <v>4455</v>
      </c>
    </row>
    <row r="3512" spans="1:7">
      <c r="A3512" t="s">
        <v>4820</v>
      </c>
      <c r="G3512" t="s">
        <v>4455</v>
      </c>
    </row>
    <row r="3513" spans="1:7">
      <c r="A3513" t="s">
        <v>4131</v>
      </c>
      <c r="G3513" t="s">
        <v>4455</v>
      </c>
    </row>
    <row r="3514" spans="1:7">
      <c r="A3514" t="s">
        <v>4370</v>
      </c>
      <c r="G3514" t="s">
        <v>4455</v>
      </c>
    </row>
    <row r="3515" spans="1:7">
      <c r="A3515" t="s">
        <v>4038</v>
      </c>
      <c r="G3515" t="s">
        <v>4455</v>
      </c>
    </row>
    <row r="3516" spans="1:7">
      <c r="A3516" t="s">
        <v>4109</v>
      </c>
      <c r="G3516" t="s">
        <v>4455</v>
      </c>
    </row>
    <row r="3517" spans="1:7">
      <c r="A3517" t="s">
        <v>4911</v>
      </c>
      <c r="B3517">
        <v>5314097</v>
      </c>
      <c r="G3517" t="s">
        <v>4455</v>
      </c>
    </row>
    <row r="3518" spans="1:7">
      <c r="A3518" t="s">
        <v>4397</v>
      </c>
      <c r="G3518" t="s">
        <v>4455</v>
      </c>
    </row>
    <row r="3519" spans="1:7">
      <c r="A3519" t="s">
        <v>5083</v>
      </c>
      <c r="G3519" t="s">
        <v>4455</v>
      </c>
    </row>
    <row r="3520" spans="1:7">
      <c r="A3520" t="s">
        <v>4478</v>
      </c>
      <c r="G3520" t="s">
        <v>4455</v>
      </c>
    </row>
    <row r="3521" spans="1:7">
      <c r="A3521" t="s">
        <v>4609</v>
      </c>
      <c r="G3521" t="s">
        <v>4455</v>
      </c>
    </row>
    <row r="3522" spans="1:7">
      <c r="A3522" t="s">
        <v>4055</v>
      </c>
      <c r="G3522" t="s">
        <v>4455</v>
      </c>
    </row>
    <row r="3523" spans="1:7">
      <c r="A3523" t="s">
        <v>4666</v>
      </c>
      <c r="B3523">
        <v>5292097</v>
      </c>
      <c r="G3523" t="s">
        <v>4455</v>
      </c>
    </row>
    <row r="3524" spans="1:7">
      <c r="A3524" t="s">
        <v>4082</v>
      </c>
      <c r="G3524" t="s">
        <v>4455</v>
      </c>
    </row>
    <row r="3525" spans="1:7">
      <c r="A3525" t="s">
        <v>4290</v>
      </c>
      <c r="G3525" t="s">
        <v>4455</v>
      </c>
    </row>
    <row r="3526" spans="1:7">
      <c r="A3526" t="s">
        <v>4606</v>
      </c>
      <c r="G3526" t="s">
        <v>4455</v>
      </c>
    </row>
    <row r="3527" spans="1:8">
      <c r="A3527" t="s">
        <v>4009</v>
      </c>
      <c r="G3527" t="s">
        <v>4455</v>
      </c>
      <c r="H3527">
        <v>4936097</v>
      </c>
    </row>
    <row r="3528" spans="1:7">
      <c r="A3528" t="s">
        <v>4085</v>
      </c>
      <c r="G3528" t="s">
        <v>4455</v>
      </c>
    </row>
    <row r="3529" spans="1:7">
      <c r="A3529" t="s">
        <v>4727</v>
      </c>
      <c r="G3529" t="s">
        <v>4455</v>
      </c>
    </row>
    <row r="3530" spans="1:7">
      <c r="A3530" t="s">
        <v>4113</v>
      </c>
      <c r="G3530" t="s">
        <v>4455</v>
      </c>
    </row>
    <row r="3531" spans="1:7">
      <c r="A3531" t="s">
        <v>4480</v>
      </c>
      <c r="G3531" t="s">
        <v>4654</v>
      </c>
    </row>
    <row r="3532" spans="1:7">
      <c r="A3532" t="s">
        <v>4610</v>
      </c>
      <c r="G3532" t="s">
        <v>4654</v>
      </c>
    </row>
    <row r="3533" spans="1:7">
      <c r="A3533" t="s">
        <v>4163</v>
      </c>
      <c r="G3533" t="s">
        <v>4654</v>
      </c>
    </row>
    <row r="3534" spans="1:7">
      <c r="A3534" t="s">
        <v>4143</v>
      </c>
      <c r="G3534" t="s">
        <v>4364</v>
      </c>
    </row>
    <row r="3535" spans="1:7">
      <c r="A3535" t="s">
        <v>4153</v>
      </c>
      <c r="G3535" t="s">
        <v>4364</v>
      </c>
    </row>
    <row r="3536" spans="1:7">
      <c r="A3536" t="s">
        <v>5084</v>
      </c>
      <c r="G3536" t="s">
        <v>4364</v>
      </c>
    </row>
    <row r="3537" spans="1:7">
      <c r="A3537" t="s">
        <v>5085</v>
      </c>
      <c r="B3537">
        <v>5288097</v>
      </c>
      <c r="G3537" t="s">
        <v>4364</v>
      </c>
    </row>
    <row r="3538" spans="1:7">
      <c r="A3538" t="s">
        <v>4707</v>
      </c>
      <c r="B3538">
        <v>5333097</v>
      </c>
      <c r="G3538" t="s">
        <v>4364</v>
      </c>
    </row>
    <row r="3539" spans="1:7">
      <c r="A3539" t="s">
        <v>4124</v>
      </c>
      <c r="G3539" t="s">
        <v>4364</v>
      </c>
    </row>
    <row r="3540" spans="1:7">
      <c r="A3540" t="s">
        <v>4425</v>
      </c>
      <c r="G3540" t="s">
        <v>4364</v>
      </c>
    </row>
    <row r="3541" spans="1:8">
      <c r="A3541" t="s">
        <v>5055</v>
      </c>
      <c r="G3541" t="s">
        <v>4364</v>
      </c>
      <c r="H3541">
        <v>5351097</v>
      </c>
    </row>
    <row r="3542" spans="1:7">
      <c r="A3542" t="s">
        <v>5037</v>
      </c>
      <c r="G3542" t="s">
        <v>4364</v>
      </c>
    </row>
    <row r="3543" spans="1:7">
      <c r="A3543" t="s">
        <v>4113</v>
      </c>
      <c r="G3543" t="s">
        <v>4364</v>
      </c>
    </row>
    <row r="3544" spans="1:7">
      <c r="A3544" t="s">
        <v>4692</v>
      </c>
      <c r="G3544" t="s">
        <v>4364</v>
      </c>
    </row>
    <row r="3545" spans="1:7">
      <c r="A3545" t="s">
        <v>4062</v>
      </c>
      <c r="G3545" t="s">
        <v>4364</v>
      </c>
    </row>
    <row r="3546" spans="1:7">
      <c r="A3546" t="s">
        <v>4428</v>
      </c>
      <c r="G3546" t="s">
        <v>4364</v>
      </c>
    </row>
    <row r="3547" spans="1:7">
      <c r="A3547" t="s">
        <v>4372</v>
      </c>
      <c r="G3547" t="s">
        <v>4364</v>
      </c>
    </row>
    <row r="3548" spans="1:7">
      <c r="A3548" t="s">
        <v>4976</v>
      </c>
      <c r="G3548" t="s">
        <v>4364</v>
      </c>
    </row>
    <row r="3549" spans="1:7">
      <c r="A3549" t="s">
        <v>5084</v>
      </c>
      <c r="G3549" t="s">
        <v>4364</v>
      </c>
    </row>
    <row r="3550" spans="1:7">
      <c r="A3550" t="s">
        <v>4085</v>
      </c>
      <c r="G3550" t="s">
        <v>4364</v>
      </c>
    </row>
    <row r="3551" spans="1:7">
      <c r="A3551" t="s">
        <v>4091</v>
      </c>
      <c r="G3551" t="s">
        <v>4364</v>
      </c>
    </row>
    <row r="3552" spans="1:7">
      <c r="A3552" t="s">
        <v>4103</v>
      </c>
      <c r="G3552" t="s">
        <v>4364</v>
      </c>
    </row>
    <row r="3553" spans="1:7">
      <c r="A3553" t="s">
        <v>4234</v>
      </c>
      <c r="G3553" t="s">
        <v>4364</v>
      </c>
    </row>
    <row r="3554" spans="1:7">
      <c r="A3554" t="s">
        <v>5086</v>
      </c>
      <c r="G3554" t="s">
        <v>4364</v>
      </c>
    </row>
    <row r="3555" spans="1:7">
      <c r="A3555" t="s">
        <v>4218</v>
      </c>
      <c r="G3555" t="s">
        <v>4364</v>
      </c>
    </row>
    <row r="3556" spans="1:7">
      <c r="A3556" t="s">
        <v>4156</v>
      </c>
      <c r="G3556" t="s">
        <v>4364</v>
      </c>
    </row>
    <row r="3557" spans="1:7">
      <c r="A3557" t="s">
        <v>4136</v>
      </c>
      <c r="G3557" t="s">
        <v>4364</v>
      </c>
    </row>
    <row r="3558" spans="1:7">
      <c r="A3558" t="s">
        <v>4135</v>
      </c>
      <c r="G3558" t="s">
        <v>4364</v>
      </c>
    </row>
    <row r="3559" spans="1:7">
      <c r="A3559" t="s">
        <v>4098</v>
      </c>
      <c r="G3559" t="s">
        <v>4364</v>
      </c>
    </row>
    <row r="3560" spans="1:7">
      <c r="A3560" t="s">
        <v>4704</v>
      </c>
      <c r="G3560" t="s">
        <v>4364</v>
      </c>
    </row>
    <row r="3561" spans="1:7">
      <c r="A3561" t="s">
        <v>5008</v>
      </c>
      <c r="G3561" t="s">
        <v>4364</v>
      </c>
    </row>
    <row r="3562" spans="1:7">
      <c r="A3562" t="s">
        <v>4440</v>
      </c>
      <c r="G3562" t="s">
        <v>4364</v>
      </c>
    </row>
    <row r="3563" spans="1:7">
      <c r="A3563" t="s">
        <v>4952</v>
      </c>
      <c r="G3563" t="s">
        <v>4364</v>
      </c>
    </row>
    <row r="3564" spans="1:7">
      <c r="A3564" t="s">
        <v>4565</v>
      </c>
      <c r="G3564" t="s">
        <v>4364</v>
      </c>
    </row>
    <row r="3565" spans="1:7">
      <c r="A3565" t="s">
        <v>4719</v>
      </c>
      <c r="G3565" t="s">
        <v>4364</v>
      </c>
    </row>
    <row r="3566" spans="1:7">
      <c r="A3566" t="s">
        <v>4175</v>
      </c>
      <c r="G3566" t="s">
        <v>4364</v>
      </c>
    </row>
    <row r="3567" spans="1:7">
      <c r="A3567" t="s">
        <v>4568</v>
      </c>
      <c r="B3567">
        <v>5285097</v>
      </c>
      <c r="G3567" t="s">
        <v>4364</v>
      </c>
    </row>
    <row r="3568" spans="1:7">
      <c r="A3568" t="s">
        <v>4082</v>
      </c>
      <c r="G3568" t="s">
        <v>4364</v>
      </c>
    </row>
    <row r="3569" spans="1:7">
      <c r="A3569" t="s">
        <v>4186</v>
      </c>
      <c r="G3569" t="s">
        <v>4364</v>
      </c>
    </row>
    <row r="3570" spans="1:7">
      <c r="A3570" t="s">
        <v>4588</v>
      </c>
      <c r="G3570" t="s">
        <v>4364</v>
      </c>
    </row>
    <row r="3571" spans="1:7">
      <c r="A3571" t="s">
        <v>4171</v>
      </c>
      <c r="G3571" t="s">
        <v>4364</v>
      </c>
    </row>
    <row r="3572" spans="1:7">
      <c r="A3572" t="s">
        <v>4084</v>
      </c>
      <c r="G3572" t="s">
        <v>4364</v>
      </c>
    </row>
    <row r="3573" spans="1:7">
      <c r="A3573" t="s">
        <v>4159</v>
      </c>
      <c r="G3573" t="s">
        <v>4364</v>
      </c>
    </row>
    <row r="3574" spans="1:7">
      <c r="A3574" t="s">
        <v>4143</v>
      </c>
      <c r="G3574" t="s">
        <v>4364</v>
      </c>
    </row>
    <row r="3575" spans="1:7">
      <c r="A3575" t="s">
        <v>4122</v>
      </c>
      <c r="G3575" t="s">
        <v>4364</v>
      </c>
    </row>
    <row r="3576" spans="1:7">
      <c r="A3576" t="s">
        <v>4108</v>
      </c>
      <c r="G3576" t="s">
        <v>4364</v>
      </c>
    </row>
    <row r="3577" spans="1:7">
      <c r="A3577" t="s">
        <v>4239</v>
      </c>
      <c r="G3577" t="s">
        <v>4364</v>
      </c>
    </row>
    <row r="3578" spans="1:7">
      <c r="A3578" t="s">
        <v>4157</v>
      </c>
      <c r="G3578" t="s">
        <v>4364</v>
      </c>
    </row>
    <row r="3579" spans="1:7">
      <c r="A3579" t="s">
        <v>4911</v>
      </c>
      <c r="G3579" t="s">
        <v>4364</v>
      </c>
    </row>
    <row r="3580" spans="1:7">
      <c r="A3580" t="s">
        <v>4112</v>
      </c>
      <c r="G3580" t="s">
        <v>4364</v>
      </c>
    </row>
    <row r="3581" spans="1:7">
      <c r="A3581" t="s">
        <v>4930</v>
      </c>
      <c r="B3581">
        <v>5279097</v>
      </c>
      <c r="G3581" t="s">
        <v>4364</v>
      </c>
    </row>
    <row r="3582" spans="1:7">
      <c r="A3582" t="s">
        <v>4977</v>
      </c>
      <c r="G3582" t="s">
        <v>4364</v>
      </c>
    </row>
    <row r="3583" spans="1:7">
      <c r="A3583" t="s">
        <v>4142</v>
      </c>
      <c r="G3583" t="s">
        <v>4364</v>
      </c>
    </row>
    <row r="3584" spans="1:8">
      <c r="A3584" t="s">
        <v>5085</v>
      </c>
      <c r="G3584" t="s">
        <v>4364</v>
      </c>
      <c r="H3584">
        <v>4777097</v>
      </c>
    </row>
    <row r="3585" spans="1:7">
      <c r="A3585" t="s">
        <v>4153</v>
      </c>
      <c r="G3585" t="s">
        <v>4364</v>
      </c>
    </row>
    <row r="3586" spans="1:7">
      <c r="A3586" t="s">
        <v>4211</v>
      </c>
      <c r="G3586" t="s">
        <v>4364</v>
      </c>
    </row>
    <row r="3587" spans="1:7">
      <c r="A3587" t="s">
        <v>4152</v>
      </c>
      <c r="G3587" t="s">
        <v>5087</v>
      </c>
    </row>
    <row r="3588" spans="1:7">
      <c r="A3588" t="s">
        <v>4525</v>
      </c>
      <c r="G3588" t="s">
        <v>4690</v>
      </c>
    </row>
    <row r="3589" spans="1:7">
      <c r="A3589" t="s">
        <v>4364</v>
      </c>
      <c r="G3589" t="s">
        <v>4690</v>
      </c>
    </row>
    <row r="3590" spans="1:7">
      <c r="A3590" t="s">
        <v>4609</v>
      </c>
      <c r="G3590" t="s">
        <v>4690</v>
      </c>
    </row>
    <row r="3591" spans="1:7">
      <c r="A3591" t="s">
        <v>4454</v>
      </c>
      <c r="G3591" t="s">
        <v>5088</v>
      </c>
    </row>
    <row r="3592" spans="1:7">
      <c r="A3592" t="s">
        <v>4370</v>
      </c>
      <c r="G3592" t="s">
        <v>5089</v>
      </c>
    </row>
    <row r="3593" spans="1:7">
      <c r="A3593" t="s">
        <v>4625</v>
      </c>
      <c r="G3593" t="s">
        <v>5090</v>
      </c>
    </row>
    <row r="3594" spans="1:7">
      <c r="A3594" t="s">
        <v>4820</v>
      </c>
      <c r="G3594" t="s">
        <v>5090</v>
      </c>
    </row>
    <row r="3595" spans="1:7">
      <c r="A3595" t="s">
        <v>4477</v>
      </c>
      <c r="G3595" t="s">
        <v>5090</v>
      </c>
    </row>
    <row r="3596" spans="1:7">
      <c r="A3596" t="s">
        <v>4589</v>
      </c>
      <c r="G3596" t="s">
        <v>4080</v>
      </c>
    </row>
    <row r="3597" spans="1:7">
      <c r="A3597" t="s">
        <v>4870</v>
      </c>
      <c r="G3597" t="s">
        <v>4080</v>
      </c>
    </row>
    <row r="3598" spans="1:7">
      <c r="A3598" t="s">
        <v>4579</v>
      </c>
      <c r="G3598" t="s">
        <v>4080</v>
      </c>
    </row>
    <row r="3599" spans="1:7">
      <c r="A3599" t="s">
        <v>4290</v>
      </c>
      <c r="G3599" t="s">
        <v>4080</v>
      </c>
    </row>
    <row r="3600" spans="1:8">
      <c r="A3600" t="s">
        <v>4606</v>
      </c>
      <c r="G3600" t="s">
        <v>4080</v>
      </c>
      <c r="H3600">
        <v>5519097</v>
      </c>
    </row>
    <row r="3601" spans="1:8">
      <c r="A3601" t="s">
        <v>4562</v>
      </c>
      <c r="G3601" t="s">
        <v>4080</v>
      </c>
      <c r="H3601">
        <v>5503097</v>
      </c>
    </row>
    <row r="3602" spans="1:7">
      <c r="A3602" t="s">
        <v>4610</v>
      </c>
      <c r="G3602" t="s">
        <v>4080</v>
      </c>
    </row>
    <row r="3603" spans="1:7">
      <c r="A3603" t="s">
        <v>5091</v>
      </c>
      <c r="B3603">
        <v>5275097</v>
      </c>
      <c r="G3603" t="s">
        <v>4080</v>
      </c>
    </row>
    <row r="3604" spans="1:7">
      <c r="A3604" t="s">
        <v>4652</v>
      </c>
      <c r="G3604" t="s">
        <v>4080</v>
      </c>
    </row>
    <row r="3605" spans="1:7">
      <c r="A3605" t="s">
        <v>4052</v>
      </c>
      <c r="G3605" t="s">
        <v>4080</v>
      </c>
    </row>
    <row r="3606" spans="1:7">
      <c r="A3606" t="s">
        <v>4456</v>
      </c>
      <c r="G3606" t="s">
        <v>4080</v>
      </c>
    </row>
    <row r="3607" spans="1:7">
      <c r="A3607" t="s">
        <v>4401</v>
      </c>
      <c r="G3607" t="s">
        <v>4080</v>
      </c>
    </row>
    <row r="3608" spans="1:7">
      <c r="A3608" t="s">
        <v>4697</v>
      </c>
      <c r="G3608" t="s">
        <v>4080</v>
      </c>
    </row>
    <row r="3609" spans="1:7">
      <c r="A3609" t="s">
        <v>4978</v>
      </c>
      <c r="G3609" t="s">
        <v>4080</v>
      </c>
    </row>
    <row r="3610" spans="1:8">
      <c r="A3610" t="s">
        <v>5092</v>
      </c>
      <c r="B3610">
        <v>5326097</v>
      </c>
      <c r="G3610" t="s">
        <v>5092</v>
      </c>
      <c r="H3610">
        <v>5326097</v>
      </c>
    </row>
    <row r="3611" spans="1:7">
      <c r="A3611" t="s">
        <v>4294</v>
      </c>
      <c r="G3611" t="s">
        <v>4651</v>
      </c>
    </row>
    <row r="3612" spans="1:7">
      <c r="A3612" t="s">
        <v>4690</v>
      </c>
      <c r="G3612" t="s">
        <v>4622</v>
      </c>
    </row>
    <row r="3613" spans="1:7">
      <c r="A3613" t="s">
        <v>5025</v>
      </c>
      <c r="G3613" t="s">
        <v>4791</v>
      </c>
    </row>
    <row r="3614" spans="1:7">
      <c r="A3614" t="s">
        <v>5065</v>
      </c>
      <c r="B3614">
        <v>5319097</v>
      </c>
      <c r="G3614" t="s">
        <v>4791</v>
      </c>
    </row>
    <row r="3615" spans="1:7">
      <c r="A3615" t="s">
        <v>4497</v>
      </c>
      <c r="G3615" t="s">
        <v>4791</v>
      </c>
    </row>
    <row r="3616" spans="1:7">
      <c r="A3616" t="s">
        <v>5067</v>
      </c>
      <c r="G3616" t="s">
        <v>4861</v>
      </c>
    </row>
    <row r="3617" spans="1:7">
      <c r="A3617" t="s">
        <v>5093</v>
      </c>
      <c r="G3617" t="s">
        <v>5094</v>
      </c>
    </row>
    <row r="3618" spans="1:7">
      <c r="A3618" t="s">
        <v>4031</v>
      </c>
      <c r="G3618" t="s">
        <v>4865</v>
      </c>
    </row>
    <row r="3619" spans="1:7">
      <c r="A3619" t="s">
        <v>4855</v>
      </c>
      <c r="G3619" t="s">
        <v>4691</v>
      </c>
    </row>
    <row r="3620" spans="1:7">
      <c r="A3620" t="s">
        <v>4471</v>
      </c>
      <c r="G3620" t="s">
        <v>4691</v>
      </c>
    </row>
    <row r="3621" spans="1:7">
      <c r="A3621" t="s">
        <v>4209</v>
      </c>
      <c r="G3621" t="s">
        <v>5095</v>
      </c>
    </row>
    <row r="3622" spans="1:7">
      <c r="A3622" t="s">
        <v>4831</v>
      </c>
      <c r="G3622" t="s">
        <v>4119</v>
      </c>
    </row>
    <row r="3623" spans="1:7">
      <c r="A3623" t="s">
        <v>5025</v>
      </c>
      <c r="G3623" t="s">
        <v>4119</v>
      </c>
    </row>
    <row r="3624" spans="1:7">
      <c r="A3624" t="s">
        <v>5096</v>
      </c>
      <c r="B3624">
        <v>5318097</v>
      </c>
      <c r="G3624" t="s">
        <v>4119</v>
      </c>
    </row>
    <row r="3625" spans="1:7">
      <c r="A3625" t="s">
        <v>4209</v>
      </c>
      <c r="G3625" t="s">
        <v>4119</v>
      </c>
    </row>
    <row r="3626" spans="1:7">
      <c r="A3626" t="s">
        <v>5097</v>
      </c>
      <c r="G3626" t="s">
        <v>4119</v>
      </c>
    </row>
    <row r="3627" spans="1:7">
      <c r="A3627" t="s">
        <v>4555</v>
      </c>
      <c r="G3627" t="s">
        <v>4119</v>
      </c>
    </row>
    <row r="3628" spans="1:7">
      <c r="A3628" t="s">
        <v>5098</v>
      </c>
      <c r="G3628" t="s">
        <v>5099</v>
      </c>
    </row>
    <row r="3629" spans="1:7">
      <c r="A3629" t="s">
        <v>4015</v>
      </c>
      <c r="G3629" t="s">
        <v>4194</v>
      </c>
    </row>
    <row r="3630" spans="1:7">
      <c r="A3630" t="s">
        <v>5079</v>
      </c>
      <c r="G3630" t="s">
        <v>4194</v>
      </c>
    </row>
    <row r="3631" spans="1:7">
      <c r="A3631" t="s">
        <v>5100</v>
      </c>
      <c r="G3631" t="s">
        <v>4194</v>
      </c>
    </row>
    <row r="3632" spans="1:7">
      <c r="A3632" t="s">
        <v>4935</v>
      </c>
      <c r="G3632" t="s">
        <v>4194</v>
      </c>
    </row>
    <row r="3633" spans="1:7">
      <c r="A3633" t="s">
        <v>4471</v>
      </c>
      <c r="G3633" t="s">
        <v>4194</v>
      </c>
    </row>
    <row r="3634" spans="1:7">
      <c r="A3634" t="s">
        <v>5025</v>
      </c>
      <c r="G3634" t="s">
        <v>4194</v>
      </c>
    </row>
    <row r="3635" spans="1:7">
      <c r="A3635" t="s">
        <v>4497</v>
      </c>
      <c r="B3635">
        <v>5316097</v>
      </c>
      <c r="G3635" t="s">
        <v>4194</v>
      </c>
    </row>
    <row r="3636" spans="1:7">
      <c r="A3636" t="s">
        <v>4844</v>
      </c>
      <c r="G3636" t="s">
        <v>4194</v>
      </c>
    </row>
    <row r="3637" spans="1:7">
      <c r="A3637" t="s">
        <v>4872</v>
      </c>
      <c r="G3637" t="s">
        <v>4194</v>
      </c>
    </row>
    <row r="3638" spans="1:7">
      <c r="A3638" t="s">
        <v>5101</v>
      </c>
      <c r="G3638" t="s">
        <v>4194</v>
      </c>
    </row>
    <row r="3639" spans="1:7">
      <c r="A3639" t="s">
        <v>4760</v>
      </c>
      <c r="G3639" t="s">
        <v>4194</v>
      </c>
    </row>
    <row r="3640" spans="1:7">
      <c r="A3640" t="s">
        <v>5097</v>
      </c>
      <c r="G3640" t="s">
        <v>4194</v>
      </c>
    </row>
    <row r="3641" spans="1:7">
      <c r="A3641" t="s">
        <v>5102</v>
      </c>
      <c r="G3641" t="s">
        <v>4194</v>
      </c>
    </row>
    <row r="3642" spans="1:7">
      <c r="A3642" t="s">
        <v>3998</v>
      </c>
      <c r="G3642" t="s">
        <v>4194</v>
      </c>
    </row>
    <row r="3643" spans="1:7">
      <c r="A3643" t="s">
        <v>4409</v>
      </c>
      <c r="G3643" t="s">
        <v>4194</v>
      </c>
    </row>
    <row r="3644" spans="1:7">
      <c r="A3644" t="s">
        <v>4847</v>
      </c>
      <c r="G3644" t="s">
        <v>4194</v>
      </c>
    </row>
    <row r="3645" spans="1:7">
      <c r="A3645" t="s">
        <v>4447</v>
      </c>
      <c r="G3645" t="s">
        <v>4838</v>
      </c>
    </row>
    <row r="3646" spans="1:7">
      <c r="A3646" t="s">
        <v>5103</v>
      </c>
      <c r="G3646" t="s">
        <v>4838</v>
      </c>
    </row>
    <row r="3647" spans="1:7">
      <c r="A3647" t="s">
        <v>4471</v>
      </c>
      <c r="B3647">
        <v>5314097</v>
      </c>
      <c r="G3647" t="s">
        <v>5104</v>
      </c>
    </row>
    <row r="3648" spans="1:7">
      <c r="A3648" t="s">
        <v>4209</v>
      </c>
      <c r="G3648" t="s">
        <v>5104</v>
      </c>
    </row>
    <row r="3649" spans="1:7">
      <c r="A3649" t="s">
        <v>5093</v>
      </c>
      <c r="G3649" t="s">
        <v>5104</v>
      </c>
    </row>
    <row r="3650" spans="1:7">
      <c r="A3650" t="s">
        <v>5025</v>
      </c>
      <c r="G3650" t="s">
        <v>5104</v>
      </c>
    </row>
    <row r="3651" spans="1:7">
      <c r="A3651" t="s">
        <v>4782</v>
      </c>
      <c r="G3651" t="s">
        <v>5104</v>
      </c>
    </row>
    <row r="3652" spans="1:8">
      <c r="A3652" t="s">
        <v>4855</v>
      </c>
      <c r="G3652" t="s">
        <v>5104</v>
      </c>
      <c r="H3652">
        <v>4674097</v>
      </c>
    </row>
    <row r="3653" spans="1:7">
      <c r="A3653" t="s">
        <v>4468</v>
      </c>
      <c r="B3653">
        <v>5292097</v>
      </c>
      <c r="G3653" t="s">
        <v>4081</v>
      </c>
    </row>
    <row r="3654" spans="1:8">
      <c r="A3654" t="s">
        <v>4826</v>
      </c>
      <c r="B3654">
        <v>5269097</v>
      </c>
      <c r="G3654" t="s">
        <v>4081</v>
      </c>
      <c r="H3654">
        <v>5455097</v>
      </c>
    </row>
    <row r="3655" spans="1:7">
      <c r="A3655" t="s">
        <v>4078</v>
      </c>
      <c r="G3655" t="s">
        <v>4081</v>
      </c>
    </row>
    <row r="3656" spans="1:8">
      <c r="A3656" t="s">
        <v>4820</v>
      </c>
      <c r="G3656" t="s">
        <v>4081</v>
      </c>
      <c r="H3656">
        <v>5425097</v>
      </c>
    </row>
    <row r="3657" spans="1:7">
      <c r="A3657" t="s">
        <v>4571</v>
      </c>
      <c r="G3657" t="s">
        <v>4013</v>
      </c>
    </row>
    <row r="3658" spans="1:7">
      <c r="A3658" t="s">
        <v>4636</v>
      </c>
      <c r="G3658" t="s">
        <v>5105</v>
      </c>
    </row>
    <row r="3659" spans="1:7">
      <c r="A3659" t="s">
        <v>5106</v>
      </c>
      <c r="G3659" t="s">
        <v>5105</v>
      </c>
    </row>
    <row r="3660" spans="1:7">
      <c r="A3660" t="s">
        <v>5107</v>
      </c>
      <c r="G3660" t="s">
        <v>4601</v>
      </c>
    </row>
    <row r="3661" spans="1:7">
      <c r="A3661" t="s">
        <v>4556</v>
      </c>
      <c r="G3661" t="s">
        <v>4601</v>
      </c>
    </row>
    <row r="3662" spans="1:7">
      <c r="A3662" t="s">
        <v>4549</v>
      </c>
      <c r="G3662" t="s">
        <v>4541</v>
      </c>
    </row>
    <row r="3663" spans="1:7">
      <c r="A3663" t="s">
        <v>4608</v>
      </c>
      <c r="G3663" t="s">
        <v>4541</v>
      </c>
    </row>
    <row r="3664" spans="1:7">
      <c r="A3664" t="s">
        <v>4677</v>
      </c>
      <c r="G3664" t="s">
        <v>4541</v>
      </c>
    </row>
    <row r="3665" spans="1:7">
      <c r="A3665" t="s">
        <v>5108</v>
      </c>
      <c r="B3665">
        <v>5268097</v>
      </c>
      <c r="G3665" t="s">
        <v>4541</v>
      </c>
    </row>
    <row r="3666" spans="1:7">
      <c r="A3666" t="s">
        <v>4313</v>
      </c>
      <c r="G3666" t="s">
        <v>5109</v>
      </c>
    </row>
    <row r="3667" spans="1:7">
      <c r="A3667" t="s">
        <v>4808</v>
      </c>
      <c r="B3667">
        <v>5288097</v>
      </c>
      <c r="G3667" t="s">
        <v>4278</v>
      </c>
    </row>
    <row r="3668" spans="1:7">
      <c r="A3668" t="s">
        <v>4454</v>
      </c>
      <c r="G3668" t="s">
        <v>4679</v>
      </c>
    </row>
    <row r="3669" spans="1:7">
      <c r="A3669" t="s">
        <v>4170</v>
      </c>
      <c r="G3669" t="s">
        <v>4679</v>
      </c>
    </row>
    <row r="3670" spans="1:7">
      <c r="A3670" t="s">
        <v>3993</v>
      </c>
      <c r="G3670" t="s">
        <v>4679</v>
      </c>
    </row>
    <row r="3671" spans="1:8">
      <c r="A3671" t="s">
        <v>4571</v>
      </c>
      <c r="G3671" t="s">
        <v>4810</v>
      </c>
      <c r="H3671">
        <v>5445097</v>
      </c>
    </row>
    <row r="3672" spans="1:7">
      <c r="A3672" t="s">
        <v>4658</v>
      </c>
      <c r="G3672" t="s">
        <v>4810</v>
      </c>
    </row>
    <row r="3673" spans="1:7">
      <c r="A3673" t="s">
        <v>5110</v>
      </c>
      <c r="G3673" t="s">
        <v>4810</v>
      </c>
    </row>
    <row r="3674" spans="1:7">
      <c r="A3674" t="s">
        <v>4218</v>
      </c>
      <c r="G3674" t="s">
        <v>4810</v>
      </c>
    </row>
    <row r="3675" spans="1:7">
      <c r="A3675" t="s">
        <v>4082</v>
      </c>
      <c r="G3675" t="s">
        <v>4782</v>
      </c>
    </row>
    <row r="3676" spans="1:7">
      <c r="A3676" t="s">
        <v>4283</v>
      </c>
      <c r="G3676" t="s">
        <v>4782</v>
      </c>
    </row>
    <row r="3677" spans="1:7">
      <c r="A3677" t="s">
        <v>4098</v>
      </c>
      <c r="G3677" t="s">
        <v>4782</v>
      </c>
    </row>
    <row r="3678" spans="1:7">
      <c r="A3678" t="s">
        <v>4153</v>
      </c>
      <c r="G3678" t="s">
        <v>4782</v>
      </c>
    </row>
    <row r="3679" spans="1:7">
      <c r="A3679" t="s">
        <v>4620</v>
      </c>
      <c r="G3679" t="s">
        <v>4090</v>
      </c>
    </row>
    <row r="3680" spans="1:7">
      <c r="A3680" t="s">
        <v>4819</v>
      </c>
      <c r="G3680" t="s">
        <v>4090</v>
      </c>
    </row>
    <row r="3681" spans="1:7">
      <c r="A3681" t="s">
        <v>4478</v>
      </c>
      <c r="G3681" t="s">
        <v>4090</v>
      </c>
    </row>
    <row r="3682" spans="1:7">
      <c r="A3682" t="s">
        <v>4703</v>
      </c>
      <c r="B3682">
        <v>5267097</v>
      </c>
      <c r="G3682" t="s">
        <v>4090</v>
      </c>
    </row>
    <row r="3683" spans="1:7">
      <c r="A3683" t="s">
        <v>4075</v>
      </c>
      <c r="G3683" t="s">
        <v>4090</v>
      </c>
    </row>
    <row r="3684" spans="1:7">
      <c r="A3684" t="s">
        <v>5111</v>
      </c>
      <c r="G3684" t="s">
        <v>4090</v>
      </c>
    </row>
    <row r="3685" spans="1:7">
      <c r="A3685" t="s">
        <v>4769</v>
      </c>
      <c r="G3685" t="s">
        <v>4090</v>
      </c>
    </row>
    <row r="3686" spans="1:7">
      <c r="A3686" t="s">
        <v>4107</v>
      </c>
      <c r="G3686" t="s">
        <v>4090</v>
      </c>
    </row>
    <row r="3687" spans="1:7">
      <c r="A3687" t="s">
        <v>4479</v>
      </c>
      <c r="G3687" t="s">
        <v>4976</v>
      </c>
    </row>
    <row r="3688" spans="1:7">
      <c r="A3688" t="s">
        <v>4091</v>
      </c>
      <c r="G3688" t="s">
        <v>4976</v>
      </c>
    </row>
    <row r="3689" spans="1:7">
      <c r="A3689" t="s">
        <v>4109</v>
      </c>
      <c r="G3689" t="s">
        <v>4976</v>
      </c>
    </row>
    <row r="3690" spans="1:8">
      <c r="A3690" t="s">
        <v>4055</v>
      </c>
      <c r="G3690" t="s">
        <v>4976</v>
      </c>
      <c r="H3690">
        <v>5014097</v>
      </c>
    </row>
    <row r="3691" spans="1:7">
      <c r="A3691" t="s">
        <v>4035</v>
      </c>
      <c r="G3691" t="s">
        <v>5112</v>
      </c>
    </row>
    <row r="3692" spans="1:7">
      <c r="A3692" t="s">
        <v>4704</v>
      </c>
      <c r="G3692" t="s">
        <v>4976</v>
      </c>
    </row>
    <row r="3693" spans="1:7">
      <c r="A3693" t="s">
        <v>4162</v>
      </c>
      <c r="G3693" t="s">
        <v>5059</v>
      </c>
    </row>
    <row r="3694" spans="1:7">
      <c r="A3694" t="s">
        <v>4337</v>
      </c>
      <c r="G3694" t="s">
        <v>5059</v>
      </c>
    </row>
    <row r="3695" spans="1:7">
      <c r="A3695" t="s">
        <v>4455</v>
      </c>
      <c r="G3695" t="s">
        <v>5059</v>
      </c>
    </row>
    <row r="3696" spans="1:7">
      <c r="A3696" t="s">
        <v>4459</v>
      </c>
      <c r="G3696" t="s">
        <v>5059</v>
      </c>
    </row>
    <row r="3697" spans="1:7">
      <c r="A3697" t="s">
        <v>4421</v>
      </c>
      <c r="B3697">
        <v>5285097</v>
      </c>
      <c r="G3697" t="s">
        <v>5059</v>
      </c>
    </row>
    <row r="3698" spans="1:7">
      <c r="A3698" t="s">
        <v>4194</v>
      </c>
      <c r="G3698" t="s">
        <v>5059</v>
      </c>
    </row>
    <row r="3699" spans="1:7">
      <c r="A3699" t="s">
        <v>5113</v>
      </c>
      <c r="G3699" t="s">
        <v>5059</v>
      </c>
    </row>
    <row r="3700" spans="1:7">
      <c r="A3700" t="s">
        <v>4688</v>
      </c>
      <c r="G3700" t="s">
        <v>4982</v>
      </c>
    </row>
    <row r="3701" spans="1:7">
      <c r="A3701" t="s">
        <v>5114</v>
      </c>
      <c r="G3701" t="s">
        <v>4982</v>
      </c>
    </row>
    <row r="3702" spans="1:7">
      <c r="A3702" t="s">
        <v>4959</v>
      </c>
      <c r="G3702" t="s">
        <v>4982</v>
      </c>
    </row>
    <row r="3703" spans="1:7">
      <c r="A3703" t="s">
        <v>5115</v>
      </c>
      <c r="G3703" t="s">
        <v>4982</v>
      </c>
    </row>
    <row r="3704" spans="1:7">
      <c r="A3704" t="s">
        <v>4820</v>
      </c>
      <c r="G3704" t="s">
        <v>4982</v>
      </c>
    </row>
    <row r="3705" spans="1:7">
      <c r="A3705" t="s">
        <v>5116</v>
      </c>
      <c r="G3705" t="s">
        <v>4982</v>
      </c>
    </row>
    <row r="3706" spans="1:7">
      <c r="A3706" t="s">
        <v>5082</v>
      </c>
      <c r="G3706" t="s">
        <v>4982</v>
      </c>
    </row>
    <row r="3707" spans="1:7">
      <c r="A3707" t="s">
        <v>4200</v>
      </c>
      <c r="G3707" t="s">
        <v>4982</v>
      </c>
    </row>
    <row r="3708" spans="1:7">
      <c r="A3708" t="s">
        <v>4502</v>
      </c>
      <c r="G3708" t="s">
        <v>4982</v>
      </c>
    </row>
    <row r="3709" spans="1:7">
      <c r="A3709" t="s">
        <v>5117</v>
      </c>
      <c r="G3709" t="s">
        <v>4845</v>
      </c>
    </row>
    <row r="3710" spans="1:8">
      <c r="A3710" t="s">
        <v>5118</v>
      </c>
      <c r="G3710" t="s">
        <v>5119</v>
      </c>
      <c r="H3710">
        <v>5104097</v>
      </c>
    </row>
    <row r="3711" spans="1:7">
      <c r="A3711" t="s">
        <v>4683</v>
      </c>
      <c r="B3711">
        <v>5279097</v>
      </c>
      <c r="G3711" t="s">
        <v>5119</v>
      </c>
    </row>
    <row r="3712" spans="1:7">
      <c r="A3712" t="s">
        <v>5078</v>
      </c>
      <c r="G3712" t="s">
        <v>5119</v>
      </c>
    </row>
    <row r="3713" spans="1:7">
      <c r="A3713" t="s">
        <v>4969</v>
      </c>
      <c r="G3713" t="s">
        <v>5119</v>
      </c>
    </row>
    <row r="3714" spans="1:7">
      <c r="A3714" t="s">
        <v>4379</v>
      </c>
      <c r="G3714" t="s">
        <v>5119</v>
      </c>
    </row>
    <row r="3715" spans="1:7">
      <c r="A3715" t="s">
        <v>4364</v>
      </c>
      <c r="G3715" t="s">
        <v>5119</v>
      </c>
    </row>
    <row r="3716" spans="1:7">
      <c r="A3716" t="s">
        <v>4684</v>
      </c>
      <c r="G3716" t="s">
        <v>5119</v>
      </c>
    </row>
    <row r="3717" spans="1:7">
      <c r="A3717" t="s">
        <v>4820</v>
      </c>
      <c r="G3717" t="s">
        <v>5119</v>
      </c>
    </row>
    <row r="3718" spans="1:7">
      <c r="A3718" t="s">
        <v>4331</v>
      </c>
      <c r="G3718" t="s">
        <v>5119</v>
      </c>
    </row>
    <row r="3719" spans="1:7">
      <c r="A3719" t="s">
        <v>4290</v>
      </c>
      <c r="G3719" t="s">
        <v>5119</v>
      </c>
    </row>
    <row r="3720" spans="1:7">
      <c r="A3720" t="s">
        <v>4787</v>
      </c>
      <c r="G3720" t="s">
        <v>5119</v>
      </c>
    </row>
    <row r="3721" spans="1:7">
      <c r="A3721" t="s">
        <v>4826</v>
      </c>
      <c r="G3721" t="s">
        <v>5119</v>
      </c>
    </row>
    <row r="3722" spans="1:7">
      <c r="A3722" t="s">
        <v>4480</v>
      </c>
      <c r="G3722" t="s">
        <v>5119</v>
      </c>
    </row>
    <row r="3723" spans="1:7">
      <c r="A3723" t="s">
        <v>4349</v>
      </c>
      <c r="G3723" t="s">
        <v>5119</v>
      </c>
    </row>
    <row r="3724" spans="1:8">
      <c r="A3724" t="s">
        <v>4361</v>
      </c>
      <c r="G3724" t="s">
        <v>5119</v>
      </c>
      <c r="H3724">
        <v>4775097</v>
      </c>
    </row>
    <row r="3725" spans="1:7">
      <c r="A3725" t="s">
        <v>4681</v>
      </c>
      <c r="G3725" t="s">
        <v>5120</v>
      </c>
    </row>
    <row r="3726" spans="1:7">
      <c r="A3726" t="s">
        <v>4382</v>
      </c>
      <c r="G3726" t="s">
        <v>5120</v>
      </c>
    </row>
    <row r="3727" spans="1:7">
      <c r="A3727" t="s">
        <v>4083</v>
      </c>
      <c r="G3727" t="s">
        <v>5120</v>
      </c>
    </row>
    <row r="3728" spans="1:7">
      <c r="A3728" t="s">
        <v>4958</v>
      </c>
      <c r="G3728" t="s">
        <v>4644</v>
      </c>
    </row>
    <row r="3729" spans="1:7">
      <c r="A3729" t="s">
        <v>4686</v>
      </c>
      <c r="G3729" t="s">
        <v>4113</v>
      </c>
    </row>
    <row r="3730" spans="1:8">
      <c r="A3730" t="s">
        <v>4378</v>
      </c>
      <c r="G3730" t="s">
        <v>4113</v>
      </c>
      <c r="H3730">
        <v>5619097</v>
      </c>
    </row>
    <row r="3731" spans="1:7">
      <c r="A3731" t="s">
        <v>4342</v>
      </c>
      <c r="G3731" t="s">
        <v>4113</v>
      </c>
    </row>
    <row r="3732" spans="1:7">
      <c r="A3732" t="s">
        <v>5120</v>
      </c>
      <c r="G3732" t="s">
        <v>4113</v>
      </c>
    </row>
    <row r="3733" spans="1:7">
      <c r="A3733" t="s">
        <v>4401</v>
      </c>
      <c r="B3733">
        <v>5275097</v>
      </c>
      <c r="G3733" t="s">
        <v>4113</v>
      </c>
    </row>
    <row r="3734" spans="1:7">
      <c r="A3734" t="s">
        <v>4933</v>
      </c>
      <c r="G3734" t="s">
        <v>4113</v>
      </c>
    </row>
    <row r="3735" spans="1:8">
      <c r="A3735" t="s">
        <v>4180</v>
      </c>
      <c r="G3735" t="s">
        <v>4113</v>
      </c>
      <c r="H3735">
        <v>5499097</v>
      </c>
    </row>
    <row r="3736" spans="1:7">
      <c r="A3736" t="s">
        <v>4248</v>
      </c>
      <c r="G3736" t="s">
        <v>4113</v>
      </c>
    </row>
    <row r="3737" spans="1:7">
      <c r="A3737" t="s">
        <v>4867</v>
      </c>
      <c r="G3737" t="s">
        <v>4113</v>
      </c>
    </row>
    <row r="3738" spans="1:7">
      <c r="A3738" t="s">
        <v>4109</v>
      </c>
      <c r="G3738" t="s">
        <v>4113</v>
      </c>
    </row>
    <row r="3739" spans="1:7">
      <c r="A3739" t="s">
        <v>4293</v>
      </c>
      <c r="G3739" t="s">
        <v>4113</v>
      </c>
    </row>
    <row r="3740" spans="1:8">
      <c r="A3740" t="s">
        <v>4959</v>
      </c>
      <c r="G3740" t="s">
        <v>4113</v>
      </c>
      <c r="H3740">
        <v>5457097</v>
      </c>
    </row>
    <row r="3741" spans="1:7">
      <c r="A3741" t="s">
        <v>4978</v>
      </c>
      <c r="G3741" t="s">
        <v>4113</v>
      </c>
    </row>
    <row r="3742" spans="1:7">
      <c r="A3742" t="s">
        <v>4516</v>
      </c>
      <c r="G3742" t="s">
        <v>4113</v>
      </c>
    </row>
    <row r="3743" spans="1:7">
      <c r="A3743" t="s">
        <v>4454</v>
      </c>
      <c r="B3743">
        <v>5263097</v>
      </c>
      <c r="G3743" t="s">
        <v>4113</v>
      </c>
    </row>
    <row r="3744" spans="1:7">
      <c r="A3744" t="s">
        <v>4266</v>
      </c>
      <c r="G3744" t="s">
        <v>4113</v>
      </c>
    </row>
    <row r="3745" spans="1:7">
      <c r="A3745" t="s">
        <v>5121</v>
      </c>
      <c r="G3745" t="s">
        <v>4113</v>
      </c>
    </row>
    <row r="3746" spans="1:7">
      <c r="A3746" t="s">
        <v>4550</v>
      </c>
      <c r="G3746" t="s">
        <v>4113</v>
      </c>
    </row>
    <row r="3747" spans="1:7">
      <c r="A3747" t="s">
        <v>4085</v>
      </c>
      <c r="G3747" t="s">
        <v>4113</v>
      </c>
    </row>
    <row r="3748" spans="1:7">
      <c r="A3748" t="s">
        <v>5122</v>
      </c>
      <c r="G3748" t="s">
        <v>4113</v>
      </c>
    </row>
    <row r="3749" spans="1:7">
      <c r="A3749" t="s">
        <v>4082</v>
      </c>
      <c r="G3749" t="s">
        <v>4113</v>
      </c>
    </row>
    <row r="3750" spans="1:7">
      <c r="A3750" t="s">
        <v>4055</v>
      </c>
      <c r="G3750" t="s">
        <v>4113</v>
      </c>
    </row>
    <row r="3751" spans="1:7">
      <c r="A3751" t="s">
        <v>4171</v>
      </c>
      <c r="G3751" t="s">
        <v>4113</v>
      </c>
    </row>
    <row r="3752" spans="1:7">
      <c r="A3752" t="s">
        <v>4450</v>
      </c>
      <c r="G3752" t="s">
        <v>4113</v>
      </c>
    </row>
    <row r="3753" spans="1:7">
      <c r="A3753" t="s">
        <v>4548</v>
      </c>
      <c r="G3753" t="s">
        <v>4113</v>
      </c>
    </row>
    <row r="3754" spans="1:7">
      <c r="A3754" t="s">
        <v>4246</v>
      </c>
      <c r="G3754" t="s">
        <v>4113</v>
      </c>
    </row>
    <row r="3755" spans="1:7">
      <c r="A3755" t="s">
        <v>4052</v>
      </c>
      <c r="G3755" t="s">
        <v>4113</v>
      </c>
    </row>
    <row r="3756" spans="1:7">
      <c r="A3756" t="s">
        <v>4824</v>
      </c>
      <c r="G3756" t="s">
        <v>4113</v>
      </c>
    </row>
    <row r="3757" spans="1:7">
      <c r="A3757" t="s">
        <v>5123</v>
      </c>
      <c r="G3757" t="s">
        <v>4113</v>
      </c>
    </row>
    <row r="3758" spans="1:7">
      <c r="A3758" t="s">
        <v>4092</v>
      </c>
      <c r="G3758" t="s">
        <v>4113</v>
      </c>
    </row>
    <row r="3759" spans="1:7">
      <c r="A3759" t="s">
        <v>4704</v>
      </c>
      <c r="G3759" t="s">
        <v>4113</v>
      </c>
    </row>
    <row r="3760" spans="1:7">
      <c r="A3760" t="s">
        <v>5059</v>
      </c>
      <c r="G3760" t="s">
        <v>4113</v>
      </c>
    </row>
    <row r="3761" spans="1:7">
      <c r="A3761" t="s">
        <v>4594</v>
      </c>
      <c r="B3761">
        <v>5254097</v>
      </c>
      <c r="G3761" t="s">
        <v>4113</v>
      </c>
    </row>
    <row r="3762" spans="1:7">
      <c r="A3762" t="s">
        <v>4697</v>
      </c>
      <c r="G3762" t="s">
        <v>4113</v>
      </c>
    </row>
    <row r="3763" spans="1:7">
      <c r="A3763" t="s">
        <v>4375</v>
      </c>
      <c r="G3763" t="s">
        <v>4113</v>
      </c>
    </row>
    <row r="3764" spans="1:7">
      <c r="A3764" t="s">
        <v>4971</v>
      </c>
      <c r="G3764" t="s">
        <v>4113</v>
      </c>
    </row>
    <row r="3765" spans="1:7">
      <c r="A3765" t="s">
        <v>4673</v>
      </c>
      <c r="G3765" t="s">
        <v>4113</v>
      </c>
    </row>
    <row r="3766" spans="1:7">
      <c r="A3766" t="s">
        <v>4439</v>
      </c>
      <c r="G3766" t="s">
        <v>4113</v>
      </c>
    </row>
    <row r="3767" spans="1:7">
      <c r="A3767" t="s">
        <v>4571</v>
      </c>
      <c r="G3767" t="s">
        <v>4113</v>
      </c>
    </row>
    <row r="3768" spans="1:7">
      <c r="A3768" t="s">
        <v>4098</v>
      </c>
      <c r="G3768" t="s">
        <v>4113</v>
      </c>
    </row>
    <row r="3769" spans="1:7">
      <c r="A3769" t="s">
        <v>4155</v>
      </c>
      <c r="G3769" t="s">
        <v>4113</v>
      </c>
    </row>
    <row r="3770" spans="1:7">
      <c r="A3770" t="s">
        <v>4420</v>
      </c>
      <c r="G3770" t="s">
        <v>4113</v>
      </c>
    </row>
    <row r="3771" spans="1:7">
      <c r="A3771" t="s">
        <v>4611</v>
      </c>
      <c r="G3771" t="s">
        <v>4113</v>
      </c>
    </row>
    <row r="3772" spans="1:7">
      <c r="A3772" t="s">
        <v>5080</v>
      </c>
      <c r="G3772" t="s">
        <v>4113</v>
      </c>
    </row>
    <row r="3773" spans="1:7">
      <c r="A3773" t="s">
        <v>4239</v>
      </c>
      <c r="G3773" t="s">
        <v>4113</v>
      </c>
    </row>
    <row r="3774" spans="1:7">
      <c r="A3774" t="s">
        <v>4084</v>
      </c>
      <c r="G3774" t="s">
        <v>4113</v>
      </c>
    </row>
    <row r="3775" spans="1:7">
      <c r="A3775" t="s">
        <v>4826</v>
      </c>
      <c r="G3775" t="s">
        <v>4113</v>
      </c>
    </row>
    <row r="3776" spans="1:7">
      <c r="A3776" t="s">
        <v>5124</v>
      </c>
      <c r="G3776" t="s">
        <v>4113</v>
      </c>
    </row>
    <row r="3777" spans="1:7">
      <c r="A3777" t="s">
        <v>5125</v>
      </c>
      <c r="G3777" t="s">
        <v>5126</v>
      </c>
    </row>
    <row r="3778" spans="1:7">
      <c r="A3778" t="s">
        <v>4455</v>
      </c>
      <c r="G3778" t="s">
        <v>5126</v>
      </c>
    </row>
    <row r="3779" spans="1:7">
      <c r="A3779" t="s">
        <v>4230</v>
      </c>
      <c r="G3779" t="s">
        <v>5126</v>
      </c>
    </row>
    <row r="3780" spans="1:7">
      <c r="A3780" t="s">
        <v>4929</v>
      </c>
      <c r="G3780" t="s">
        <v>4981</v>
      </c>
    </row>
    <row r="3781" spans="1:7">
      <c r="A3781" t="s">
        <v>4157</v>
      </c>
      <c r="B3781">
        <v>5253097</v>
      </c>
      <c r="G3781" t="s">
        <v>4981</v>
      </c>
    </row>
    <row r="3782" spans="1:7">
      <c r="A3782" t="s">
        <v>4975</v>
      </c>
      <c r="G3782" t="s">
        <v>4981</v>
      </c>
    </row>
    <row r="3783" spans="1:7">
      <c r="A3783" t="s">
        <v>4147</v>
      </c>
      <c r="G3783" t="s">
        <v>4981</v>
      </c>
    </row>
    <row r="3784" spans="1:7">
      <c r="A3784" t="s">
        <v>5011</v>
      </c>
      <c r="B3784">
        <v>5269097</v>
      </c>
      <c r="G3784" t="s">
        <v>4981</v>
      </c>
    </row>
    <row r="3785" spans="1:7">
      <c r="A3785" t="s">
        <v>4034</v>
      </c>
      <c r="G3785" t="s">
        <v>4981</v>
      </c>
    </row>
    <row r="3786" spans="1:7">
      <c r="A3786" t="s">
        <v>4215</v>
      </c>
      <c r="G3786" t="s">
        <v>4854</v>
      </c>
    </row>
    <row r="3787" spans="1:8">
      <c r="A3787" t="s">
        <v>4826</v>
      </c>
      <c r="G3787" t="s">
        <v>4854</v>
      </c>
      <c r="H3787">
        <v>5430097</v>
      </c>
    </row>
    <row r="3788" spans="1:7">
      <c r="A3788" t="s">
        <v>4820</v>
      </c>
      <c r="G3788" t="s">
        <v>4854</v>
      </c>
    </row>
    <row r="3789" spans="1:8">
      <c r="A3789" t="s">
        <v>4824</v>
      </c>
      <c r="G3789" t="s">
        <v>4273</v>
      </c>
      <c r="H3789">
        <v>5537097</v>
      </c>
    </row>
    <row r="3790" spans="1:7">
      <c r="A3790" t="s">
        <v>4966</v>
      </c>
      <c r="G3790" t="s">
        <v>4675</v>
      </c>
    </row>
    <row r="3791" spans="1:7">
      <c r="A3791" t="s">
        <v>5127</v>
      </c>
      <c r="G3791" t="s">
        <v>4675</v>
      </c>
    </row>
    <row r="3792" spans="1:7">
      <c r="A3792" t="s">
        <v>4041</v>
      </c>
      <c r="G3792" t="s">
        <v>4610</v>
      </c>
    </row>
    <row r="3793" spans="1:8">
      <c r="A3793" t="s">
        <v>4085</v>
      </c>
      <c r="G3793" t="s">
        <v>4610</v>
      </c>
      <c r="H3793">
        <v>5461097</v>
      </c>
    </row>
    <row r="3794" spans="1:7">
      <c r="A3794" t="s">
        <v>4419</v>
      </c>
      <c r="G3794" t="s">
        <v>4610</v>
      </c>
    </row>
    <row r="3795" spans="1:7">
      <c r="A3795" t="s">
        <v>5128</v>
      </c>
      <c r="B3795">
        <v>5268097</v>
      </c>
      <c r="G3795" t="s">
        <v>4610</v>
      </c>
    </row>
    <row r="3796" spans="1:7">
      <c r="A3796" t="s">
        <v>4959</v>
      </c>
      <c r="G3796" t="s">
        <v>4610</v>
      </c>
    </row>
    <row r="3797" spans="1:7">
      <c r="A3797" t="s">
        <v>4820</v>
      </c>
      <c r="G3797" t="s">
        <v>4610</v>
      </c>
    </row>
    <row r="3798" spans="1:7">
      <c r="A3798" t="s">
        <v>4368</v>
      </c>
      <c r="G3798" t="s">
        <v>4610</v>
      </c>
    </row>
    <row r="3799" spans="1:7">
      <c r="A3799" t="s">
        <v>4726</v>
      </c>
      <c r="G3799" t="s">
        <v>4610</v>
      </c>
    </row>
    <row r="3800" spans="1:7">
      <c r="A3800" t="s">
        <v>4594</v>
      </c>
      <c r="G3800" t="s">
        <v>4610</v>
      </c>
    </row>
    <row r="3801" spans="1:7">
      <c r="A3801" t="s">
        <v>5129</v>
      </c>
      <c r="G3801" t="s">
        <v>4610</v>
      </c>
    </row>
    <row r="3802" spans="1:7">
      <c r="A3802" t="s">
        <v>4455</v>
      </c>
      <c r="G3802" t="s">
        <v>4610</v>
      </c>
    </row>
    <row r="3803" spans="1:7">
      <c r="A3803" t="s">
        <v>4692</v>
      </c>
      <c r="G3803" t="s">
        <v>4610</v>
      </c>
    </row>
    <row r="3804" spans="1:7">
      <c r="A3804" t="s">
        <v>4331</v>
      </c>
      <c r="G3804" t="s">
        <v>4610</v>
      </c>
    </row>
    <row r="3805" spans="1:7">
      <c r="A3805" t="s">
        <v>4527</v>
      </c>
      <c r="G3805" t="s">
        <v>5069</v>
      </c>
    </row>
    <row r="3806" spans="1:7">
      <c r="A3806" t="s">
        <v>4082</v>
      </c>
      <c r="G3806" t="s">
        <v>4535</v>
      </c>
    </row>
    <row r="3807" spans="1:7">
      <c r="A3807" t="s">
        <v>4126</v>
      </c>
      <c r="G3807" t="s">
        <v>4535</v>
      </c>
    </row>
    <row r="3808" spans="1:7">
      <c r="A3808" t="s">
        <v>4238</v>
      </c>
      <c r="G3808" t="s">
        <v>4535</v>
      </c>
    </row>
    <row r="3809" spans="1:7">
      <c r="A3809" t="s">
        <v>4826</v>
      </c>
      <c r="G3809" t="s">
        <v>4535</v>
      </c>
    </row>
    <row r="3810" spans="1:7">
      <c r="A3810" t="s">
        <v>5121</v>
      </c>
      <c r="G3810" t="s">
        <v>4535</v>
      </c>
    </row>
    <row r="3811" spans="1:7">
      <c r="A3811" t="s">
        <v>4244</v>
      </c>
      <c r="G3811" t="s">
        <v>4630</v>
      </c>
    </row>
    <row r="3812" spans="1:7">
      <c r="A3812" t="s">
        <v>4107</v>
      </c>
      <c r="B3812">
        <v>5267097</v>
      </c>
      <c r="G3812" t="s">
        <v>4630</v>
      </c>
    </row>
    <row r="3813" spans="1:7">
      <c r="A3813" t="s">
        <v>4192</v>
      </c>
      <c r="G3813" t="s">
        <v>4630</v>
      </c>
    </row>
    <row r="3814" spans="1:7">
      <c r="A3814" t="s">
        <v>4162</v>
      </c>
      <c r="G3814" t="s">
        <v>5130</v>
      </c>
    </row>
    <row r="3815" spans="1:7">
      <c r="A3815" t="s">
        <v>5121</v>
      </c>
      <c r="G3815" t="s">
        <v>4399</v>
      </c>
    </row>
    <row r="3816" spans="1:7">
      <c r="A3816" t="s">
        <v>5071</v>
      </c>
      <c r="G3816" t="s">
        <v>4399</v>
      </c>
    </row>
    <row r="3817" spans="1:7">
      <c r="A3817" t="s">
        <v>5047</v>
      </c>
      <c r="G3817" t="s">
        <v>4288</v>
      </c>
    </row>
    <row r="3818" spans="1:7">
      <c r="A3818" t="s">
        <v>4062</v>
      </c>
      <c r="G3818" t="s">
        <v>4288</v>
      </c>
    </row>
    <row r="3819" spans="1:7">
      <c r="A3819" t="s">
        <v>4364</v>
      </c>
      <c r="G3819" t="s">
        <v>4288</v>
      </c>
    </row>
    <row r="3820" spans="1:7">
      <c r="A3820" t="s">
        <v>4055</v>
      </c>
      <c r="G3820" t="s">
        <v>4288</v>
      </c>
    </row>
    <row r="3821" spans="1:7">
      <c r="A3821" t="s">
        <v>4290</v>
      </c>
      <c r="G3821" t="s">
        <v>4288</v>
      </c>
    </row>
    <row r="3822" spans="1:7">
      <c r="A3822" t="s">
        <v>4165</v>
      </c>
      <c r="G3822" t="s">
        <v>4288</v>
      </c>
    </row>
    <row r="3823" spans="1:7">
      <c r="A3823" t="s">
        <v>4109</v>
      </c>
      <c r="G3823" t="s">
        <v>4193</v>
      </c>
    </row>
    <row r="3824" spans="1:7">
      <c r="A3824" t="s">
        <v>4571</v>
      </c>
      <c r="G3824" t="s">
        <v>4193</v>
      </c>
    </row>
    <row r="3825" spans="1:8">
      <c r="A3825" t="s">
        <v>4073</v>
      </c>
      <c r="G3825" t="s">
        <v>4193</v>
      </c>
      <c r="H3825">
        <v>5445097</v>
      </c>
    </row>
    <row r="3826" spans="1:7">
      <c r="A3826" t="s">
        <v>4581</v>
      </c>
      <c r="G3826" t="s">
        <v>4193</v>
      </c>
    </row>
    <row r="3827" spans="1:8">
      <c r="A3827" t="s">
        <v>5131</v>
      </c>
      <c r="G3827" t="s">
        <v>5132</v>
      </c>
      <c r="H3827">
        <v>4799097</v>
      </c>
    </row>
    <row r="3828" spans="1:7">
      <c r="A3828" t="s">
        <v>4113</v>
      </c>
      <c r="G3828" t="s">
        <v>4944</v>
      </c>
    </row>
    <row r="3829" spans="1:7">
      <c r="A3829" t="s">
        <v>5064</v>
      </c>
      <c r="G3829" t="s">
        <v>5133</v>
      </c>
    </row>
    <row r="3830" spans="1:7">
      <c r="A3830" t="s">
        <v>4524</v>
      </c>
      <c r="G3830" t="s">
        <v>4493</v>
      </c>
    </row>
    <row r="3831" spans="1:7">
      <c r="A3831" t="s">
        <v>4475</v>
      </c>
      <c r="G3831" t="s">
        <v>4381</v>
      </c>
    </row>
    <row r="3832" spans="1:7">
      <c r="A3832" t="s">
        <v>5070</v>
      </c>
      <c r="G3832" t="s">
        <v>4381</v>
      </c>
    </row>
    <row r="3833" spans="1:7">
      <c r="A3833" t="s">
        <v>4091</v>
      </c>
      <c r="G3833" t="s">
        <v>4381</v>
      </c>
    </row>
    <row r="3834" spans="1:7">
      <c r="A3834" t="s">
        <v>4425</v>
      </c>
      <c r="G3834" t="s">
        <v>4381</v>
      </c>
    </row>
    <row r="3835" spans="1:7">
      <c r="A3835" t="s">
        <v>4112</v>
      </c>
      <c r="G3835" t="s">
        <v>4381</v>
      </c>
    </row>
    <row r="3836" spans="1:7">
      <c r="A3836" t="s">
        <v>4084</v>
      </c>
      <c r="G3836" t="s">
        <v>4381</v>
      </c>
    </row>
    <row r="3837" spans="1:7">
      <c r="A3837" t="s">
        <v>4520</v>
      </c>
      <c r="G3837" t="s">
        <v>4381</v>
      </c>
    </row>
    <row r="3838" spans="1:7">
      <c r="A3838" t="s">
        <v>4820</v>
      </c>
      <c r="G3838" t="s">
        <v>4381</v>
      </c>
    </row>
    <row r="3839" spans="1:7">
      <c r="A3839" t="s">
        <v>4175</v>
      </c>
      <c r="G3839" t="s">
        <v>4381</v>
      </c>
    </row>
    <row r="3840" spans="1:7">
      <c r="A3840" t="s">
        <v>4154</v>
      </c>
      <c r="G3840" t="s">
        <v>4381</v>
      </c>
    </row>
    <row r="3841" spans="1:7">
      <c r="A3841" t="s">
        <v>4372</v>
      </c>
      <c r="G3841" t="s">
        <v>4381</v>
      </c>
    </row>
    <row r="3842" spans="1:7">
      <c r="A3842" t="s">
        <v>4258</v>
      </c>
      <c r="G3842" t="s">
        <v>4381</v>
      </c>
    </row>
    <row r="3843" spans="1:7">
      <c r="A3843" t="s">
        <v>4526</v>
      </c>
      <c r="G3843" t="s">
        <v>4381</v>
      </c>
    </row>
    <row r="3844" spans="1:7">
      <c r="A3844" t="s">
        <v>4082</v>
      </c>
      <c r="G3844" t="s">
        <v>4381</v>
      </c>
    </row>
    <row r="3845" spans="1:7">
      <c r="A3845" t="s">
        <v>4677</v>
      </c>
      <c r="G3845" t="s">
        <v>4381</v>
      </c>
    </row>
    <row r="3846" spans="1:7">
      <c r="A3846" t="s">
        <v>4147</v>
      </c>
      <c r="G3846" t="s">
        <v>4381</v>
      </c>
    </row>
    <row r="3847" spans="1:7">
      <c r="A3847" t="s">
        <v>4440</v>
      </c>
      <c r="G3847" t="s">
        <v>4381</v>
      </c>
    </row>
    <row r="3848" spans="1:7">
      <c r="A3848" t="s">
        <v>4052</v>
      </c>
      <c r="G3848" t="s">
        <v>4381</v>
      </c>
    </row>
    <row r="3849" spans="1:7">
      <c r="A3849" t="s">
        <v>4902</v>
      </c>
      <c r="G3849" t="s">
        <v>4381</v>
      </c>
    </row>
    <row r="3850" spans="1:7">
      <c r="A3850" t="s">
        <v>4104</v>
      </c>
      <c r="G3850" t="s">
        <v>4381</v>
      </c>
    </row>
    <row r="3851" spans="1:7">
      <c r="A3851" t="s">
        <v>4658</v>
      </c>
      <c r="G3851" t="s">
        <v>4381</v>
      </c>
    </row>
    <row r="3852" spans="1:7">
      <c r="A3852" t="s">
        <v>4614</v>
      </c>
      <c r="G3852" t="s">
        <v>4381</v>
      </c>
    </row>
    <row r="3853" spans="1:7">
      <c r="A3853" t="s">
        <v>4478</v>
      </c>
      <c r="G3853" t="s">
        <v>4381</v>
      </c>
    </row>
    <row r="3854" spans="1:7">
      <c r="A3854" t="s">
        <v>4135</v>
      </c>
      <c r="G3854" t="s">
        <v>4381</v>
      </c>
    </row>
    <row r="3855" spans="1:7">
      <c r="A3855" t="s">
        <v>3980</v>
      </c>
      <c r="B3855">
        <v>5251097</v>
      </c>
      <c r="G3855" t="s">
        <v>4381</v>
      </c>
    </row>
    <row r="3856" spans="1:7">
      <c r="A3856" t="s">
        <v>4749</v>
      </c>
      <c r="G3856" t="s">
        <v>4381</v>
      </c>
    </row>
    <row r="3857" spans="1:7">
      <c r="A3857" t="s">
        <v>5084</v>
      </c>
      <c r="G3857" t="s">
        <v>4381</v>
      </c>
    </row>
    <row r="3858" spans="1:7">
      <c r="A3858" t="s">
        <v>4808</v>
      </c>
      <c r="G3858" t="s">
        <v>4381</v>
      </c>
    </row>
    <row r="3859" spans="1:7">
      <c r="A3859" t="s">
        <v>4474</v>
      </c>
      <c r="G3859" t="s">
        <v>4381</v>
      </c>
    </row>
    <row r="3860" spans="1:7">
      <c r="A3860" t="s">
        <v>4239</v>
      </c>
      <c r="G3860" t="s">
        <v>4381</v>
      </c>
    </row>
    <row r="3861" spans="1:7">
      <c r="A3861" t="s">
        <v>4439</v>
      </c>
      <c r="G3861" t="s">
        <v>4381</v>
      </c>
    </row>
    <row r="3862" spans="1:7">
      <c r="A3862" t="s">
        <v>4288</v>
      </c>
      <c r="G3862" t="s">
        <v>4381</v>
      </c>
    </row>
    <row r="3863" spans="1:7">
      <c r="A3863" t="s">
        <v>4870</v>
      </c>
      <c r="G3863" t="s">
        <v>4381</v>
      </c>
    </row>
    <row r="3864" spans="1:7">
      <c r="A3864" t="s">
        <v>4625</v>
      </c>
      <c r="G3864" t="s">
        <v>4381</v>
      </c>
    </row>
    <row r="3865" spans="1:7">
      <c r="A3865" t="s">
        <v>4454</v>
      </c>
      <c r="G3865" t="s">
        <v>4381</v>
      </c>
    </row>
    <row r="3866" spans="1:7">
      <c r="A3866" t="s">
        <v>4211</v>
      </c>
      <c r="G3866" t="s">
        <v>4381</v>
      </c>
    </row>
    <row r="3867" spans="1:7">
      <c r="A3867" t="s">
        <v>4477</v>
      </c>
      <c r="G3867" t="s">
        <v>4381</v>
      </c>
    </row>
    <row r="3868" spans="1:7">
      <c r="A3868" t="s">
        <v>4126</v>
      </c>
      <c r="G3868" t="s">
        <v>4381</v>
      </c>
    </row>
    <row r="3869" spans="1:7">
      <c r="A3869" t="s">
        <v>4141</v>
      </c>
      <c r="G3869" t="s">
        <v>4381</v>
      </c>
    </row>
    <row r="3870" spans="1:7">
      <c r="A3870" t="s">
        <v>4609</v>
      </c>
      <c r="G3870" t="s">
        <v>4381</v>
      </c>
    </row>
    <row r="3871" spans="1:7">
      <c r="A3871" t="s">
        <v>4697</v>
      </c>
      <c r="G3871" t="s">
        <v>4381</v>
      </c>
    </row>
    <row r="3872" spans="1:7">
      <c r="A3872" t="s">
        <v>4763</v>
      </c>
      <c r="G3872" t="s">
        <v>4381</v>
      </c>
    </row>
    <row r="3873" spans="1:7">
      <c r="A3873" t="s">
        <v>5121</v>
      </c>
      <c r="B3873">
        <v>5263097</v>
      </c>
      <c r="G3873" t="s">
        <v>4381</v>
      </c>
    </row>
    <row r="3874" spans="1:7">
      <c r="A3874" t="s">
        <v>4455</v>
      </c>
      <c r="G3874" t="s">
        <v>4381</v>
      </c>
    </row>
    <row r="3875" spans="1:7">
      <c r="A3875" t="s">
        <v>4244</v>
      </c>
      <c r="G3875" t="s">
        <v>4381</v>
      </c>
    </row>
    <row r="3876" spans="1:7">
      <c r="A3876" t="s">
        <v>4959</v>
      </c>
      <c r="G3876" t="s">
        <v>4381</v>
      </c>
    </row>
    <row r="3877" spans="1:7">
      <c r="A3877" t="s">
        <v>4232</v>
      </c>
      <c r="G3877" t="s">
        <v>4381</v>
      </c>
    </row>
    <row r="3878" spans="1:7">
      <c r="A3878" t="s">
        <v>4161</v>
      </c>
      <c r="G3878" t="s">
        <v>4381</v>
      </c>
    </row>
    <row r="3879" spans="1:7">
      <c r="A3879" t="s">
        <v>4079</v>
      </c>
      <c r="G3879" t="s">
        <v>4452</v>
      </c>
    </row>
    <row r="3880" spans="1:7">
      <c r="A3880" t="s">
        <v>4237</v>
      </c>
      <c r="G3880" t="s">
        <v>4452</v>
      </c>
    </row>
    <row r="3881" spans="1:8">
      <c r="A3881" t="s">
        <v>4200</v>
      </c>
      <c r="B3881">
        <v>5250097</v>
      </c>
      <c r="G3881" t="s">
        <v>4326</v>
      </c>
      <c r="H3881">
        <v>5558097</v>
      </c>
    </row>
    <row r="3882" spans="1:8">
      <c r="A3882" t="s">
        <v>4538</v>
      </c>
      <c r="G3882" t="s">
        <v>4326</v>
      </c>
      <c r="H3882">
        <v>4768097</v>
      </c>
    </row>
    <row r="3883" spans="1:8">
      <c r="A3883" t="s">
        <v>4230</v>
      </c>
      <c r="G3883" t="s">
        <v>4326</v>
      </c>
      <c r="H3883">
        <v>4766097</v>
      </c>
    </row>
    <row r="3884" spans="1:7">
      <c r="A3884" t="s">
        <v>4082</v>
      </c>
      <c r="G3884" t="s">
        <v>4418</v>
      </c>
    </row>
    <row r="3885" spans="1:7">
      <c r="A3885" t="s">
        <v>4820</v>
      </c>
      <c r="G3885" t="s">
        <v>4418</v>
      </c>
    </row>
    <row r="3886" spans="1:7">
      <c r="A3886" t="s">
        <v>4527</v>
      </c>
      <c r="G3886" t="s">
        <v>4418</v>
      </c>
    </row>
    <row r="3887" spans="1:7">
      <c r="A3887" t="s">
        <v>5128</v>
      </c>
      <c r="G3887" t="s">
        <v>4418</v>
      </c>
    </row>
    <row r="3888" spans="1:7">
      <c r="A3888" t="s">
        <v>4088</v>
      </c>
      <c r="G3888" t="s">
        <v>4418</v>
      </c>
    </row>
    <row r="3889" spans="1:7">
      <c r="A3889" t="s">
        <v>4726</v>
      </c>
      <c r="G3889" t="s">
        <v>4418</v>
      </c>
    </row>
    <row r="3890" spans="1:7">
      <c r="A3890" t="s">
        <v>4697</v>
      </c>
      <c r="G3890" t="s">
        <v>4418</v>
      </c>
    </row>
    <row r="3891" spans="1:7">
      <c r="A3891" t="s">
        <v>4088</v>
      </c>
      <c r="B3891">
        <v>5254097</v>
      </c>
      <c r="G3891" t="s">
        <v>4418</v>
      </c>
    </row>
    <row r="3892" spans="1:7">
      <c r="A3892" t="s">
        <v>5121</v>
      </c>
      <c r="G3892" t="s">
        <v>4418</v>
      </c>
    </row>
    <row r="3893" spans="1:7">
      <c r="A3893" t="s">
        <v>4757</v>
      </c>
      <c r="G3893" t="s">
        <v>4418</v>
      </c>
    </row>
    <row r="3894" spans="1:7">
      <c r="A3894" t="s">
        <v>4232</v>
      </c>
      <c r="G3894" t="s">
        <v>4418</v>
      </c>
    </row>
    <row r="3895" spans="1:8">
      <c r="A3895" t="s">
        <v>4161</v>
      </c>
      <c r="G3895" t="s">
        <v>4418</v>
      </c>
      <c r="H3895">
        <v>5223097</v>
      </c>
    </row>
    <row r="3896" spans="1:7">
      <c r="A3896" t="s">
        <v>4959</v>
      </c>
      <c r="G3896" t="s">
        <v>4418</v>
      </c>
    </row>
    <row r="3897" spans="1:7">
      <c r="A3897" t="s">
        <v>4538</v>
      </c>
      <c r="G3897" t="s">
        <v>4418</v>
      </c>
    </row>
    <row r="3898" spans="1:7">
      <c r="A3898" t="s">
        <v>4237</v>
      </c>
      <c r="G3898" t="s">
        <v>4418</v>
      </c>
    </row>
    <row r="3899" spans="1:7">
      <c r="A3899" t="s">
        <v>4697</v>
      </c>
      <c r="G3899" t="s">
        <v>4418</v>
      </c>
    </row>
    <row r="3900" spans="1:7">
      <c r="A3900" t="s">
        <v>4230</v>
      </c>
      <c r="G3900" t="s">
        <v>4418</v>
      </c>
    </row>
    <row r="3901" spans="1:7">
      <c r="A3901" t="s">
        <v>4244</v>
      </c>
      <c r="G3901" t="s">
        <v>4882</v>
      </c>
    </row>
    <row r="3902" spans="1:7">
      <c r="A3902" t="s">
        <v>4940</v>
      </c>
      <c r="G3902" t="s">
        <v>5134</v>
      </c>
    </row>
    <row r="3903" spans="1:7">
      <c r="A3903" t="s">
        <v>4418</v>
      </c>
      <c r="G3903" t="s">
        <v>4757</v>
      </c>
    </row>
    <row r="3904" spans="1:7">
      <c r="A3904" t="s">
        <v>5017</v>
      </c>
      <c r="G3904" t="s">
        <v>4757</v>
      </c>
    </row>
    <row r="3905" spans="1:7">
      <c r="A3905" t="s">
        <v>5128</v>
      </c>
      <c r="G3905" t="s">
        <v>4757</v>
      </c>
    </row>
    <row r="3906" spans="1:7">
      <c r="A3906" t="s">
        <v>4820</v>
      </c>
      <c r="G3906" t="s">
        <v>4757</v>
      </c>
    </row>
    <row r="3907" spans="1:7">
      <c r="A3907" t="s">
        <v>4455</v>
      </c>
      <c r="G3907" t="s">
        <v>5135</v>
      </c>
    </row>
    <row r="3908" spans="1:7">
      <c r="A3908" t="s">
        <v>4527</v>
      </c>
      <c r="G3908" t="s">
        <v>4160</v>
      </c>
    </row>
    <row r="3909" spans="1:7">
      <c r="A3909" t="s">
        <v>4200</v>
      </c>
      <c r="G3909" t="s">
        <v>4160</v>
      </c>
    </row>
    <row r="3910" spans="1:7">
      <c r="A3910" t="s">
        <v>4082</v>
      </c>
      <c r="G3910" t="s">
        <v>4160</v>
      </c>
    </row>
    <row r="3911" spans="1:7">
      <c r="A3911" t="s">
        <v>4525</v>
      </c>
      <c r="B3911">
        <v>5253097</v>
      </c>
      <c r="G3911" t="s">
        <v>4160</v>
      </c>
    </row>
    <row r="3912" spans="1:7">
      <c r="A3912" t="s">
        <v>4948</v>
      </c>
      <c r="B3912">
        <v>5249097</v>
      </c>
      <c r="G3912" t="s">
        <v>4160</v>
      </c>
    </row>
    <row r="3913" spans="1:7">
      <c r="A3913" t="s">
        <v>4919</v>
      </c>
      <c r="G3913" t="s">
        <v>4160</v>
      </c>
    </row>
    <row r="3914" spans="1:7">
      <c r="A3914" t="s">
        <v>4900</v>
      </c>
      <c r="G3914" t="s">
        <v>4160</v>
      </c>
    </row>
    <row r="3915" spans="1:7">
      <c r="A3915" t="s">
        <v>4122</v>
      </c>
      <c r="G3915" t="s">
        <v>5136</v>
      </c>
    </row>
    <row r="3916" spans="1:7">
      <c r="A3916" t="s">
        <v>4086</v>
      </c>
      <c r="G3916" t="s">
        <v>4979</v>
      </c>
    </row>
    <row r="3917" spans="1:7">
      <c r="A3917" t="s">
        <v>4538</v>
      </c>
      <c r="G3917" t="s">
        <v>4979</v>
      </c>
    </row>
    <row r="3918" spans="1:7">
      <c r="A3918" t="s">
        <v>4516</v>
      </c>
      <c r="G3918" t="s">
        <v>4979</v>
      </c>
    </row>
    <row r="3919" spans="1:7">
      <c r="A3919" t="s">
        <v>4454</v>
      </c>
      <c r="G3919" t="s">
        <v>4979</v>
      </c>
    </row>
    <row r="3920" spans="1:7">
      <c r="A3920" t="s">
        <v>4570</v>
      </c>
      <c r="G3920" t="s">
        <v>4979</v>
      </c>
    </row>
    <row r="3921" spans="1:7">
      <c r="A3921" t="s">
        <v>4115</v>
      </c>
      <c r="G3921" t="s">
        <v>4979</v>
      </c>
    </row>
    <row r="3922" spans="1:8">
      <c r="A3922" t="s">
        <v>5036</v>
      </c>
      <c r="G3922" t="s">
        <v>5065</v>
      </c>
      <c r="H3922">
        <v>5341097</v>
      </c>
    </row>
    <row r="3923" spans="1:8">
      <c r="A3923" t="s">
        <v>4091</v>
      </c>
      <c r="G3923" t="s">
        <v>5065</v>
      </c>
      <c r="H3923">
        <v>5319097</v>
      </c>
    </row>
    <row r="3924" spans="1:7">
      <c r="A3924" t="s">
        <v>4088</v>
      </c>
      <c r="G3924" t="s">
        <v>5065</v>
      </c>
    </row>
    <row r="3925" spans="1:7">
      <c r="A3925" t="s">
        <v>4450</v>
      </c>
      <c r="G3925" t="s">
        <v>4721</v>
      </c>
    </row>
    <row r="3926" spans="1:7">
      <c r="A3926" t="s">
        <v>4370</v>
      </c>
      <c r="G3926" t="s">
        <v>4250</v>
      </c>
    </row>
    <row r="3927" spans="1:7">
      <c r="A3927" t="s">
        <v>5137</v>
      </c>
      <c r="G3927" t="s">
        <v>4250</v>
      </c>
    </row>
    <row r="3928" spans="1:7">
      <c r="A3928" t="s">
        <v>4085</v>
      </c>
      <c r="G3928" t="s">
        <v>4250</v>
      </c>
    </row>
    <row r="3929" spans="1:7">
      <c r="A3929" t="s">
        <v>4997</v>
      </c>
      <c r="G3929" t="s">
        <v>4250</v>
      </c>
    </row>
    <row r="3930" spans="1:7">
      <c r="A3930" t="s">
        <v>4549</v>
      </c>
      <c r="G3930" t="s">
        <v>4250</v>
      </c>
    </row>
    <row r="3931" spans="1:8">
      <c r="A3931" t="s">
        <v>4978</v>
      </c>
      <c r="B3931">
        <v>5241097</v>
      </c>
      <c r="G3931" t="s">
        <v>4250</v>
      </c>
      <c r="H3931">
        <v>5519097</v>
      </c>
    </row>
    <row r="3932" spans="1:7">
      <c r="A3932" t="s">
        <v>4242</v>
      </c>
      <c r="G3932" t="s">
        <v>4250</v>
      </c>
    </row>
    <row r="3933" spans="1:7">
      <c r="A3933" t="s">
        <v>4181</v>
      </c>
      <c r="G3933" t="s">
        <v>4250</v>
      </c>
    </row>
    <row r="3934" spans="1:7">
      <c r="A3934" t="s">
        <v>4169</v>
      </c>
      <c r="G3934" t="s">
        <v>4250</v>
      </c>
    </row>
    <row r="3935" spans="1:7">
      <c r="A3935" t="s">
        <v>4190</v>
      </c>
      <c r="G3935" t="s">
        <v>4250</v>
      </c>
    </row>
    <row r="3936" spans="1:7">
      <c r="A3936" t="s">
        <v>5138</v>
      </c>
      <c r="G3936" t="s">
        <v>4597</v>
      </c>
    </row>
    <row r="3937" spans="1:7">
      <c r="A3937" t="s">
        <v>4052</v>
      </c>
      <c r="G3937" t="s">
        <v>5139</v>
      </c>
    </row>
    <row r="3938" spans="1:7">
      <c r="A3938" t="s">
        <v>4809</v>
      </c>
      <c r="G3938" t="s">
        <v>5139</v>
      </c>
    </row>
    <row r="3939" spans="1:7">
      <c r="A3939" t="s">
        <v>5041</v>
      </c>
      <c r="G3939" t="s">
        <v>5139</v>
      </c>
    </row>
    <row r="3940" spans="1:7">
      <c r="A3940" t="s">
        <v>5140</v>
      </c>
      <c r="G3940" t="s">
        <v>4566</v>
      </c>
    </row>
    <row r="3941" spans="1:7">
      <c r="A3941" t="s">
        <v>4543</v>
      </c>
      <c r="G3941" t="s">
        <v>4566</v>
      </c>
    </row>
    <row r="3942" spans="1:7">
      <c r="A3942" t="s">
        <v>4929</v>
      </c>
      <c r="G3942" t="s">
        <v>4566</v>
      </c>
    </row>
    <row r="3943" spans="1:7">
      <c r="A3943" t="s">
        <v>5141</v>
      </c>
      <c r="G3943" t="s">
        <v>4566</v>
      </c>
    </row>
    <row r="3944" spans="1:7">
      <c r="A3944" t="s">
        <v>4799</v>
      </c>
      <c r="G3944" t="s">
        <v>4566</v>
      </c>
    </row>
    <row r="3945" spans="1:7">
      <c r="A3945" t="s">
        <v>5142</v>
      </c>
      <c r="G3945" t="s">
        <v>4566</v>
      </c>
    </row>
    <row r="3946" spans="1:7">
      <c r="A3946" t="s">
        <v>4112</v>
      </c>
      <c r="G3946" t="s">
        <v>4566</v>
      </c>
    </row>
    <row r="3947" spans="1:7">
      <c r="A3947" t="s">
        <v>5143</v>
      </c>
      <c r="B3947">
        <v>5236097</v>
      </c>
      <c r="G3947" t="s">
        <v>4566</v>
      </c>
    </row>
    <row r="3948" spans="1:7">
      <c r="A3948" t="s">
        <v>4230</v>
      </c>
      <c r="G3948" t="s">
        <v>4566</v>
      </c>
    </row>
    <row r="3949" spans="1:7">
      <c r="A3949" t="s">
        <v>4697</v>
      </c>
      <c r="G3949" t="s">
        <v>4566</v>
      </c>
    </row>
    <row r="3950" spans="1:7">
      <c r="A3950" t="s">
        <v>4097</v>
      </c>
      <c r="G3950" t="s">
        <v>4566</v>
      </c>
    </row>
    <row r="3951" spans="1:7">
      <c r="A3951" t="s">
        <v>4237</v>
      </c>
      <c r="G3951" t="s">
        <v>4814</v>
      </c>
    </row>
    <row r="3952" spans="1:7">
      <c r="A3952" t="s">
        <v>4211</v>
      </c>
      <c r="G3952" t="s">
        <v>4814</v>
      </c>
    </row>
    <row r="3953" spans="1:7">
      <c r="A3953" t="s">
        <v>4720</v>
      </c>
      <c r="G3953" t="s">
        <v>4814</v>
      </c>
    </row>
    <row r="3954" spans="1:7">
      <c r="A3954" t="s">
        <v>4418</v>
      </c>
      <c r="G3954" t="s">
        <v>4814</v>
      </c>
    </row>
    <row r="3955" spans="1:7">
      <c r="A3955" t="s">
        <v>4124</v>
      </c>
      <c r="G3955" t="s">
        <v>4814</v>
      </c>
    </row>
    <row r="3956" spans="1:7">
      <c r="A3956" t="s">
        <v>4548</v>
      </c>
      <c r="G3956" t="s">
        <v>4814</v>
      </c>
    </row>
    <row r="3957" spans="1:7">
      <c r="A3957" t="s">
        <v>4136</v>
      </c>
      <c r="G3957" t="s">
        <v>4814</v>
      </c>
    </row>
    <row r="3958" spans="1:7">
      <c r="A3958" t="s">
        <v>4186</v>
      </c>
      <c r="G3958" t="s">
        <v>4816</v>
      </c>
    </row>
    <row r="3959" spans="1:7">
      <c r="A3959" t="s">
        <v>4824</v>
      </c>
      <c r="G3959" t="s">
        <v>4816</v>
      </c>
    </row>
    <row r="3960" spans="1:7">
      <c r="A3960" t="s">
        <v>4233</v>
      </c>
      <c r="G3960" t="s">
        <v>4816</v>
      </c>
    </row>
    <row r="3961" spans="1:7">
      <c r="A3961" t="s">
        <v>5061</v>
      </c>
      <c r="G3961" t="s">
        <v>4816</v>
      </c>
    </row>
    <row r="3962" spans="1:7">
      <c r="A3962" t="s">
        <v>4135</v>
      </c>
      <c r="G3962" t="s">
        <v>4816</v>
      </c>
    </row>
    <row r="3963" spans="1:7">
      <c r="A3963" t="s">
        <v>4568</v>
      </c>
      <c r="G3963" t="s">
        <v>4816</v>
      </c>
    </row>
    <row r="3964" spans="1:7">
      <c r="A3964" t="s">
        <v>4979</v>
      </c>
      <c r="G3964" t="s">
        <v>4816</v>
      </c>
    </row>
    <row r="3965" spans="1:7">
      <c r="A3965" t="s">
        <v>4922</v>
      </c>
      <c r="G3965" t="s">
        <v>5052</v>
      </c>
    </row>
    <row r="3966" spans="1:7">
      <c r="A3966" t="s">
        <v>4073</v>
      </c>
      <c r="G3966" t="s">
        <v>4945</v>
      </c>
    </row>
    <row r="3967" spans="1:7">
      <c r="A3967" t="s">
        <v>4820</v>
      </c>
      <c r="G3967" t="s">
        <v>5144</v>
      </c>
    </row>
    <row r="3968" spans="1:7">
      <c r="A3968" t="s">
        <v>4187</v>
      </c>
      <c r="G3968" t="s">
        <v>5144</v>
      </c>
    </row>
    <row r="3969" spans="1:7">
      <c r="A3969" t="s">
        <v>4339</v>
      </c>
      <c r="G3969" t="s">
        <v>5144</v>
      </c>
    </row>
    <row r="3970" spans="1:7">
      <c r="A3970" t="s">
        <v>5094</v>
      </c>
      <c r="G3970" t="s">
        <v>4627</v>
      </c>
    </row>
    <row r="3971" spans="1:7">
      <c r="A3971" t="s">
        <v>4372</v>
      </c>
      <c r="G3971" t="s">
        <v>4627</v>
      </c>
    </row>
    <row r="3972" spans="1:7">
      <c r="A3972" t="s">
        <v>5053</v>
      </c>
      <c r="G3972" t="s">
        <v>4627</v>
      </c>
    </row>
    <row r="3973" spans="1:7">
      <c r="A3973" t="s">
        <v>4826</v>
      </c>
      <c r="G3973" t="s">
        <v>4627</v>
      </c>
    </row>
    <row r="3974" spans="1:7">
      <c r="A3974" t="s">
        <v>5135</v>
      </c>
      <c r="G3974" t="s">
        <v>4627</v>
      </c>
    </row>
    <row r="3975" spans="1:8">
      <c r="A3975" t="s">
        <v>4614</v>
      </c>
      <c r="G3975" t="s">
        <v>5145</v>
      </c>
      <c r="H3975">
        <v>5130097</v>
      </c>
    </row>
    <row r="3976" spans="1:7">
      <c r="A3976" t="s">
        <v>4911</v>
      </c>
      <c r="G3976" t="s">
        <v>5145</v>
      </c>
    </row>
    <row r="3977" spans="1:7">
      <c r="A3977" t="s">
        <v>4341</v>
      </c>
      <c r="G3977" t="s">
        <v>5145</v>
      </c>
    </row>
    <row r="3978" spans="1:7">
      <c r="A3978" t="s">
        <v>4143</v>
      </c>
      <c r="G3978" t="s">
        <v>5145</v>
      </c>
    </row>
    <row r="3979" spans="1:7">
      <c r="A3979" t="s">
        <v>4589</v>
      </c>
      <c r="G3979" t="s">
        <v>5145</v>
      </c>
    </row>
    <row r="3980" spans="1:7">
      <c r="A3980" t="s">
        <v>4155</v>
      </c>
      <c r="G3980" t="s">
        <v>5145</v>
      </c>
    </row>
    <row r="3981" spans="1:7">
      <c r="A3981" t="s">
        <v>4179</v>
      </c>
      <c r="G3981" t="s">
        <v>5145</v>
      </c>
    </row>
    <row r="3982" spans="1:7">
      <c r="A3982" t="s">
        <v>4079</v>
      </c>
      <c r="G3982" t="s">
        <v>5145</v>
      </c>
    </row>
    <row r="3983" spans="1:7">
      <c r="A3983" t="s">
        <v>4989</v>
      </c>
      <c r="G3983" t="s">
        <v>4769</v>
      </c>
    </row>
    <row r="3984" spans="1:7">
      <c r="A3984" t="s">
        <v>4455</v>
      </c>
      <c r="G3984" t="s">
        <v>4769</v>
      </c>
    </row>
    <row r="3985" spans="1:7">
      <c r="A3985" t="s">
        <v>4290</v>
      </c>
      <c r="B3985">
        <v>5251097</v>
      </c>
      <c r="G3985" t="s">
        <v>4769</v>
      </c>
    </row>
    <row r="3986" spans="1:7">
      <c r="A3986" t="s">
        <v>4189</v>
      </c>
      <c r="G3986" t="s">
        <v>4769</v>
      </c>
    </row>
    <row r="3987" spans="1:7">
      <c r="A3987" t="s">
        <v>4100</v>
      </c>
      <c r="G3987" t="s">
        <v>4769</v>
      </c>
    </row>
    <row r="3988" spans="1:7">
      <c r="A3988" t="s">
        <v>5059</v>
      </c>
      <c r="G3988" t="s">
        <v>4769</v>
      </c>
    </row>
    <row r="3989" spans="1:7">
      <c r="A3989" t="s">
        <v>4237</v>
      </c>
      <c r="G3989" t="s">
        <v>4769</v>
      </c>
    </row>
    <row r="3990" spans="1:7">
      <c r="A3990" t="s">
        <v>4082</v>
      </c>
      <c r="G3990" t="s">
        <v>4769</v>
      </c>
    </row>
    <row r="3991" spans="1:7">
      <c r="A3991" t="s">
        <v>4055</v>
      </c>
      <c r="G3991" t="s">
        <v>4769</v>
      </c>
    </row>
    <row r="3992" spans="1:7">
      <c r="A3992" t="s">
        <v>4079</v>
      </c>
      <c r="G3992" t="s">
        <v>4940</v>
      </c>
    </row>
    <row r="3993" spans="1:7">
      <c r="A3993" t="s">
        <v>4091</v>
      </c>
      <c r="G3993" t="s">
        <v>4940</v>
      </c>
    </row>
    <row r="3994" spans="1:8">
      <c r="A3994" t="s">
        <v>4633</v>
      </c>
      <c r="B3994">
        <v>5235097</v>
      </c>
      <c r="G3994" t="s">
        <v>4940</v>
      </c>
      <c r="H3994">
        <v>5336097</v>
      </c>
    </row>
    <row r="3995" spans="1:7">
      <c r="A3995" t="s">
        <v>4136</v>
      </c>
      <c r="G3995" t="s">
        <v>4940</v>
      </c>
    </row>
    <row r="3996" spans="1:7">
      <c r="A3996" t="s">
        <v>4770</v>
      </c>
      <c r="G3996" t="s">
        <v>5146</v>
      </c>
    </row>
    <row r="3997" spans="1:7">
      <c r="A3997" t="s">
        <v>4524</v>
      </c>
      <c r="G3997" t="s">
        <v>4811</v>
      </c>
    </row>
    <row r="3998" spans="1:7">
      <c r="A3998" t="s">
        <v>4920</v>
      </c>
      <c r="G3998" t="s">
        <v>4811</v>
      </c>
    </row>
    <row r="3999" spans="1:7">
      <c r="A3999" t="s">
        <v>4098</v>
      </c>
      <c r="G3999" t="s">
        <v>5147</v>
      </c>
    </row>
    <row r="4000" spans="1:7">
      <c r="A4000" t="s">
        <v>4614</v>
      </c>
      <c r="G4000" t="s">
        <v>5147</v>
      </c>
    </row>
    <row r="4001" spans="1:7">
      <c r="A4001" t="s">
        <v>5017</v>
      </c>
      <c r="G4001" t="s">
        <v>5148</v>
      </c>
    </row>
    <row r="4002" spans="1:7">
      <c r="A4002" t="s">
        <v>4109</v>
      </c>
      <c r="G4002" t="s">
        <v>5149</v>
      </c>
    </row>
    <row r="4003" spans="1:7">
      <c r="A4003" t="s">
        <v>4959</v>
      </c>
      <c r="G4003" t="s">
        <v>5149</v>
      </c>
    </row>
    <row r="4004" spans="1:7">
      <c r="A4004" t="s">
        <v>4560</v>
      </c>
      <c r="G4004" t="s">
        <v>5150</v>
      </c>
    </row>
    <row r="4005" spans="1:8">
      <c r="A4005" t="s">
        <v>4450</v>
      </c>
      <c r="G4005" t="s">
        <v>5150</v>
      </c>
      <c r="H4005">
        <v>4879097</v>
      </c>
    </row>
    <row r="4006" spans="1:7">
      <c r="A4006" t="s">
        <v>4548</v>
      </c>
      <c r="G4006" t="s">
        <v>5058</v>
      </c>
    </row>
    <row r="4007" spans="1:7">
      <c r="A4007" t="s">
        <v>4128</v>
      </c>
      <c r="G4007" t="s">
        <v>4957</v>
      </c>
    </row>
    <row r="4008" spans="1:7">
      <c r="A4008" t="s">
        <v>5151</v>
      </c>
      <c r="G4008" t="s">
        <v>4956</v>
      </c>
    </row>
    <row r="4009" spans="1:7">
      <c r="A4009" t="s">
        <v>4703</v>
      </c>
      <c r="G4009" t="s">
        <v>4956</v>
      </c>
    </row>
    <row r="4010" spans="1:7">
      <c r="A4010" t="s">
        <v>4824</v>
      </c>
      <c r="G4010" t="s">
        <v>4956</v>
      </c>
    </row>
    <row r="4011" spans="1:7">
      <c r="A4011" t="s">
        <v>5152</v>
      </c>
      <c r="B4011">
        <v>5250097</v>
      </c>
      <c r="G4011" t="s">
        <v>4956</v>
      </c>
    </row>
    <row r="4012" spans="1:7">
      <c r="A4012" t="s">
        <v>4203</v>
      </c>
      <c r="G4012" t="s">
        <v>4956</v>
      </c>
    </row>
    <row r="4013" spans="1:7">
      <c r="A4013" t="s">
        <v>5153</v>
      </c>
      <c r="G4013" t="s">
        <v>5067</v>
      </c>
    </row>
    <row r="4014" spans="1:7">
      <c r="A4014" t="s">
        <v>4194</v>
      </c>
      <c r="G4014" t="s">
        <v>5067</v>
      </c>
    </row>
    <row r="4015" spans="1:7">
      <c r="A4015" t="s">
        <v>4642</v>
      </c>
      <c r="G4015" t="s">
        <v>4758</v>
      </c>
    </row>
    <row r="4016" spans="1:8">
      <c r="A4016" t="s">
        <v>4830</v>
      </c>
      <c r="G4016" t="s">
        <v>5128</v>
      </c>
      <c r="H4016">
        <v>5268097</v>
      </c>
    </row>
    <row r="4017" spans="1:7">
      <c r="A4017" t="s">
        <v>4085</v>
      </c>
      <c r="G4017" t="s">
        <v>5128</v>
      </c>
    </row>
    <row r="4018" spans="1:7">
      <c r="A4018" t="s">
        <v>5154</v>
      </c>
      <c r="G4018" t="s">
        <v>5128</v>
      </c>
    </row>
    <row r="4019" spans="1:7">
      <c r="A4019" t="s">
        <v>5155</v>
      </c>
      <c r="G4019" t="s">
        <v>4793</v>
      </c>
    </row>
    <row r="4020" spans="1:7">
      <c r="A4020" t="s">
        <v>4639</v>
      </c>
      <c r="G4020" t="s">
        <v>4793</v>
      </c>
    </row>
    <row r="4021" spans="1:7">
      <c r="A4021" t="s">
        <v>5040</v>
      </c>
      <c r="G4021" t="s">
        <v>4695</v>
      </c>
    </row>
    <row r="4022" spans="1:7">
      <c r="A4022" t="s">
        <v>4645</v>
      </c>
      <c r="G4022" t="s">
        <v>4695</v>
      </c>
    </row>
    <row r="4023" spans="1:7">
      <c r="A4023" t="s">
        <v>4313</v>
      </c>
      <c r="G4023" t="s">
        <v>4713</v>
      </c>
    </row>
    <row r="4024" spans="1:7">
      <c r="A4024" t="s">
        <v>5156</v>
      </c>
      <c r="G4024" t="s">
        <v>4713</v>
      </c>
    </row>
    <row r="4025" spans="1:7">
      <c r="A4025" t="s">
        <v>5157</v>
      </c>
      <c r="G4025" t="s">
        <v>4964</v>
      </c>
    </row>
    <row r="4026" spans="1:7">
      <c r="A4026" t="s">
        <v>4959</v>
      </c>
      <c r="G4026" t="s">
        <v>4964</v>
      </c>
    </row>
    <row r="4027" spans="1:7">
      <c r="A4027" t="s">
        <v>5158</v>
      </c>
      <c r="G4027" t="s">
        <v>4964</v>
      </c>
    </row>
    <row r="4028" spans="1:7">
      <c r="A4028" t="s">
        <v>5159</v>
      </c>
      <c r="G4028" t="s">
        <v>4964</v>
      </c>
    </row>
    <row r="4029" spans="1:7">
      <c r="A4029" t="s">
        <v>4470</v>
      </c>
      <c r="G4029" t="s">
        <v>4964</v>
      </c>
    </row>
    <row r="4030" spans="1:7">
      <c r="A4030" t="s">
        <v>4398</v>
      </c>
      <c r="G4030" t="s">
        <v>4964</v>
      </c>
    </row>
    <row r="4031" spans="1:7">
      <c r="A4031" t="s">
        <v>5160</v>
      </c>
      <c r="G4031" t="s">
        <v>4964</v>
      </c>
    </row>
    <row r="4032" spans="1:7">
      <c r="A4032" t="s">
        <v>5161</v>
      </c>
      <c r="G4032" t="s">
        <v>4964</v>
      </c>
    </row>
    <row r="4033" spans="1:8">
      <c r="A4033" t="s">
        <v>4482</v>
      </c>
      <c r="G4033" t="s">
        <v>5162</v>
      </c>
      <c r="H4033">
        <v>5049097</v>
      </c>
    </row>
    <row r="4034" spans="1:7">
      <c r="A4034" t="s">
        <v>5065</v>
      </c>
      <c r="G4034" t="s">
        <v>5162</v>
      </c>
    </row>
    <row r="4035" spans="1:7">
      <c r="A4035" t="s">
        <v>5163</v>
      </c>
      <c r="G4035" t="s">
        <v>5162</v>
      </c>
    </row>
    <row r="4036" spans="1:7">
      <c r="A4036" t="s">
        <v>5164</v>
      </c>
      <c r="G4036" t="s">
        <v>5162</v>
      </c>
    </row>
    <row r="4037" spans="1:7">
      <c r="A4037" t="s">
        <v>4761</v>
      </c>
      <c r="B4037">
        <v>5234097</v>
      </c>
      <c r="G4037" t="s">
        <v>5055</v>
      </c>
    </row>
    <row r="4038" spans="1:7">
      <c r="A4038" t="s">
        <v>5165</v>
      </c>
      <c r="G4038" t="s">
        <v>5055</v>
      </c>
    </row>
    <row r="4039" spans="1:7">
      <c r="A4039" t="s">
        <v>4466</v>
      </c>
      <c r="G4039" t="s">
        <v>5055</v>
      </c>
    </row>
    <row r="4040" spans="1:7">
      <c r="A4040" t="s">
        <v>4775</v>
      </c>
      <c r="G4040" t="s">
        <v>4795</v>
      </c>
    </row>
    <row r="4041" spans="1:7">
      <c r="A4041" t="s">
        <v>5166</v>
      </c>
      <c r="G4041" t="s">
        <v>4795</v>
      </c>
    </row>
    <row r="4042" spans="1:7">
      <c r="A4042" t="s">
        <v>5167</v>
      </c>
      <c r="B4042">
        <v>5249097</v>
      </c>
      <c r="G4042" t="s">
        <v>4795</v>
      </c>
    </row>
    <row r="4043" spans="1:7">
      <c r="A4043" t="s">
        <v>4239</v>
      </c>
      <c r="G4043" t="s">
        <v>4795</v>
      </c>
    </row>
    <row r="4044" spans="1:8">
      <c r="A4044" t="s">
        <v>4455</v>
      </c>
      <c r="G4044" t="s">
        <v>4795</v>
      </c>
      <c r="H4044">
        <v>4741097</v>
      </c>
    </row>
    <row r="4045" spans="1:8">
      <c r="A4045" t="s">
        <v>5008</v>
      </c>
      <c r="G4045" t="s">
        <v>4548</v>
      </c>
      <c r="H4045">
        <v>5491097</v>
      </c>
    </row>
    <row r="4046" spans="1:7">
      <c r="A4046" t="s">
        <v>5168</v>
      </c>
      <c r="G4046" t="s">
        <v>4548</v>
      </c>
    </row>
    <row r="4047" spans="1:7">
      <c r="A4047" t="s">
        <v>4959</v>
      </c>
      <c r="G4047" t="s">
        <v>4548</v>
      </c>
    </row>
    <row r="4048" spans="1:7">
      <c r="A4048" t="s">
        <v>4055</v>
      </c>
      <c r="G4048" t="s">
        <v>4548</v>
      </c>
    </row>
    <row r="4049" spans="1:7">
      <c r="A4049" t="s">
        <v>5169</v>
      </c>
      <c r="G4049" t="s">
        <v>4548</v>
      </c>
    </row>
    <row r="4050" spans="1:7">
      <c r="A4050" t="s">
        <v>5017</v>
      </c>
      <c r="G4050" t="s">
        <v>4548</v>
      </c>
    </row>
    <row r="4051" spans="1:7">
      <c r="A4051" t="s">
        <v>4009</v>
      </c>
      <c r="G4051" t="s">
        <v>4548</v>
      </c>
    </row>
    <row r="4052" spans="1:7">
      <c r="A4052" t="s">
        <v>3993</v>
      </c>
      <c r="G4052" t="s">
        <v>4548</v>
      </c>
    </row>
    <row r="4053" spans="1:7">
      <c r="A4053" t="s">
        <v>4152</v>
      </c>
      <c r="G4053" t="s">
        <v>4548</v>
      </c>
    </row>
    <row r="4054" spans="1:7">
      <c r="A4054" t="s">
        <v>4237</v>
      </c>
      <c r="G4054" t="s">
        <v>4548</v>
      </c>
    </row>
    <row r="4055" spans="1:7">
      <c r="A4055" t="s">
        <v>4778</v>
      </c>
      <c r="G4055" t="s">
        <v>4548</v>
      </c>
    </row>
    <row r="4056" spans="1:7">
      <c r="A4056" t="s">
        <v>4697</v>
      </c>
      <c r="G4056" t="s">
        <v>4548</v>
      </c>
    </row>
    <row r="4057" spans="1:7">
      <c r="A4057" t="s">
        <v>4126</v>
      </c>
      <c r="G4057" t="s">
        <v>5170</v>
      </c>
    </row>
    <row r="4058" spans="1:7">
      <c r="A4058" t="s">
        <v>5054</v>
      </c>
      <c r="G4058" t="s">
        <v>5170</v>
      </c>
    </row>
    <row r="4059" spans="1:7">
      <c r="A4059" t="s">
        <v>4107</v>
      </c>
      <c r="G4059" t="s">
        <v>5170</v>
      </c>
    </row>
    <row r="4060" spans="1:7">
      <c r="A4060" t="s">
        <v>4630</v>
      </c>
      <c r="G4060" t="s">
        <v>4857</v>
      </c>
    </row>
    <row r="4061" spans="1:7">
      <c r="A4061" t="s">
        <v>4378</v>
      </c>
      <c r="B4061">
        <v>5241097</v>
      </c>
      <c r="G4061" t="s">
        <v>4960</v>
      </c>
    </row>
    <row r="4062" spans="1:7">
      <c r="A4062" t="s">
        <v>4379</v>
      </c>
      <c r="G4062" t="s">
        <v>4960</v>
      </c>
    </row>
    <row r="4063" spans="1:7">
      <c r="A4063" t="s">
        <v>4147</v>
      </c>
      <c r="G4063" t="s">
        <v>4960</v>
      </c>
    </row>
    <row r="4064" spans="1:7">
      <c r="A4064" t="s">
        <v>4826</v>
      </c>
      <c r="G4064" t="s">
        <v>4960</v>
      </c>
    </row>
    <row r="4065" spans="1:7">
      <c r="A4065" t="s">
        <v>5171</v>
      </c>
      <c r="G4065" t="s">
        <v>4960</v>
      </c>
    </row>
    <row r="4066" spans="1:7">
      <c r="A4066" t="s">
        <v>5172</v>
      </c>
      <c r="G4066" t="s">
        <v>4960</v>
      </c>
    </row>
    <row r="4067" spans="1:7">
      <c r="A4067" t="s">
        <v>4820</v>
      </c>
      <c r="G4067" t="s">
        <v>4960</v>
      </c>
    </row>
    <row r="4068" spans="1:7">
      <c r="A4068" t="s">
        <v>5173</v>
      </c>
      <c r="G4068" t="s">
        <v>4960</v>
      </c>
    </row>
    <row r="4069" spans="1:7">
      <c r="A4069" t="s">
        <v>5174</v>
      </c>
      <c r="G4069" t="s">
        <v>4960</v>
      </c>
    </row>
    <row r="4070" spans="1:7">
      <c r="A4070" t="s">
        <v>4787</v>
      </c>
      <c r="G4070" t="s">
        <v>4960</v>
      </c>
    </row>
    <row r="4071" spans="1:7">
      <c r="A4071" t="s">
        <v>4067</v>
      </c>
      <c r="G4071" t="s">
        <v>4960</v>
      </c>
    </row>
    <row r="4072" spans="1:7">
      <c r="A4072" t="s">
        <v>5175</v>
      </c>
      <c r="G4072" t="s">
        <v>4359</v>
      </c>
    </row>
    <row r="4073" spans="1:8">
      <c r="A4073" t="s">
        <v>4083</v>
      </c>
      <c r="G4073" t="s">
        <v>4359</v>
      </c>
      <c r="H4073">
        <v>5527097</v>
      </c>
    </row>
    <row r="4074" spans="1:7">
      <c r="A4074" t="s">
        <v>4686</v>
      </c>
      <c r="G4074" t="s">
        <v>4359</v>
      </c>
    </row>
    <row r="4075" spans="1:7">
      <c r="A4075" t="s">
        <v>5036</v>
      </c>
      <c r="B4075">
        <v>5233097</v>
      </c>
      <c r="G4075" t="s">
        <v>4359</v>
      </c>
    </row>
    <row r="4076" spans="1:7">
      <c r="A4076" t="s">
        <v>4958</v>
      </c>
      <c r="G4076" t="s">
        <v>4359</v>
      </c>
    </row>
    <row r="4077" spans="1:7">
      <c r="A4077" t="s">
        <v>4132</v>
      </c>
      <c r="B4077">
        <v>5236097</v>
      </c>
      <c r="G4077" t="s">
        <v>4359</v>
      </c>
    </row>
    <row r="4078" spans="1:7">
      <c r="A4078" t="s">
        <v>4175</v>
      </c>
      <c r="G4078" t="s">
        <v>4359</v>
      </c>
    </row>
    <row r="4079" spans="1:7">
      <c r="A4079" t="s">
        <v>4538</v>
      </c>
      <c r="G4079" t="s">
        <v>4359</v>
      </c>
    </row>
    <row r="4080" spans="1:7">
      <c r="A4080" t="s">
        <v>4401</v>
      </c>
      <c r="G4080" t="s">
        <v>4173</v>
      </c>
    </row>
    <row r="4081" spans="1:7">
      <c r="A4081" t="s">
        <v>4167</v>
      </c>
      <c r="G4081" t="s">
        <v>4173</v>
      </c>
    </row>
    <row r="4082" spans="1:7">
      <c r="A4082" t="s">
        <v>4097</v>
      </c>
      <c r="G4082" t="s">
        <v>4173</v>
      </c>
    </row>
    <row r="4083" spans="1:7">
      <c r="A4083" t="s">
        <v>4055</v>
      </c>
      <c r="G4083" t="s">
        <v>4173</v>
      </c>
    </row>
    <row r="4084" spans="1:7">
      <c r="A4084" t="s">
        <v>4477</v>
      </c>
      <c r="G4084" t="s">
        <v>4173</v>
      </c>
    </row>
    <row r="4085" spans="1:7">
      <c r="A4085" t="s">
        <v>4165</v>
      </c>
      <c r="G4085" t="s">
        <v>4173</v>
      </c>
    </row>
    <row r="4086" spans="1:8">
      <c r="A4086" t="s">
        <v>4091</v>
      </c>
      <c r="G4086" t="s">
        <v>4173</v>
      </c>
      <c r="H4086">
        <v>5218097</v>
      </c>
    </row>
    <row r="4087" spans="1:7">
      <c r="A4087" t="s">
        <v>5163</v>
      </c>
      <c r="G4087" t="s">
        <v>4173</v>
      </c>
    </row>
    <row r="4088" spans="1:7">
      <c r="A4088" t="s">
        <v>5075</v>
      </c>
      <c r="G4088" t="s">
        <v>4173</v>
      </c>
    </row>
    <row r="4089" spans="1:7">
      <c r="A4089" t="s">
        <v>4545</v>
      </c>
      <c r="G4089" t="s">
        <v>4173</v>
      </c>
    </row>
    <row r="4090" spans="1:7">
      <c r="A4090" t="s">
        <v>4141</v>
      </c>
      <c r="G4090" t="s">
        <v>4173</v>
      </c>
    </row>
    <row r="4091" spans="1:7">
      <c r="A4091" t="s">
        <v>4009</v>
      </c>
      <c r="G4091" t="s">
        <v>4173</v>
      </c>
    </row>
    <row r="4092" spans="1:7">
      <c r="A4092" t="s">
        <v>4187</v>
      </c>
      <c r="G4092" t="s">
        <v>4173</v>
      </c>
    </row>
    <row r="4093" spans="1:8">
      <c r="A4093" t="s">
        <v>5176</v>
      </c>
      <c r="G4093" t="s">
        <v>4173</v>
      </c>
      <c r="H4093">
        <v>5151097</v>
      </c>
    </row>
    <row r="4094" spans="1:7">
      <c r="A4094" t="s">
        <v>4703</v>
      </c>
      <c r="G4094" t="s">
        <v>4173</v>
      </c>
    </row>
    <row r="4095" spans="1:7">
      <c r="A4095" t="s">
        <v>4113</v>
      </c>
      <c r="G4095" t="s">
        <v>4173</v>
      </c>
    </row>
    <row r="4096" spans="1:7">
      <c r="A4096" t="s">
        <v>4142</v>
      </c>
      <c r="G4096" t="s">
        <v>4173</v>
      </c>
    </row>
    <row r="4097" spans="1:7">
      <c r="A4097" t="s">
        <v>5177</v>
      </c>
      <c r="G4097" t="s">
        <v>4173</v>
      </c>
    </row>
    <row r="4098" spans="1:7">
      <c r="A4098" t="s">
        <v>4084</v>
      </c>
      <c r="G4098" t="s">
        <v>4173</v>
      </c>
    </row>
    <row r="4099" spans="1:7">
      <c r="A4099" t="s">
        <v>4763</v>
      </c>
      <c r="G4099" t="s">
        <v>4173</v>
      </c>
    </row>
    <row r="4100" spans="1:7">
      <c r="A4100" t="s">
        <v>4611</v>
      </c>
      <c r="G4100" t="s">
        <v>4173</v>
      </c>
    </row>
    <row r="4101" spans="1:7">
      <c r="A4101" t="s">
        <v>4171</v>
      </c>
      <c r="G4101" t="s">
        <v>5169</v>
      </c>
    </row>
    <row r="4102" spans="1:7">
      <c r="A4102" t="s">
        <v>4976</v>
      </c>
      <c r="G4102" t="s">
        <v>5169</v>
      </c>
    </row>
    <row r="4103" spans="1:7">
      <c r="A4103" t="s">
        <v>4237</v>
      </c>
      <c r="G4103" t="s">
        <v>5169</v>
      </c>
    </row>
    <row r="4104" spans="1:7">
      <c r="A4104" t="s">
        <v>4704</v>
      </c>
      <c r="G4104" t="s">
        <v>5169</v>
      </c>
    </row>
    <row r="4105" spans="1:7">
      <c r="A4105" t="s">
        <v>4147</v>
      </c>
      <c r="G4105" t="s">
        <v>5169</v>
      </c>
    </row>
    <row r="4106" spans="1:7">
      <c r="A4106" t="s">
        <v>4562</v>
      </c>
      <c r="G4106" t="s">
        <v>5169</v>
      </c>
    </row>
    <row r="4107" spans="1:7">
      <c r="A4107" t="s">
        <v>5178</v>
      </c>
      <c r="G4107" t="s">
        <v>5169</v>
      </c>
    </row>
    <row r="4108" spans="1:7">
      <c r="A4108" t="s">
        <v>4109</v>
      </c>
      <c r="G4108" t="s">
        <v>5125</v>
      </c>
    </row>
    <row r="4109" spans="1:7">
      <c r="A4109" t="s">
        <v>5017</v>
      </c>
      <c r="G4109" t="s">
        <v>4404</v>
      </c>
    </row>
    <row r="4110" spans="1:8">
      <c r="A4110" t="s">
        <v>4692</v>
      </c>
      <c r="G4110" t="s">
        <v>4404</v>
      </c>
      <c r="H4110">
        <v>5521097</v>
      </c>
    </row>
    <row r="4111" spans="1:7">
      <c r="A4111" t="s">
        <v>4136</v>
      </c>
      <c r="G4111" t="s">
        <v>4404</v>
      </c>
    </row>
    <row r="4112" spans="1:7">
      <c r="A4112" t="s">
        <v>4911</v>
      </c>
      <c r="G4112" t="s">
        <v>4404</v>
      </c>
    </row>
    <row r="4113" spans="1:7">
      <c r="A4113" t="s">
        <v>4079</v>
      </c>
      <c r="G4113" t="s">
        <v>4404</v>
      </c>
    </row>
    <row r="4114" spans="1:7">
      <c r="A4114" t="s">
        <v>4726</v>
      </c>
      <c r="G4114" t="s">
        <v>4404</v>
      </c>
    </row>
    <row r="4115" spans="1:7">
      <c r="A4115" t="s">
        <v>4102</v>
      </c>
      <c r="G4115" t="s">
        <v>4404</v>
      </c>
    </row>
    <row r="4116" spans="1:7">
      <c r="A4116" t="s">
        <v>4824</v>
      </c>
      <c r="G4116" t="s">
        <v>4404</v>
      </c>
    </row>
    <row r="4117" spans="1:7">
      <c r="A4117" t="s">
        <v>4524</v>
      </c>
      <c r="G4117" t="s">
        <v>4404</v>
      </c>
    </row>
    <row r="4118" spans="1:7">
      <c r="A4118" t="s">
        <v>4098</v>
      </c>
      <c r="G4118" t="s">
        <v>4404</v>
      </c>
    </row>
    <row r="4119" spans="1:7">
      <c r="A4119" t="s">
        <v>4959</v>
      </c>
      <c r="B4119">
        <v>5232097</v>
      </c>
      <c r="G4119" t="s">
        <v>4404</v>
      </c>
    </row>
    <row r="4120" spans="1:7">
      <c r="A4120" t="s">
        <v>4819</v>
      </c>
      <c r="G4120" t="s">
        <v>4404</v>
      </c>
    </row>
    <row r="4121" spans="1:7">
      <c r="A4121" t="s">
        <v>4211</v>
      </c>
      <c r="G4121" t="s">
        <v>4704</v>
      </c>
    </row>
    <row r="4122" spans="1:7">
      <c r="A4122" t="s">
        <v>5179</v>
      </c>
      <c r="G4122" t="s">
        <v>4704</v>
      </c>
    </row>
    <row r="4123" spans="1:7">
      <c r="A4123" t="s">
        <v>4085</v>
      </c>
      <c r="G4123" t="s">
        <v>4704</v>
      </c>
    </row>
    <row r="4124" spans="1:7">
      <c r="A4124" t="s">
        <v>4009</v>
      </c>
      <c r="B4124">
        <v>5235097</v>
      </c>
      <c r="G4124" t="s">
        <v>4704</v>
      </c>
    </row>
    <row r="4125" spans="1:7">
      <c r="A4125" t="s">
        <v>4609</v>
      </c>
      <c r="G4125" t="s">
        <v>4704</v>
      </c>
    </row>
    <row r="4126" spans="1:7">
      <c r="A4126" t="s">
        <v>4526</v>
      </c>
      <c r="G4126" t="s">
        <v>4704</v>
      </c>
    </row>
    <row r="4127" spans="1:7">
      <c r="A4127" t="s">
        <v>4136</v>
      </c>
      <c r="G4127" t="s">
        <v>4704</v>
      </c>
    </row>
    <row r="4128" spans="1:7">
      <c r="A4128" t="s">
        <v>4082</v>
      </c>
      <c r="G4128" t="s">
        <v>4704</v>
      </c>
    </row>
    <row r="4129" spans="1:7">
      <c r="A4129" t="s">
        <v>4132</v>
      </c>
      <c r="G4129" t="s">
        <v>4704</v>
      </c>
    </row>
    <row r="4130" spans="1:7">
      <c r="A4130" t="s">
        <v>4175</v>
      </c>
      <c r="G4130" t="s">
        <v>4704</v>
      </c>
    </row>
    <row r="4131" spans="1:7">
      <c r="A4131" t="s">
        <v>4055</v>
      </c>
      <c r="G4131" t="s">
        <v>4704</v>
      </c>
    </row>
    <row r="4132" spans="1:7">
      <c r="A4132" t="s">
        <v>5075</v>
      </c>
      <c r="G4132" t="s">
        <v>4704</v>
      </c>
    </row>
    <row r="4133" spans="1:7">
      <c r="A4133" t="s">
        <v>4543</v>
      </c>
      <c r="G4133" t="s">
        <v>4704</v>
      </c>
    </row>
    <row r="4134" spans="1:7">
      <c r="A4134" t="s">
        <v>4091</v>
      </c>
      <c r="G4134" t="s">
        <v>4704</v>
      </c>
    </row>
    <row r="4135" spans="1:7">
      <c r="A4135" t="s">
        <v>4613</v>
      </c>
      <c r="G4135" t="s">
        <v>4704</v>
      </c>
    </row>
    <row r="4136" spans="1:7">
      <c r="A4136" t="s">
        <v>5180</v>
      </c>
      <c r="G4136" t="s">
        <v>4704</v>
      </c>
    </row>
    <row r="4137" spans="1:7">
      <c r="A4137" t="s">
        <v>4959</v>
      </c>
      <c r="G4137" t="s">
        <v>4704</v>
      </c>
    </row>
    <row r="4138" spans="1:7">
      <c r="A4138" t="s">
        <v>4165</v>
      </c>
      <c r="G4138" t="s">
        <v>5181</v>
      </c>
    </row>
    <row r="4139" spans="1:7">
      <c r="A4139" t="s">
        <v>5169</v>
      </c>
      <c r="G4139" t="s">
        <v>5181</v>
      </c>
    </row>
    <row r="4140" spans="1:7">
      <c r="A4140" t="s">
        <v>4400</v>
      </c>
      <c r="G4140" t="s">
        <v>5182</v>
      </c>
    </row>
    <row r="4141" spans="1:7">
      <c r="A4141" t="s">
        <v>4425</v>
      </c>
      <c r="G4141" t="s">
        <v>4023</v>
      </c>
    </row>
    <row r="4142" spans="1:7">
      <c r="A4142" t="s">
        <v>4167</v>
      </c>
      <c r="G4142" t="s">
        <v>4494</v>
      </c>
    </row>
    <row r="4143" spans="1:8">
      <c r="A4143" t="s">
        <v>4237</v>
      </c>
      <c r="G4143" t="s">
        <v>5183</v>
      </c>
      <c r="H4143">
        <v>5140097</v>
      </c>
    </row>
    <row r="4144" spans="1:8">
      <c r="A4144" t="s">
        <v>4545</v>
      </c>
      <c r="G4144" t="s">
        <v>5184</v>
      </c>
      <c r="H4144">
        <v>5096097</v>
      </c>
    </row>
    <row r="4145" spans="1:7">
      <c r="A4145" t="s">
        <v>5168</v>
      </c>
      <c r="G4145" t="s">
        <v>5185</v>
      </c>
    </row>
    <row r="4146" spans="1:7">
      <c r="A4146" t="s">
        <v>4097</v>
      </c>
      <c r="G4146" t="s">
        <v>5186</v>
      </c>
    </row>
    <row r="4147" spans="1:7">
      <c r="A4147" t="s">
        <v>4703</v>
      </c>
      <c r="G4147" t="s">
        <v>5186</v>
      </c>
    </row>
    <row r="4148" spans="1:7">
      <c r="A4148" t="s">
        <v>4113</v>
      </c>
      <c r="G4148" t="s">
        <v>5186</v>
      </c>
    </row>
    <row r="4149" spans="1:7">
      <c r="A4149" t="s">
        <v>5187</v>
      </c>
      <c r="G4149" t="s">
        <v>5186</v>
      </c>
    </row>
    <row r="4150" spans="1:7">
      <c r="A4150" t="s">
        <v>4142</v>
      </c>
      <c r="B4150">
        <v>5226097</v>
      </c>
      <c r="G4150" t="s">
        <v>5186</v>
      </c>
    </row>
    <row r="4151" spans="1:7">
      <c r="A4151" t="s">
        <v>5163</v>
      </c>
      <c r="G4151" t="s">
        <v>5186</v>
      </c>
    </row>
    <row r="4152" spans="1:7">
      <c r="A4152" t="s">
        <v>4084</v>
      </c>
      <c r="G4152" t="s">
        <v>5186</v>
      </c>
    </row>
    <row r="4153" spans="1:7">
      <c r="A4153" t="s">
        <v>5054</v>
      </c>
      <c r="G4153" t="s">
        <v>5186</v>
      </c>
    </row>
    <row r="4154" spans="1:7">
      <c r="A4154" t="s">
        <v>4192</v>
      </c>
      <c r="G4154" t="s">
        <v>5186</v>
      </c>
    </row>
    <row r="4155" spans="1:7">
      <c r="A4155" t="s">
        <v>4920</v>
      </c>
      <c r="G4155" t="s">
        <v>5186</v>
      </c>
    </row>
    <row r="4156" spans="1:7">
      <c r="A4156" t="s">
        <v>4562</v>
      </c>
      <c r="G4156" t="s">
        <v>5186</v>
      </c>
    </row>
    <row r="4157" spans="1:7">
      <c r="A4157" t="s">
        <v>4401</v>
      </c>
      <c r="G4157" t="s">
        <v>5188</v>
      </c>
    </row>
    <row r="4158" spans="1:8">
      <c r="A4158" t="s">
        <v>5017</v>
      </c>
      <c r="G4158" t="s">
        <v>5188</v>
      </c>
      <c r="H4158">
        <v>5101097</v>
      </c>
    </row>
    <row r="4159" spans="1:7">
      <c r="A4159" t="s">
        <v>4619</v>
      </c>
      <c r="G4159" t="s">
        <v>5188</v>
      </c>
    </row>
    <row r="4160" spans="1:7">
      <c r="A4160" t="s">
        <v>4098</v>
      </c>
      <c r="G4160" t="s">
        <v>5188</v>
      </c>
    </row>
    <row r="4161" spans="1:7">
      <c r="A4161" t="s">
        <v>5189</v>
      </c>
      <c r="G4161" t="s">
        <v>5188</v>
      </c>
    </row>
    <row r="4162" spans="1:7">
      <c r="A4162" t="s">
        <v>4824</v>
      </c>
      <c r="G4162" t="s">
        <v>5188</v>
      </c>
    </row>
    <row r="4163" spans="1:7">
      <c r="A4163" t="s">
        <v>4524</v>
      </c>
      <c r="G4163" t="s">
        <v>5188</v>
      </c>
    </row>
    <row r="4164" spans="1:7">
      <c r="A4164" t="s">
        <v>4614</v>
      </c>
      <c r="G4164" t="s">
        <v>5188</v>
      </c>
    </row>
    <row r="4165" spans="1:7">
      <c r="A4165" t="s">
        <v>4141</v>
      </c>
      <c r="G4165" t="s">
        <v>5188</v>
      </c>
    </row>
    <row r="4166" spans="1:7">
      <c r="A4166" t="s">
        <v>4173</v>
      </c>
      <c r="G4166" t="s">
        <v>5188</v>
      </c>
    </row>
    <row r="4167" spans="1:7">
      <c r="A4167" t="s">
        <v>4132</v>
      </c>
      <c r="B4167">
        <v>5234097</v>
      </c>
      <c r="G4167" t="s">
        <v>5045</v>
      </c>
    </row>
    <row r="4168" spans="1:7">
      <c r="A4168" t="s">
        <v>5073</v>
      </c>
      <c r="G4168" t="s">
        <v>5045</v>
      </c>
    </row>
    <row r="4169" spans="1:8">
      <c r="A4169" t="s">
        <v>4425</v>
      </c>
      <c r="G4169" t="s">
        <v>5045</v>
      </c>
      <c r="H4169">
        <v>4980097</v>
      </c>
    </row>
    <row r="4170" spans="1:7">
      <c r="A4170" t="s">
        <v>4082</v>
      </c>
      <c r="G4170" t="s">
        <v>5045</v>
      </c>
    </row>
    <row r="4171" spans="1:7">
      <c r="A4171" t="s">
        <v>4147</v>
      </c>
      <c r="G4171" t="s">
        <v>5045</v>
      </c>
    </row>
    <row r="4172" spans="1:7">
      <c r="A4172" t="s">
        <v>4091</v>
      </c>
      <c r="G4172" t="s">
        <v>5045</v>
      </c>
    </row>
    <row r="4173" spans="1:7">
      <c r="A4173" t="s">
        <v>4112</v>
      </c>
      <c r="G4173" t="s">
        <v>5045</v>
      </c>
    </row>
    <row r="4174" spans="1:7">
      <c r="A4174" t="s">
        <v>4173</v>
      </c>
      <c r="G4174" t="s">
        <v>5045</v>
      </c>
    </row>
    <row r="4175" spans="1:7">
      <c r="A4175" t="s">
        <v>4400</v>
      </c>
      <c r="G4175" t="s">
        <v>5045</v>
      </c>
    </row>
    <row r="4176" spans="1:7">
      <c r="A4176" t="s">
        <v>5131</v>
      </c>
      <c r="G4176" t="s">
        <v>5045</v>
      </c>
    </row>
    <row r="4177" spans="1:7">
      <c r="A4177" t="s">
        <v>5169</v>
      </c>
      <c r="G4177" t="s">
        <v>5045</v>
      </c>
    </row>
    <row r="4178" spans="1:7">
      <c r="A4178" t="s">
        <v>4055</v>
      </c>
      <c r="G4178" t="s">
        <v>5045</v>
      </c>
    </row>
    <row r="4179" spans="1:7">
      <c r="A4179" t="s">
        <v>4477</v>
      </c>
      <c r="G4179" t="s">
        <v>5045</v>
      </c>
    </row>
    <row r="4180" spans="1:7">
      <c r="A4180" t="s">
        <v>4165</v>
      </c>
      <c r="G4180" t="s">
        <v>5045</v>
      </c>
    </row>
    <row r="4181" spans="1:7">
      <c r="A4181" t="s">
        <v>4009</v>
      </c>
      <c r="G4181" t="s">
        <v>4248</v>
      </c>
    </row>
    <row r="4182" spans="1:7">
      <c r="A4182" t="s">
        <v>4141</v>
      </c>
      <c r="B4182">
        <v>5223097</v>
      </c>
      <c r="G4182" t="s">
        <v>4248</v>
      </c>
    </row>
    <row r="4183" spans="1:7">
      <c r="A4183" t="s">
        <v>4545</v>
      </c>
      <c r="G4183" t="s">
        <v>4248</v>
      </c>
    </row>
    <row r="4184" spans="1:7">
      <c r="A4184" t="s">
        <v>5037</v>
      </c>
      <c r="G4184" t="s">
        <v>4248</v>
      </c>
    </row>
    <row r="4185" spans="1:7">
      <c r="A4185" t="s">
        <v>5075</v>
      </c>
      <c r="G4185" t="s">
        <v>4248</v>
      </c>
    </row>
    <row r="4186" spans="1:7">
      <c r="A4186" t="s">
        <v>4167</v>
      </c>
      <c r="G4186" t="s">
        <v>4248</v>
      </c>
    </row>
    <row r="4187" spans="1:7">
      <c r="A4187" t="s">
        <v>4401</v>
      </c>
      <c r="G4187" t="s">
        <v>4248</v>
      </c>
    </row>
    <row r="4188" spans="1:7">
      <c r="A4188" t="s">
        <v>4097</v>
      </c>
      <c r="G4188" t="s">
        <v>4780</v>
      </c>
    </row>
    <row r="4189" spans="1:7">
      <c r="A4189" t="s">
        <v>4703</v>
      </c>
      <c r="G4189" t="s">
        <v>4298</v>
      </c>
    </row>
    <row r="4190" spans="1:7">
      <c r="A4190" t="s">
        <v>4113</v>
      </c>
      <c r="G4190" t="s">
        <v>5190</v>
      </c>
    </row>
    <row r="4191" spans="1:7">
      <c r="A4191" t="s">
        <v>5163</v>
      </c>
      <c r="G4191" t="s">
        <v>5190</v>
      </c>
    </row>
    <row r="4192" spans="1:7">
      <c r="A4192" t="s">
        <v>4763</v>
      </c>
      <c r="G4192" t="s">
        <v>4929</v>
      </c>
    </row>
    <row r="4193" spans="1:7">
      <c r="A4193" t="s">
        <v>4084</v>
      </c>
      <c r="G4193" t="s">
        <v>4929</v>
      </c>
    </row>
    <row r="4194" spans="1:7">
      <c r="A4194" t="s">
        <v>5168</v>
      </c>
      <c r="G4194" t="s">
        <v>4929</v>
      </c>
    </row>
    <row r="4195" spans="1:7">
      <c r="A4195" t="s">
        <v>5054</v>
      </c>
      <c r="G4195" t="s">
        <v>4929</v>
      </c>
    </row>
    <row r="4196" spans="1:7">
      <c r="A4196" t="s">
        <v>5191</v>
      </c>
      <c r="G4196" t="s">
        <v>4929</v>
      </c>
    </row>
    <row r="4197" spans="1:7">
      <c r="A4197" t="s">
        <v>4562</v>
      </c>
      <c r="G4197" t="s">
        <v>4929</v>
      </c>
    </row>
    <row r="4198" spans="1:7">
      <c r="A4198" t="s">
        <v>4609</v>
      </c>
      <c r="G4198" t="s">
        <v>4929</v>
      </c>
    </row>
    <row r="4199" spans="1:8">
      <c r="A4199" t="s">
        <v>4602</v>
      </c>
      <c r="B4199">
        <v>5221097</v>
      </c>
      <c r="G4199" t="s">
        <v>4929</v>
      </c>
      <c r="H4199">
        <v>5146097</v>
      </c>
    </row>
    <row r="4200" spans="1:7">
      <c r="A4200" t="s">
        <v>4896</v>
      </c>
      <c r="G4200" t="s">
        <v>4929</v>
      </c>
    </row>
    <row r="4201" spans="1:7">
      <c r="A4201" t="s">
        <v>4290</v>
      </c>
      <c r="G4201" t="s">
        <v>4929</v>
      </c>
    </row>
    <row r="4202" spans="1:7">
      <c r="A4202" t="s">
        <v>5176</v>
      </c>
      <c r="G4202" t="s">
        <v>4089</v>
      </c>
    </row>
    <row r="4203" spans="1:7">
      <c r="A4203" t="s">
        <v>4581</v>
      </c>
      <c r="G4203" t="s">
        <v>4089</v>
      </c>
    </row>
    <row r="4204" spans="1:7">
      <c r="A4204" t="s">
        <v>4175</v>
      </c>
      <c r="G4204" t="s">
        <v>4089</v>
      </c>
    </row>
    <row r="4205" spans="1:8">
      <c r="A4205" t="s">
        <v>4609</v>
      </c>
      <c r="B4205">
        <v>5233097</v>
      </c>
      <c r="G4205" t="s">
        <v>4089</v>
      </c>
      <c r="H4205">
        <v>5529097</v>
      </c>
    </row>
    <row r="4206" spans="1:7">
      <c r="A4206" t="s">
        <v>5073</v>
      </c>
      <c r="G4206" t="s">
        <v>4089</v>
      </c>
    </row>
    <row r="4207" spans="1:7">
      <c r="A4207" t="s">
        <v>4401</v>
      </c>
      <c r="G4207" t="s">
        <v>4089</v>
      </c>
    </row>
    <row r="4208" spans="1:8">
      <c r="A4208" t="s">
        <v>4009</v>
      </c>
      <c r="G4208" t="s">
        <v>4089</v>
      </c>
      <c r="H4208">
        <v>5508097</v>
      </c>
    </row>
    <row r="4209" spans="1:7">
      <c r="A4209" t="s">
        <v>4400</v>
      </c>
      <c r="G4209" t="s">
        <v>4089</v>
      </c>
    </row>
    <row r="4210" spans="1:7">
      <c r="A4210" t="s">
        <v>4091</v>
      </c>
      <c r="G4210" t="s">
        <v>4089</v>
      </c>
    </row>
    <row r="4211" spans="1:7">
      <c r="A4211" t="s">
        <v>4543</v>
      </c>
      <c r="G4211" t="s">
        <v>4089</v>
      </c>
    </row>
    <row r="4212" spans="1:7">
      <c r="A4212" t="s">
        <v>4082</v>
      </c>
      <c r="G4212" t="s">
        <v>4089</v>
      </c>
    </row>
    <row r="4213" spans="1:7">
      <c r="A4213" t="s">
        <v>4175</v>
      </c>
      <c r="G4213" t="s">
        <v>4089</v>
      </c>
    </row>
    <row r="4214" spans="1:7">
      <c r="A4214" t="s">
        <v>4147</v>
      </c>
      <c r="G4214" t="s">
        <v>4089</v>
      </c>
    </row>
    <row r="4215" spans="1:7">
      <c r="A4215" t="s">
        <v>4425</v>
      </c>
      <c r="G4215" t="s">
        <v>4089</v>
      </c>
    </row>
    <row r="4216" spans="1:7">
      <c r="A4216" t="s">
        <v>4173</v>
      </c>
      <c r="B4216">
        <v>5218097</v>
      </c>
      <c r="G4216" t="s">
        <v>4089</v>
      </c>
    </row>
    <row r="4217" spans="1:7">
      <c r="A4217" t="s">
        <v>5169</v>
      </c>
      <c r="G4217" t="s">
        <v>4089</v>
      </c>
    </row>
    <row r="4218" spans="1:7">
      <c r="A4218" t="s">
        <v>4085</v>
      </c>
      <c r="G4218" t="s">
        <v>4089</v>
      </c>
    </row>
    <row r="4219" spans="1:7">
      <c r="A4219" t="s">
        <v>4165</v>
      </c>
      <c r="G4219" t="s">
        <v>4089</v>
      </c>
    </row>
    <row r="4220" spans="1:7">
      <c r="A4220" t="s">
        <v>4477</v>
      </c>
      <c r="G4220" t="s">
        <v>4089</v>
      </c>
    </row>
    <row r="4221" spans="1:7">
      <c r="A4221" t="s">
        <v>4545</v>
      </c>
      <c r="G4221" t="s">
        <v>4930</v>
      </c>
    </row>
    <row r="4222" spans="1:7">
      <c r="A4222" t="s">
        <v>5037</v>
      </c>
      <c r="G4222" t="s">
        <v>4930</v>
      </c>
    </row>
    <row r="4223" spans="1:7">
      <c r="A4223" t="s">
        <v>4132</v>
      </c>
      <c r="G4223" t="s">
        <v>4930</v>
      </c>
    </row>
    <row r="4224" spans="1:7">
      <c r="A4224" t="s">
        <v>4389</v>
      </c>
      <c r="G4224" t="s">
        <v>4930</v>
      </c>
    </row>
    <row r="4225" spans="1:7">
      <c r="A4225" t="s">
        <v>4097</v>
      </c>
      <c r="G4225" t="s">
        <v>4930</v>
      </c>
    </row>
    <row r="4226" spans="1:7">
      <c r="A4226" t="s">
        <v>4703</v>
      </c>
      <c r="G4226" t="s">
        <v>4930</v>
      </c>
    </row>
    <row r="4227" spans="1:7">
      <c r="A4227" t="s">
        <v>4141</v>
      </c>
      <c r="G4227" t="s">
        <v>4930</v>
      </c>
    </row>
    <row r="4228" spans="1:8">
      <c r="A4228" t="s">
        <v>4113</v>
      </c>
      <c r="G4228" t="s">
        <v>4930</v>
      </c>
      <c r="H4228">
        <v>5279097</v>
      </c>
    </row>
    <row r="4229" spans="1:7">
      <c r="A4229" t="s">
        <v>5163</v>
      </c>
      <c r="G4229" t="s">
        <v>4930</v>
      </c>
    </row>
    <row r="4230" spans="1:7">
      <c r="A4230" t="s">
        <v>4084</v>
      </c>
      <c r="B4230">
        <v>5217097</v>
      </c>
      <c r="G4230" t="s">
        <v>4930</v>
      </c>
    </row>
    <row r="4231" spans="1:7">
      <c r="A4231" t="s">
        <v>4763</v>
      </c>
      <c r="G4231" t="s">
        <v>4930</v>
      </c>
    </row>
    <row r="4232" spans="1:7">
      <c r="A4232" t="s">
        <v>4562</v>
      </c>
      <c r="G4232" t="s">
        <v>4930</v>
      </c>
    </row>
    <row r="4233" spans="1:7">
      <c r="A4233" t="s">
        <v>3993</v>
      </c>
      <c r="G4233" t="s">
        <v>4930</v>
      </c>
    </row>
    <row r="4234" spans="1:7">
      <c r="A4234" t="s">
        <v>4136</v>
      </c>
      <c r="G4234" t="s">
        <v>4930</v>
      </c>
    </row>
    <row r="4235" spans="1:7">
      <c r="A4235" t="s">
        <v>4454</v>
      </c>
      <c r="G4235" t="s">
        <v>4930</v>
      </c>
    </row>
    <row r="4236" spans="1:7">
      <c r="A4236" t="s">
        <v>5192</v>
      </c>
      <c r="G4236" t="s">
        <v>4930</v>
      </c>
    </row>
    <row r="4237" spans="1:7">
      <c r="A4237" t="s">
        <v>4614</v>
      </c>
      <c r="G4237" t="s">
        <v>4930</v>
      </c>
    </row>
    <row r="4238" spans="1:7">
      <c r="A4238" t="s">
        <v>4920</v>
      </c>
      <c r="G4238" t="s">
        <v>4930</v>
      </c>
    </row>
    <row r="4239" spans="1:7">
      <c r="A4239" t="s">
        <v>4824</v>
      </c>
      <c r="G4239" t="s">
        <v>4938</v>
      </c>
    </row>
    <row r="4240" spans="1:7">
      <c r="A4240" t="s">
        <v>4237</v>
      </c>
      <c r="G4240" t="s">
        <v>4938</v>
      </c>
    </row>
    <row r="4241" spans="1:7">
      <c r="A4241" t="s">
        <v>4211</v>
      </c>
      <c r="G4241" t="s">
        <v>4938</v>
      </c>
    </row>
    <row r="4242" spans="1:7">
      <c r="A4242" t="s">
        <v>4098</v>
      </c>
      <c r="B4242">
        <v>5216097</v>
      </c>
      <c r="G4242" t="s">
        <v>4938</v>
      </c>
    </row>
    <row r="4243" spans="1:7">
      <c r="A4243" t="s">
        <v>4167</v>
      </c>
      <c r="G4243" t="s">
        <v>4609</v>
      </c>
    </row>
    <row r="4244" spans="1:8">
      <c r="A4244" t="s">
        <v>4959</v>
      </c>
      <c r="G4244" t="s">
        <v>4609</v>
      </c>
      <c r="H4244">
        <v>5471097</v>
      </c>
    </row>
    <row r="4245" spans="1:7">
      <c r="A4245" t="s">
        <v>4524</v>
      </c>
      <c r="G4245" t="s">
        <v>4609</v>
      </c>
    </row>
    <row r="4246" spans="1:7">
      <c r="A4246" t="s">
        <v>4581</v>
      </c>
      <c r="G4246" t="s">
        <v>4609</v>
      </c>
    </row>
    <row r="4247" spans="1:7">
      <c r="A4247" t="s">
        <v>4112</v>
      </c>
      <c r="G4247" t="s">
        <v>4609</v>
      </c>
    </row>
    <row r="4248" spans="1:7">
      <c r="A4248" t="s">
        <v>5075</v>
      </c>
      <c r="G4248" t="s">
        <v>4609</v>
      </c>
    </row>
    <row r="4249" spans="1:7">
      <c r="A4249" t="s">
        <v>4175</v>
      </c>
      <c r="B4249">
        <v>5232097</v>
      </c>
      <c r="G4249" t="s">
        <v>4609</v>
      </c>
    </row>
    <row r="4250" spans="1:7">
      <c r="A4250" t="s">
        <v>4112</v>
      </c>
      <c r="G4250" t="s">
        <v>4609</v>
      </c>
    </row>
    <row r="4251" spans="1:7">
      <c r="A4251" t="s">
        <v>4132</v>
      </c>
      <c r="G4251" t="s">
        <v>4609</v>
      </c>
    </row>
    <row r="4252" spans="1:8">
      <c r="A4252" t="s">
        <v>4091</v>
      </c>
      <c r="G4252" t="s">
        <v>4609</v>
      </c>
      <c r="H4252">
        <v>5233097</v>
      </c>
    </row>
    <row r="4253" spans="1:7">
      <c r="A4253" t="s">
        <v>4147</v>
      </c>
      <c r="G4253" t="s">
        <v>4609</v>
      </c>
    </row>
    <row r="4254" spans="1:7">
      <c r="A4254" t="s">
        <v>5193</v>
      </c>
      <c r="G4254" t="s">
        <v>4230</v>
      </c>
    </row>
    <row r="4255" spans="1:7">
      <c r="A4255" t="s">
        <v>4082</v>
      </c>
      <c r="G4255" t="s">
        <v>4230</v>
      </c>
    </row>
    <row r="4256" spans="1:8">
      <c r="A4256" t="s">
        <v>5169</v>
      </c>
      <c r="G4256" t="s">
        <v>4230</v>
      </c>
      <c r="H4256">
        <v>5484097</v>
      </c>
    </row>
    <row r="4257" spans="1:7">
      <c r="A4257" t="s">
        <v>4173</v>
      </c>
      <c r="G4257" t="s">
        <v>4230</v>
      </c>
    </row>
    <row r="4258" spans="1:7">
      <c r="A4258" t="s">
        <v>4167</v>
      </c>
      <c r="G4258" t="s">
        <v>4230</v>
      </c>
    </row>
    <row r="4259" spans="1:7">
      <c r="A4259" t="s">
        <v>4085</v>
      </c>
      <c r="G4259" t="s">
        <v>4230</v>
      </c>
    </row>
    <row r="4260" spans="1:7">
      <c r="A4260" t="s">
        <v>4930</v>
      </c>
      <c r="G4260" t="s">
        <v>4230</v>
      </c>
    </row>
    <row r="4261" spans="1:7">
      <c r="A4261" t="s">
        <v>4165</v>
      </c>
      <c r="G4261" t="s">
        <v>4230</v>
      </c>
    </row>
    <row r="4262" spans="1:7">
      <c r="A4262" t="s">
        <v>4477</v>
      </c>
      <c r="G4262" t="s">
        <v>4230</v>
      </c>
    </row>
    <row r="4263" spans="1:7">
      <c r="A4263" t="s">
        <v>5075</v>
      </c>
      <c r="G4263" t="s">
        <v>4230</v>
      </c>
    </row>
    <row r="4264" spans="1:7">
      <c r="A4264" t="s">
        <v>4581</v>
      </c>
      <c r="B4264">
        <v>5215097</v>
      </c>
      <c r="G4264" t="s">
        <v>4230</v>
      </c>
    </row>
    <row r="4265" spans="1:7">
      <c r="A4265" t="s">
        <v>5194</v>
      </c>
      <c r="G4265" t="s">
        <v>4230</v>
      </c>
    </row>
    <row r="4266" spans="1:7">
      <c r="A4266" t="s">
        <v>4545</v>
      </c>
      <c r="G4266" t="s">
        <v>4230</v>
      </c>
    </row>
    <row r="4267" spans="1:8">
      <c r="A4267" t="s">
        <v>4097</v>
      </c>
      <c r="G4267" t="s">
        <v>4230</v>
      </c>
      <c r="H4267">
        <v>5162097</v>
      </c>
    </row>
    <row r="4268" spans="1:7">
      <c r="A4268" t="s">
        <v>4113</v>
      </c>
      <c r="G4268" t="s">
        <v>4230</v>
      </c>
    </row>
    <row r="4269" spans="1:7">
      <c r="A4269" t="s">
        <v>5163</v>
      </c>
      <c r="G4269" t="s">
        <v>4230</v>
      </c>
    </row>
    <row r="4270" spans="1:7">
      <c r="A4270" t="s">
        <v>4084</v>
      </c>
      <c r="G4270" t="s">
        <v>4230</v>
      </c>
    </row>
    <row r="4271" spans="1:7">
      <c r="A4271" t="s">
        <v>4763</v>
      </c>
      <c r="G4271" t="s">
        <v>4230</v>
      </c>
    </row>
    <row r="4272" spans="1:8">
      <c r="A4272" t="s">
        <v>4009</v>
      </c>
      <c r="G4272" t="s">
        <v>4880</v>
      </c>
      <c r="H4272">
        <v>5413097</v>
      </c>
    </row>
    <row r="4273" spans="1:7">
      <c r="A4273" t="s">
        <v>4562</v>
      </c>
      <c r="G4273" t="s">
        <v>4453</v>
      </c>
    </row>
    <row r="4274" spans="1:7">
      <c r="A4274" t="s">
        <v>4560</v>
      </c>
      <c r="G4274" t="s">
        <v>3999</v>
      </c>
    </row>
    <row r="4275" spans="1:7">
      <c r="A4275" t="s">
        <v>4896</v>
      </c>
      <c r="G4275" t="s">
        <v>5192</v>
      </c>
    </row>
    <row r="4276" spans="1:7">
      <c r="A4276" t="s">
        <v>4982</v>
      </c>
      <c r="G4276" t="s">
        <v>5192</v>
      </c>
    </row>
    <row r="4277" spans="1:7">
      <c r="A4277" t="s">
        <v>4692</v>
      </c>
      <c r="G4277" t="s">
        <v>5192</v>
      </c>
    </row>
    <row r="4278" spans="1:7">
      <c r="A4278" t="s">
        <v>4538</v>
      </c>
      <c r="G4278" t="s">
        <v>5192</v>
      </c>
    </row>
    <row r="4279" spans="1:7">
      <c r="A4279" t="s">
        <v>4141</v>
      </c>
      <c r="G4279" t="s">
        <v>5192</v>
      </c>
    </row>
    <row r="4280" spans="1:7">
      <c r="A4280" t="s">
        <v>4132</v>
      </c>
      <c r="B4280">
        <v>5226097</v>
      </c>
      <c r="G4280" t="s">
        <v>5192</v>
      </c>
    </row>
    <row r="4281" spans="1:8">
      <c r="A4281" t="s">
        <v>4401</v>
      </c>
      <c r="G4281" t="s">
        <v>5192</v>
      </c>
      <c r="H4281">
        <v>4974097</v>
      </c>
    </row>
    <row r="4282" spans="1:7">
      <c r="A4282" t="s">
        <v>5075</v>
      </c>
      <c r="G4282" t="s">
        <v>4180</v>
      </c>
    </row>
    <row r="4283" spans="1:7">
      <c r="A4283" t="s">
        <v>4581</v>
      </c>
      <c r="G4283" t="s">
        <v>4180</v>
      </c>
    </row>
    <row r="4284" spans="1:7">
      <c r="A4284" t="s">
        <v>4894</v>
      </c>
      <c r="G4284" t="s">
        <v>4180</v>
      </c>
    </row>
    <row r="4285" spans="1:8">
      <c r="A4285" t="s">
        <v>5193</v>
      </c>
      <c r="B4285">
        <v>5214097</v>
      </c>
      <c r="G4285" t="s">
        <v>4180</v>
      </c>
      <c r="H4285">
        <v>5119097</v>
      </c>
    </row>
    <row r="4286" spans="1:7">
      <c r="A4286" t="s">
        <v>4055</v>
      </c>
      <c r="G4286" t="s">
        <v>4180</v>
      </c>
    </row>
    <row r="4287" spans="1:7">
      <c r="A4287" t="s">
        <v>4091</v>
      </c>
      <c r="G4287" t="s">
        <v>4180</v>
      </c>
    </row>
    <row r="4288" spans="1:7">
      <c r="A4288" t="s">
        <v>4085</v>
      </c>
      <c r="G4288" t="s">
        <v>4180</v>
      </c>
    </row>
    <row r="4289" spans="1:7">
      <c r="A4289" t="s">
        <v>4175</v>
      </c>
      <c r="G4289" t="s">
        <v>4141</v>
      </c>
    </row>
    <row r="4290" spans="1:7">
      <c r="A4290" t="s">
        <v>4147</v>
      </c>
      <c r="G4290" t="s">
        <v>4141</v>
      </c>
    </row>
    <row r="4291" spans="1:7">
      <c r="A4291" t="s">
        <v>4930</v>
      </c>
      <c r="G4291" t="s">
        <v>4141</v>
      </c>
    </row>
    <row r="4292" spans="1:7">
      <c r="A4292" t="s">
        <v>4112</v>
      </c>
      <c r="G4292" t="s">
        <v>4141</v>
      </c>
    </row>
    <row r="4293" spans="1:7">
      <c r="A4293" t="s">
        <v>4173</v>
      </c>
      <c r="G4293" t="s">
        <v>4141</v>
      </c>
    </row>
    <row r="4294" spans="1:7">
      <c r="A4294" t="s">
        <v>4477</v>
      </c>
      <c r="G4294" t="s">
        <v>4141</v>
      </c>
    </row>
    <row r="4295" spans="1:7">
      <c r="A4295" t="s">
        <v>4165</v>
      </c>
      <c r="G4295" t="s">
        <v>4141</v>
      </c>
    </row>
    <row r="4296" spans="1:7">
      <c r="A4296" t="s">
        <v>4543</v>
      </c>
      <c r="G4296" t="s">
        <v>4141</v>
      </c>
    </row>
    <row r="4297" spans="1:8">
      <c r="A4297" t="s">
        <v>4171</v>
      </c>
      <c r="G4297" t="s">
        <v>4141</v>
      </c>
      <c r="H4297">
        <v>5223097</v>
      </c>
    </row>
    <row r="4298" spans="1:7">
      <c r="A4298" t="s">
        <v>4113</v>
      </c>
      <c r="G4298" t="s">
        <v>4141</v>
      </c>
    </row>
    <row r="4299" spans="1:7">
      <c r="A4299" t="s">
        <v>5163</v>
      </c>
      <c r="G4299" t="s">
        <v>4141</v>
      </c>
    </row>
    <row r="4300" spans="1:7">
      <c r="A4300" t="s">
        <v>4763</v>
      </c>
      <c r="G4300" t="s">
        <v>4141</v>
      </c>
    </row>
    <row r="4301" spans="1:7">
      <c r="A4301" t="s">
        <v>4084</v>
      </c>
      <c r="B4301">
        <v>5213097</v>
      </c>
      <c r="G4301" t="s">
        <v>4141</v>
      </c>
    </row>
    <row r="4302" spans="1:7">
      <c r="A4302" t="s">
        <v>4704</v>
      </c>
      <c r="G4302" t="s">
        <v>4141</v>
      </c>
    </row>
    <row r="4303" spans="1:7">
      <c r="A4303" t="s">
        <v>4562</v>
      </c>
      <c r="G4303" t="s">
        <v>5195</v>
      </c>
    </row>
    <row r="4304" spans="1:7">
      <c r="A4304" t="s">
        <v>4560</v>
      </c>
      <c r="G4304" t="s">
        <v>5195</v>
      </c>
    </row>
    <row r="4305" spans="1:7">
      <c r="A4305" t="s">
        <v>4009</v>
      </c>
      <c r="G4305" t="s">
        <v>5195</v>
      </c>
    </row>
    <row r="4306" spans="1:7">
      <c r="A4306" t="s">
        <v>4998</v>
      </c>
      <c r="G4306" t="s">
        <v>5195</v>
      </c>
    </row>
    <row r="4307" spans="1:7">
      <c r="A4307" t="s">
        <v>4374</v>
      </c>
      <c r="G4307" t="s">
        <v>5195</v>
      </c>
    </row>
    <row r="4308" spans="1:7">
      <c r="A4308" t="s">
        <v>4978</v>
      </c>
      <c r="G4308" t="s">
        <v>5195</v>
      </c>
    </row>
    <row r="4309" spans="1:7">
      <c r="A4309" t="s">
        <v>4097</v>
      </c>
      <c r="G4309" t="s">
        <v>5195</v>
      </c>
    </row>
    <row r="4310" spans="1:7">
      <c r="A4310" t="s">
        <v>4148</v>
      </c>
      <c r="G4310" t="s">
        <v>4962</v>
      </c>
    </row>
    <row r="4311" spans="1:7">
      <c r="A4311" t="s">
        <v>4082</v>
      </c>
      <c r="G4311" t="s">
        <v>4962</v>
      </c>
    </row>
    <row r="4312" spans="1:7">
      <c r="A4312" t="s">
        <v>4418</v>
      </c>
      <c r="B4312">
        <v>5223097</v>
      </c>
      <c r="G4312" t="s">
        <v>4549</v>
      </c>
    </row>
    <row r="4313" spans="1:7">
      <c r="A4313" t="s">
        <v>4097</v>
      </c>
      <c r="G4313" t="s">
        <v>4549</v>
      </c>
    </row>
    <row r="4314" spans="1:7">
      <c r="A4314" t="s">
        <v>5196</v>
      </c>
      <c r="G4314" t="s">
        <v>4549</v>
      </c>
    </row>
    <row r="4315" spans="1:7">
      <c r="A4315" t="s">
        <v>4237</v>
      </c>
      <c r="G4315" t="s">
        <v>4549</v>
      </c>
    </row>
    <row r="4316" spans="1:7">
      <c r="A4316" t="s">
        <v>4822</v>
      </c>
      <c r="B4316">
        <v>5212097</v>
      </c>
      <c r="G4316" t="s">
        <v>4549</v>
      </c>
    </row>
    <row r="4317" spans="1:7">
      <c r="A4317" t="s">
        <v>4266</v>
      </c>
      <c r="G4317" t="s">
        <v>4549</v>
      </c>
    </row>
    <row r="4318" spans="1:7">
      <c r="A4318" t="s">
        <v>5163</v>
      </c>
      <c r="G4318" t="s">
        <v>4549</v>
      </c>
    </row>
    <row r="4319" spans="1:7">
      <c r="A4319" t="s">
        <v>3993</v>
      </c>
      <c r="G4319" t="s">
        <v>4549</v>
      </c>
    </row>
    <row r="4320" spans="1:7">
      <c r="A4320" t="s">
        <v>4545</v>
      </c>
      <c r="G4320" t="s">
        <v>4549</v>
      </c>
    </row>
    <row r="4321" spans="1:7">
      <c r="A4321" t="s">
        <v>4147</v>
      </c>
      <c r="G4321" t="s">
        <v>4549</v>
      </c>
    </row>
    <row r="4322" spans="1:7">
      <c r="A4322" t="s">
        <v>4703</v>
      </c>
      <c r="G4322" t="s">
        <v>4549</v>
      </c>
    </row>
    <row r="4323" spans="1:7">
      <c r="A4323" t="s">
        <v>4079</v>
      </c>
      <c r="G4323" t="s">
        <v>4549</v>
      </c>
    </row>
    <row r="4324" spans="1:7">
      <c r="A4324" t="s">
        <v>4187</v>
      </c>
      <c r="G4324" t="s">
        <v>4693</v>
      </c>
    </row>
    <row r="4325" spans="1:7">
      <c r="A4325" t="s">
        <v>4141</v>
      </c>
      <c r="G4325" t="s">
        <v>4284</v>
      </c>
    </row>
    <row r="4326" spans="1:7">
      <c r="A4326" t="s">
        <v>4902</v>
      </c>
      <c r="G4326" t="s">
        <v>4284</v>
      </c>
    </row>
    <row r="4327" spans="1:7">
      <c r="A4327" t="s">
        <v>5189</v>
      </c>
      <c r="G4327" t="s">
        <v>4284</v>
      </c>
    </row>
    <row r="4328" spans="1:7">
      <c r="A4328" t="s">
        <v>4082</v>
      </c>
      <c r="G4328" t="s">
        <v>4284</v>
      </c>
    </row>
    <row r="4329" spans="1:7">
      <c r="A4329" t="s">
        <v>4807</v>
      </c>
      <c r="B4329">
        <v>5221097</v>
      </c>
      <c r="G4329" t="s">
        <v>4284</v>
      </c>
    </row>
    <row r="4330" spans="1:7">
      <c r="A4330" t="s">
        <v>5197</v>
      </c>
      <c r="G4330" t="s">
        <v>4819</v>
      </c>
    </row>
    <row r="4331" spans="1:7">
      <c r="A4331" t="s">
        <v>4459</v>
      </c>
      <c r="G4331" t="s">
        <v>4819</v>
      </c>
    </row>
    <row r="4332" spans="1:7">
      <c r="A4332" t="s">
        <v>4967</v>
      </c>
      <c r="G4332" t="s">
        <v>4819</v>
      </c>
    </row>
    <row r="4333" spans="1:7">
      <c r="A4333" t="s">
        <v>4443</v>
      </c>
      <c r="B4333">
        <v>5211097</v>
      </c>
      <c r="G4333" t="s">
        <v>4819</v>
      </c>
    </row>
    <row r="4334" spans="1:7">
      <c r="A4334" t="s">
        <v>4943</v>
      </c>
      <c r="G4334" t="s">
        <v>4819</v>
      </c>
    </row>
    <row r="4335" spans="1:7">
      <c r="A4335" t="s">
        <v>5198</v>
      </c>
      <c r="G4335" t="s">
        <v>4819</v>
      </c>
    </row>
    <row r="4336" spans="1:7">
      <c r="A4336" t="s">
        <v>5025</v>
      </c>
      <c r="G4336" t="s">
        <v>4819</v>
      </c>
    </row>
    <row r="4337" spans="1:7">
      <c r="A4337" t="s">
        <v>5199</v>
      </c>
      <c r="G4337" t="s">
        <v>4819</v>
      </c>
    </row>
    <row r="4338" spans="1:7">
      <c r="A4338" t="s">
        <v>5200</v>
      </c>
      <c r="G4338" t="s">
        <v>4819</v>
      </c>
    </row>
    <row r="4339" spans="1:7">
      <c r="A4339" t="s">
        <v>5113</v>
      </c>
      <c r="G4339" t="s">
        <v>4819</v>
      </c>
    </row>
    <row r="4340" spans="1:7">
      <c r="A4340" t="s">
        <v>4942</v>
      </c>
      <c r="G4340" t="s">
        <v>4819</v>
      </c>
    </row>
    <row r="4341" spans="1:7">
      <c r="A4341" t="s">
        <v>4097</v>
      </c>
      <c r="G4341" t="s">
        <v>4819</v>
      </c>
    </row>
    <row r="4342" spans="1:7">
      <c r="A4342" t="s">
        <v>4599</v>
      </c>
      <c r="G4342" t="s">
        <v>4395</v>
      </c>
    </row>
    <row r="4343" spans="1:7">
      <c r="A4343" t="s">
        <v>5163</v>
      </c>
      <c r="G4343" t="s">
        <v>4395</v>
      </c>
    </row>
    <row r="4344" spans="1:8">
      <c r="A4344" t="s">
        <v>4679</v>
      </c>
      <c r="G4344" t="s">
        <v>4395</v>
      </c>
      <c r="H4344">
        <v>5520097</v>
      </c>
    </row>
    <row r="4345" spans="1:7">
      <c r="A4345" t="s">
        <v>4038</v>
      </c>
      <c r="B4345">
        <v>5210097</v>
      </c>
      <c r="G4345" t="s">
        <v>4395</v>
      </c>
    </row>
    <row r="4346" spans="1:7">
      <c r="A4346" t="s">
        <v>4130</v>
      </c>
      <c r="B4346">
        <v>5218097</v>
      </c>
      <c r="G4346" t="s">
        <v>4317</v>
      </c>
    </row>
    <row r="4347" spans="1:7">
      <c r="A4347" t="s">
        <v>5201</v>
      </c>
      <c r="G4347" t="s">
        <v>4317</v>
      </c>
    </row>
    <row r="4348" spans="1:7">
      <c r="A4348" t="s">
        <v>4911</v>
      </c>
      <c r="G4348" t="s">
        <v>4933</v>
      </c>
    </row>
    <row r="4349" spans="1:7">
      <c r="A4349" t="s">
        <v>5202</v>
      </c>
      <c r="G4349" t="s">
        <v>4933</v>
      </c>
    </row>
    <row r="4350" spans="1:8">
      <c r="A4350" t="s">
        <v>4379</v>
      </c>
      <c r="G4350" t="s">
        <v>4933</v>
      </c>
      <c r="H4350">
        <v>5133097</v>
      </c>
    </row>
    <row r="4351" spans="1:7">
      <c r="A4351" t="s">
        <v>4354</v>
      </c>
      <c r="G4351" t="s">
        <v>4933</v>
      </c>
    </row>
    <row r="4352" spans="1:7">
      <c r="A4352" t="s">
        <v>4560</v>
      </c>
      <c r="G4352" t="s">
        <v>4423</v>
      </c>
    </row>
    <row r="4353" spans="1:7">
      <c r="A4353" t="s">
        <v>4787</v>
      </c>
      <c r="G4353" t="s">
        <v>5203</v>
      </c>
    </row>
    <row r="4354" spans="1:7">
      <c r="A4354" t="s">
        <v>4959</v>
      </c>
      <c r="G4354" t="s">
        <v>5204</v>
      </c>
    </row>
    <row r="4355" spans="1:7">
      <c r="A4355" t="s">
        <v>4381</v>
      </c>
      <c r="G4355" t="s">
        <v>4125</v>
      </c>
    </row>
    <row r="4356" spans="1:7">
      <c r="A4356" t="s">
        <v>4343</v>
      </c>
      <c r="G4356" t="s">
        <v>4125</v>
      </c>
    </row>
    <row r="4357" spans="1:7">
      <c r="A4357" t="s">
        <v>4969</v>
      </c>
      <c r="G4357" t="s">
        <v>4185</v>
      </c>
    </row>
    <row r="4358" spans="1:7">
      <c r="A4358" t="s">
        <v>5205</v>
      </c>
      <c r="G4358" t="s">
        <v>4915</v>
      </c>
    </row>
    <row r="4359" spans="1:7">
      <c r="A4359" t="s">
        <v>5172</v>
      </c>
      <c r="B4359">
        <v>5209097</v>
      </c>
      <c r="G4359" t="s">
        <v>4915</v>
      </c>
    </row>
    <row r="4360" spans="1:7">
      <c r="A4360" t="s">
        <v>4130</v>
      </c>
      <c r="B4360">
        <v>5217097</v>
      </c>
      <c r="G4360" t="s">
        <v>4915</v>
      </c>
    </row>
    <row r="4361" spans="1:7">
      <c r="A4361" t="s">
        <v>4354</v>
      </c>
      <c r="G4361" t="s">
        <v>4915</v>
      </c>
    </row>
    <row r="4362" spans="1:7">
      <c r="A4362" t="s">
        <v>5201</v>
      </c>
      <c r="G4362" t="s">
        <v>5060</v>
      </c>
    </row>
    <row r="4363" spans="1:7">
      <c r="A4363" t="s">
        <v>4911</v>
      </c>
      <c r="G4363" t="s">
        <v>4902</v>
      </c>
    </row>
    <row r="4364" spans="1:7">
      <c r="A4364" t="s">
        <v>4787</v>
      </c>
      <c r="G4364" t="s">
        <v>4902</v>
      </c>
    </row>
    <row r="4365" spans="1:7">
      <c r="A4365" t="s">
        <v>4379</v>
      </c>
      <c r="G4365" t="s">
        <v>4902</v>
      </c>
    </row>
    <row r="4366" spans="1:7">
      <c r="A4366" t="s">
        <v>4331</v>
      </c>
      <c r="G4366" t="s">
        <v>4902</v>
      </c>
    </row>
    <row r="4367" spans="1:7">
      <c r="A4367" t="s">
        <v>4959</v>
      </c>
      <c r="G4367" t="s">
        <v>4902</v>
      </c>
    </row>
    <row r="4368" spans="1:7">
      <c r="A4368" t="s">
        <v>4343</v>
      </c>
      <c r="G4368" t="s">
        <v>4902</v>
      </c>
    </row>
    <row r="4369" spans="1:7">
      <c r="A4369" t="s">
        <v>4969</v>
      </c>
      <c r="G4369" t="s">
        <v>4902</v>
      </c>
    </row>
    <row r="4370" spans="1:7">
      <c r="A4370" t="s">
        <v>5205</v>
      </c>
      <c r="G4370" t="s">
        <v>4902</v>
      </c>
    </row>
    <row r="4371" spans="1:7">
      <c r="A4371" t="s">
        <v>5172</v>
      </c>
      <c r="G4371" t="s">
        <v>4613</v>
      </c>
    </row>
    <row r="4372" spans="1:7">
      <c r="A4372" t="s">
        <v>5206</v>
      </c>
      <c r="B4372">
        <v>5216097</v>
      </c>
      <c r="G4372" t="s">
        <v>4613</v>
      </c>
    </row>
    <row r="4373" spans="1:7">
      <c r="A4373" t="s">
        <v>5207</v>
      </c>
      <c r="G4373" t="s">
        <v>4613</v>
      </c>
    </row>
    <row r="4374" spans="1:7">
      <c r="A4374" t="s">
        <v>4911</v>
      </c>
      <c r="G4374" t="s">
        <v>4613</v>
      </c>
    </row>
    <row r="4375" spans="1:7">
      <c r="A4375" t="s">
        <v>4136</v>
      </c>
      <c r="G4375" t="s">
        <v>4613</v>
      </c>
    </row>
    <row r="4376" spans="1:7">
      <c r="A4376" t="s">
        <v>4543</v>
      </c>
      <c r="G4376" t="s">
        <v>4613</v>
      </c>
    </row>
    <row r="4377" spans="1:7">
      <c r="A4377" t="s">
        <v>4082</v>
      </c>
      <c r="G4377" t="s">
        <v>4613</v>
      </c>
    </row>
    <row r="4378" spans="1:7">
      <c r="A4378" t="s">
        <v>4418</v>
      </c>
      <c r="G4378" t="s">
        <v>4613</v>
      </c>
    </row>
    <row r="4379" spans="1:7">
      <c r="A4379" t="s">
        <v>5180</v>
      </c>
      <c r="G4379" t="s">
        <v>4613</v>
      </c>
    </row>
    <row r="4380" spans="1:7">
      <c r="A4380" t="s">
        <v>4165</v>
      </c>
      <c r="G4380" t="s">
        <v>4613</v>
      </c>
    </row>
    <row r="4381" spans="1:7">
      <c r="A4381" t="s">
        <v>4723</v>
      </c>
      <c r="G4381" t="s">
        <v>4526</v>
      </c>
    </row>
    <row r="4382" spans="1:7">
      <c r="A4382" t="s">
        <v>4109</v>
      </c>
      <c r="G4382" t="s">
        <v>4526</v>
      </c>
    </row>
    <row r="4383" spans="1:7">
      <c r="A4383" t="s">
        <v>4266</v>
      </c>
      <c r="G4383" t="s">
        <v>4526</v>
      </c>
    </row>
    <row r="4384" spans="1:7">
      <c r="A4384" t="s">
        <v>4091</v>
      </c>
      <c r="G4384" t="s">
        <v>4526</v>
      </c>
    </row>
    <row r="4385" spans="1:7">
      <c r="A4385" t="s">
        <v>4571</v>
      </c>
      <c r="G4385" t="s">
        <v>4526</v>
      </c>
    </row>
    <row r="4386" spans="1:7">
      <c r="A4386" t="s">
        <v>3993</v>
      </c>
      <c r="G4386" t="s">
        <v>4526</v>
      </c>
    </row>
    <row r="4387" spans="1:7">
      <c r="A4387" t="s">
        <v>4189</v>
      </c>
      <c r="G4387" t="s">
        <v>4526</v>
      </c>
    </row>
    <row r="4388" spans="1:7">
      <c r="A4388" t="s">
        <v>4620</v>
      </c>
      <c r="G4388" t="s">
        <v>4526</v>
      </c>
    </row>
    <row r="4389" spans="1:7">
      <c r="A4389" t="s">
        <v>4055</v>
      </c>
      <c r="G4389" t="s">
        <v>4526</v>
      </c>
    </row>
    <row r="4390" spans="1:7">
      <c r="A4390" t="s">
        <v>4097</v>
      </c>
      <c r="G4390" t="s">
        <v>4526</v>
      </c>
    </row>
    <row r="4391" spans="1:7">
      <c r="A4391" t="s">
        <v>5163</v>
      </c>
      <c r="G4391" t="s">
        <v>4526</v>
      </c>
    </row>
    <row r="4392" spans="1:7">
      <c r="A4392" t="s">
        <v>4173</v>
      </c>
      <c r="G4392" t="s">
        <v>5037</v>
      </c>
    </row>
    <row r="4393" spans="1:7">
      <c r="A4393" t="s">
        <v>4366</v>
      </c>
      <c r="G4393" t="s">
        <v>5037</v>
      </c>
    </row>
    <row r="4394" spans="1:7">
      <c r="A4394" t="s">
        <v>5075</v>
      </c>
      <c r="B4394">
        <v>5215097</v>
      </c>
      <c r="G4394" t="s">
        <v>5037</v>
      </c>
    </row>
    <row r="4395" spans="1:7">
      <c r="A4395" t="s">
        <v>4237</v>
      </c>
      <c r="G4395" t="s">
        <v>5037</v>
      </c>
    </row>
    <row r="4396" spans="1:7">
      <c r="A4396" t="s">
        <v>4286</v>
      </c>
      <c r="G4396" t="s">
        <v>5037</v>
      </c>
    </row>
    <row r="4397" spans="1:7">
      <c r="A4397" t="s">
        <v>4543</v>
      </c>
      <c r="G4397" t="s">
        <v>5037</v>
      </c>
    </row>
    <row r="4398" spans="1:7">
      <c r="A4398" t="s">
        <v>4284</v>
      </c>
      <c r="G4398" t="s">
        <v>5037</v>
      </c>
    </row>
    <row r="4399" spans="1:7">
      <c r="A4399" t="s">
        <v>4187</v>
      </c>
      <c r="G4399" t="s">
        <v>5037</v>
      </c>
    </row>
    <row r="4400" spans="1:7">
      <c r="A4400" t="s">
        <v>4165</v>
      </c>
      <c r="G4400" t="s">
        <v>5037</v>
      </c>
    </row>
    <row r="4401" spans="1:7">
      <c r="A4401" t="s">
        <v>5208</v>
      </c>
      <c r="G4401" t="s">
        <v>5037</v>
      </c>
    </row>
    <row r="4402" spans="1:7">
      <c r="A4402" t="s">
        <v>4656</v>
      </c>
      <c r="G4402" t="s">
        <v>4568</v>
      </c>
    </row>
    <row r="4403" spans="1:7">
      <c r="A4403" t="s">
        <v>5209</v>
      </c>
      <c r="G4403" t="s">
        <v>4568</v>
      </c>
    </row>
    <row r="4404" spans="1:7">
      <c r="A4404" t="s">
        <v>4911</v>
      </c>
      <c r="G4404" t="s">
        <v>4568</v>
      </c>
    </row>
    <row r="4405" spans="1:7">
      <c r="A4405" t="s">
        <v>4825</v>
      </c>
      <c r="G4405" t="s">
        <v>4568</v>
      </c>
    </row>
    <row r="4406" spans="1:7">
      <c r="A4406" t="s">
        <v>4082</v>
      </c>
      <c r="G4406" t="s">
        <v>4568</v>
      </c>
    </row>
    <row r="4407" spans="1:7">
      <c r="A4407" t="s">
        <v>4545</v>
      </c>
      <c r="G4407" t="s">
        <v>4568</v>
      </c>
    </row>
    <row r="4408" spans="1:7">
      <c r="A4408" t="s">
        <v>4084</v>
      </c>
      <c r="G4408" t="s">
        <v>4568</v>
      </c>
    </row>
    <row r="4409" spans="1:8">
      <c r="A4409" t="s">
        <v>5210</v>
      </c>
      <c r="G4409" t="s">
        <v>4568</v>
      </c>
      <c r="H4409">
        <v>5285097</v>
      </c>
    </row>
    <row r="4410" spans="1:7">
      <c r="A4410" t="s">
        <v>4290</v>
      </c>
      <c r="G4410" t="s">
        <v>4568</v>
      </c>
    </row>
    <row r="4411" spans="1:7">
      <c r="A4411" t="s">
        <v>5163</v>
      </c>
      <c r="G4411" t="s">
        <v>4568</v>
      </c>
    </row>
    <row r="4412" spans="1:8">
      <c r="A4412" t="s">
        <v>3993</v>
      </c>
      <c r="G4412" t="s">
        <v>4568</v>
      </c>
      <c r="H4412">
        <v>5030097</v>
      </c>
    </row>
    <row r="4413" spans="1:8">
      <c r="A4413" t="s">
        <v>4401</v>
      </c>
      <c r="G4413" t="s">
        <v>4568</v>
      </c>
      <c r="H4413">
        <v>4981097</v>
      </c>
    </row>
    <row r="4414" spans="1:7">
      <c r="A4414" t="s">
        <v>4703</v>
      </c>
      <c r="G4414" t="s">
        <v>4568</v>
      </c>
    </row>
    <row r="4415" spans="1:8">
      <c r="A4415" t="s">
        <v>4356</v>
      </c>
      <c r="B4415">
        <v>5214097</v>
      </c>
      <c r="G4415" t="s">
        <v>5211</v>
      </c>
      <c r="H4415">
        <v>5036097</v>
      </c>
    </row>
    <row r="4416" spans="1:7">
      <c r="A4416" t="s">
        <v>5205</v>
      </c>
      <c r="G4416" t="s">
        <v>5211</v>
      </c>
    </row>
    <row r="4417" spans="1:7">
      <c r="A4417" t="s">
        <v>4959</v>
      </c>
      <c r="G4417" t="s">
        <v>5211</v>
      </c>
    </row>
    <row r="4418" spans="1:7">
      <c r="A4418" t="s">
        <v>4358</v>
      </c>
      <c r="G4418" t="s">
        <v>5211</v>
      </c>
    </row>
    <row r="4419" spans="1:7">
      <c r="A4419" t="s">
        <v>4787</v>
      </c>
      <c r="G4419" t="s">
        <v>5159</v>
      </c>
    </row>
    <row r="4420" spans="1:7">
      <c r="A4420" t="s">
        <v>5212</v>
      </c>
      <c r="G4420" t="s">
        <v>4905</v>
      </c>
    </row>
    <row r="4421" spans="1:7">
      <c r="A4421" t="s">
        <v>4363</v>
      </c>
      <c r="G4421" t="s">
        <v>4905</v>
      </c>
    </row>
    <row r="4422" spans="1:7">
      <c r="A4422" t="s">
        <v>5201</v>
      </c>
      <c r="G4422" t="s">
        <v>4905</v>
      </c>
    </row>
    <row r="4423" spans="1:7">
      <c r="A4423" t="s">
        <v>5213</v>
      </c>
      <c r="G4423" t="s">
        <v>4905</v>
      </c>
    </row>
    <row r="4424" spans="1:7">
      <c r="A4424" t="s">
        <v>4354</v>
      </c>
      <c r="G4424" t="s">
        <v>4905</v>
      </c>
    </row>
    <row r="4425" spans="1:7">
      <c r="A4425" t="s">
        <v>4361</v>
      </c>
      <c r="G4425" t="s">
        <v>4905</v>
      </c>
    </row>
    <row r="4426" spans="1:7">
      <c r="A4426" t="s">
        <v>4970</v>
      </c>
      <c r="B4426">
        <v>5208097</v>
      </c>
      <c r="G4426" t="s">
        <v>4905</v>
      </c>
    </row>
    <row r="4427" spans="1:7">
      <c r="A4427" t="s">
        <v>5214</v>
      </c>
      <c r="G4427" t="s">
        <v>4905</v>
      </c>
    </row>
    <row r="4428" spans="1:7">
      <c r="A4428" t="s">
        <v>5215</v>
      </c>
      <c r="G4428" t="s">
        <v>4607</v>
      </c>
    </row>
    <row r="4429" spans="1:7">
      <c r="A4429" t="s">
        <v>5033</v>
      </c>
      <c r="G4429" t="s">
        <v>4607</v>
      </c>
    </row>
    <row r="4430" spans="1:8">
      <c r="A4430" t="s">
        <v>4911</v>
      </c>
      <c r="G4430" t="s">
        <v>4607</v>
      </c>
      <c r="H4430">
        <v>5411097</v>
      </c>
    </row>
    <row r="4431" spans="1:7">
      <c r="A4431" t="s">
        <v>4356</v>
      </c>
      <c r="B4431">
        <v>5213097</v>
      </c>
      <c r="G4431" t="s">
        <v>4607</v>
      </c>
    </row>
    <row r="4432" spans="1:7">
      <c r="A4432" t="s">
        <v>4358</v>
      </c>
      <c r="G4432" t="s">
        <v>4607</v>
      </c>
    </row>
    <row r="4433" spans="1:7">
      <c r="A4433" t="s">
        <v>4911</v>
      </c>
      <c r="G4433" t="s">
        <v>5097</v>
      </c>
    </row>
    <row r="4434" spans="1:7">
      <c r="A4434" t="s">
        <v>4787</v>
      </c>
      <c r="G4434" t="s">
        <v>5097</v>
      </c>
    </row>
    <row r="4435" spans="1:7">
      <c r="A4435" t="s">
        <v>5201</v>
      </c>
      <c r="G4435" t="s">
        <v>4140</v>
      </c>
    </row>
    <row r="4436" spans="1:7">
      <c r="A4436" t="s">
        <v>4363</v>
      </c>
      <c r="G4436" t="s">
        <v>4140</v>
      </c>
    </row>
    <row r="4437" spans="1:7">
      <c r="A4437" t="s">
        <v>4354</v>
      </c>
      <c r="G4437" t="s">
        <v>4140</v>
      </c>
    </row>
    <row r="4438" spans="1:8">
      <c r="A4438" t="s">
        <v>5205</v>
      </c>
      <c r="G4438" t="s">
        <v>4140</v>
      </c>
      <c r="H4438">
        <v>5477097</v>
      </c>
    </row>
    <row r="4439" spans="1:7">
      <c r="A4439" t="s">
        <v>5212</v>
      </c>
      <c r="G4439" t="s">
        <v>4140</v>
      </c>
    </row>
    <row r="4440" spans="1:7">
      <c r="A4440" t="s">
        <v>5213</v>
      </c>
      <c r="G4440" t="s">
        <v>4066</v>
      </c>
    </row>
    <row r="4441" spans="1:7">
      <c r="A4441" t="s">
        <v>4959</v>
      </c>
      <c r="G4441" t="s">
        <v>4066</v>
      </c>
    </row>
    <row r="4442" spans="1:7">
      <c r="A4442" t="s">
        <v>5214</v>
      </c>
      <c r="B4442">
        <v>5206097</v>
      </c>
      <c r="G4442" t="s">
        <v>4703</v>
      </c>
    </row>
    <row r="4443" spans="1:7">
      <c r="A4443" t="s">
        <v>5215</v>
      </c>
      <c r="G4443" t="s">
        <v>4703</v>
      </c>
    </row>
    <row r="4444" spans="1:7">
      <c r="A4444" t="s">
        <v>5033</v>
      </c>
      <c r="G4444" t="s">
        <v>4703</v>
      </c>
    </row>
    <row r="4445" spans="1:7">
      <c r="A4445" t="s">
        <v>4361</v>
      </c>
      <c r="G4445" t="s">
        <v>4703</v>
      </c>
    </row>
    <row r="4446" spans="1:7">
      <c r="A4446" t="s">
        <v>4361</v>
      </c>
      <c r="B4446">
        <v>5212097</v>
      </c>
      <c r="G4446" t="s">
        <v>4703</v>
      </c>
    </row>
    <row r="4447" spans="1:7">
      <c r="A4447" t="s">
        <v>4787</v>
      </c>
      <c r="G4447" t="s">
        <v>4703</v>
      </c>
    </row>
    <row r="4448" spans="1:7">
      <c r="A4448" t="s">
        <v>5214</v>
      </c>
      <c r="G4448" t="s">
        <v>4703</v>
      </c>
    </row>
    <row r="4449" spans="1:7">
      <c r="A4449" t="s">
        <v>4363</v>
      </c>
      <c r="G4449" t="s">
        <v>4703</v>
      </c>
    </row>
    <row r="4450" spans="1:7">
      <c r="A4450" t="s">
        <v>5201</v>
      </c>
      <c r="G4450" t="s">
        <v>4703</v>
      </c>
    </row>
    <row r="4451" spans="1:7">
      <c r="A4451" t="s">
        <v>5212</v>
      </c>
      <c r="G4451" t="s">
        <v>4703</v>
      </c>
    </row>
    <row r="4452" spans="1:7">
      <c r="A4452" t="s">
        <v>5213</v>
      </c>
      <c r="G4452" t="s">
        <v>4703</v>
      </c>
    </row>
    <row r="4453" spans="1:7">
      <c r="A4453" t="s">
        <v>4970</v>
      </c>
      <c r="G4453" t="s">
        <v>4703</v>
      </c>
    </row>
    <row r="4454" spans="1:7">
      <c r="A4454" t="s">
        <v>5205</v>
      </c>
      <c r="G4454" t="s">
        <v>4703</v>
      </c>
    </row>
    <row r="4455" spans="1:7">
      <c r="A4455" t="s">
        <v>5121</v>
      </c>
      <c r="G4455" t="s">
        <v>4703</v>
      </c>
    </row>
    <row r="4456" spans="1:7">
      <c r="A4456" t="s">
        <v>4959</v>
      </c>
      <c r="G4456" t="s">
        <v>4703</v>
      </c>
    </row>
    <row r="4457" spans="1:7">
      <c r="A4457" t="s">
        <v>4343</v>
      </c>
      <c r="G4457" t="s">
        <v>4703</v>
      </c>
    </row>
    <row r="4458" spans="1:8">
      <c r="A4458" t="s">
        <v>4356</v>
      </c>
      <c r="G4458" t="s">
        <v>4703</v>
      </c>
      <c r="H4458">
        <v>5422097</v>
      </c>
    </row>
    <row r="4459" spans="1:7">
      <c r="A4459" t="s">
        <v>4130</v>
      </c>
      <c r="G4459" t="s">
        <v>4703</v>
      </c>
    </row>
    <row r="4460" spans="1:7">
      <c r="A4460" t="s">
        <v>5033</v>
      </c>
      <c r="G4460" t="s">
        <v>4703</v>
      </c>
    </row>
    <row r="4461" spans="1:7">
      <c r="A4461" t="s">
        <v>5215</v>
      </c>
      <c r="G4461" t="s">
        <v>4703</v>
      </c>
    </row>
    <row r="4462" spans="1:7">
      <c r="A4462" t="s">
        <v>4230</v>
      </c>
      <c r="G4462" t="s">
        <v>4703</v>
      </c>
    </row>
    <row r="4463" spans="1:8">
      <c r="A4463" t="s">
        <v>4361</v>
      </c>
      <c r="B4463">
        <v>5211097</v>
      </c>
      <c r="G4463" t="s">
        <v>4703</v>
      </c>
      <c r="H4463">
        <v>5267097</v>
      </c>
    </row>
    <row r="4464" spans="1:7">
      <c r="A4464" t="s">
        <v>4130</v>
      </c>
      <c r="G4464" t="s">
        <v>4703</v>
      </c>
    </row>
    <row r="4465" spans="1:7">
      <c r="A4465" t="s">
        <v>4787</v>
      </c>
      <c r="G4465" t="s">
        <v>4703</v>
      </c>
    </row>
    <row r="4466" spans="1:7">
      <c r="A4466" t="s">
        <v>5212</v>
      </c>
      <c r="G4466" t="s">
        <v>4703</v>
      </c>
    </row>
    <row r="4467" spans="1:7">
      <c r="A4467" t="s">
        <v>5201</v>
      </c>
      <c r="G4467" t="s">
        <v>4703</v>
      </c>
    </row>
    <row r="4468" spans="1:7">
      <c r="A4468" t="s">
        <v>5213</v>
      </c>
      <c r="G4468" t="s">
        <v>4703</v>
      </c>
    </row>
    <row r="4469" spans="1:7">
      <c r="A4469" t="s">
        <v>4363</v>
      </c>
      <c r="G4469" t="s">
        <v>4703</v>
      </c>
    </row>
    <row r="4470" spans="1:7">
      <c r="A4470" t="s">
        <v>4356</v>
      </c>
      <c r="G4470" t="s">
        <v>4703</v>
      </c>
    </row>
    <row r="4471" spans="1:7">
      <c r="A4471" t="s">
        <v>5033</v>
      </c>
      <c r="G4471" t="s">
        <v>4703</v>
      </c>
    </row>
    <row r="4472" spans="1:7">
      <c r="A4472" t="s">
        <v>4343</v>
      </c>
      <c r="G4472" t="s">
        <v>4703</v>
      </c>
    </row>
    <row r="4473" spans="1:7">
      <c r="A4473" t="s">
        <v>5214</v>
      </c>
      <c r="B4473">
        <v>5200097</v>
      </c>
      <c r="G4473" t="s">
        <v>4703</v>
      </c>
    </row>
    <row r="4474" spans="1:7">
      <c r="A4474" t="s">
        <v>4959</v>
      </c>
      <c r="G4474" t="s">
        <v>4703</v>
      </c>
    </row>
    <row r="4475" spans="1:7">
      <c r="A4475" t="s">
        <v>4361</v>
      </c>
      <c r="B4475">
        <v>5210097</v>
      </c>
      <c r="G4475" t="s">
        <v>4703</v>
      </c>
    </row>
    <row r="4476" spans="1:7">
      <c r="A4476" t="s">
        <v>4959</v>
      </c>
      <c r="G4476" t="s">
        <v>4703</v>
      </c>
    </row>
    <row r="4477" spans="1:7">
      <c r="A4477" t="s">
        <v>4787</v>
      </c>
      <c r="G4477" t="s">
        <v>4703</v>
      </c>
    </row>
    <row r="4478" spans="1:7">
      <c r="A4478" t="s">
        <v>5212</v>
      </c>
      <c r="G4478" t="s">
        <v>4703</v>
      </c>
    </row>
    <row r="4479" spans="1:7">
      <c r="A4479" t="s">
        <v>4363</v>
      </c>
      <c r="G4479" t="s">
        <v>4703</v>
      </c>
    </row>
    <row r="4480" spans="1:7">
      <c r="A4480" t="s">
        <v>5216</v>
      </c>
      <c r="G4480" t="s">
        <v>4703</v>
      </c>
    </row>
    <row r="4481" spans="1:7">
      <c r="A4481" t="s">
        <v>5213</v>
      </c>
      <c r="G4481" t="s">
        <v>4703</v>
      </c>
    </row>
    <row r="4482" spans="1:8">
      <c r="A4482" t="s">
        <v>5201</v>
      </c>
      <c r="G4482" t="s">
        <v>4881</v>
      </c>
      <c r="H4482">
        <v>5428097</v>
      </c>
    </row>
    <row r="4483" spans="1:7">
      <c r="A4483" t="s">
        <v>4343</v>
      </c>
      <c r="G4483" t="s">
        <v>4881</v>
      </c>
    </row>
    <row r="4484" spans="1:7">
      <c r="A4484" t="s">
        <v>5214</v>
      </c>
      <c r="G4484" t="s">
        <v>4881</v>
      </c>
    </row>
    <row r="4485" spans="1:7">
      <c r="A4485" t="s">
        <v>4356</v>
      </c>
      <c r="G4485" t="s">
        <v>4881</v>
      </c>
    </row>
    <row r="4486" spans="1:7">
      <c r="A4486" t="s">
        <v>5033</v>
      </c>
      <c r="G4486" t="s">
        <v>4881</v>
      </c>
    </row>
    <row r="4487" spans="1:7">
      <c r="A4487" t="s">
        <v>4130</v>
      </c>
      <c r="G4487" t="s">
        <v>4881</v>
      </c>
    </row>
    <row r="4488" spans="1:7">
      <c r="A4488" t="s">
        <v>4970</v>
      </c>
      <c r="G4488" t="s">
        <v>4881</v>
      </c>
    </row>
    <row r="4489" spans="1:7">
      <c r="A4489" t="s">
        <v>4084</v>
      </c>
      <c r="B4489">
        <v>5209097</v>
      </c>
      <c r="G4489" t="s">
        <v>4906</v>
      </c>
    </row>
    <row r="4490" spans="1:7">
      <c r="A4490" t="s">
        <v>4173</v>
      </c>
      <c r="G4490" t="s">
        <v>4906</v>
      </c>
    </row>
    <row r="4491" spans="1:7">
      <c r="A4491" t="s">
        <v>4055</v>
      </c>
      <c r="G4491" t="s">
        <v>4906</v>
      </c>
    </row>
    <row r="4492" spans="1:7">
      <c r="A4492" t="s">
        <v>4107</v>
      </c>
      <c r="G4492" t="s">
        <v>4906</v>
      </c>
    </row>
    <row r="4493" spans="1:7">
      <c r="A4493" t="s">
        <v>4161</v>
      </c>
      <c r="G4493" t="s">
        <v>4906</v>
      </c>
    </row>
    <row r="4494" spans="1:7">
      <c r="A4494" t="s">
        <v>4767</v>
      </c>
      <c r="G4494" t="s">
        <v>4716</v>
      </c>
    </row>
    <row r="4495" spans="1:7">
      <c r="A4495" t="s">
        <v>4188</v>
      </c>
      <c r="B4495">
        <v>5199097</v>
      </c>
      <c r="G4495" t="s">
        <v>4716</v>
      </c>
    </row>
    <row r="4496" spans="1:7">
      <c r="A4496" t="s">
        <v>4280</v>
      </c>
      <c r="G4496" t="s">
        <v>4716</v>
      </c>
    </row>
    <row r="4497" spans="1:7">
      <c r="A4497" t="s">
        <v>4112</v>
      </c>
      <c r="G4497" t="s">
        <v>4716</v>
      </c>
    </row>
    <row r="4498" spans="1:7">
      <c r="A4498" t="s">
        <v>4079</v>
      </c>
      <c r="G4498" t="s">
        <v>4345</v>
      </c>
    </row>
    <row r="4499" spans="1:7">
      <c r="A4499" t="s">
        <v>4088</v>
      </c>
      <c r="G4499" t="s">
        <v>4345</v>
      </c>
    </row>
    <row r="4500" spans="1:7">
      <c r="A4500" t="s">
        <v>5055</v>
      </c>
      <c r="G4500" t="s">
        <v>4345</v>
      </c>
    </row>
    <row r="4501" spans="1:8">
      <c r="A4501" t="s">
        <v>4730</v>
      </c>
      <c r="G4501" t="s">
        <v>4345</v>
      </c>
      <c r="H4501">
        <v>5524097</v>
      </c>
    </row>
    <row r="4502" spans="1:7">
      <c r="A4502" t="s">
        <v>4092</v>
      </c>
      <c r="G4502" t="s">
        <v>4345</v>
      </c>
    </row>
    <row r="4503" spans="1:7">
      <c r="A4503" t="s">
        <v>4171</v>
      </c>
      <c r="G4503" t="s">
        <v>4345</v>
      </c>
    </row>
    <row r="4504" spans="1:7">
      <c r="A4504" t="s">
        <v>4712</v>
      </c>
      <c r="G4504" t="s">
        <v>4345</v>
      </c>
    </row>
    <row r="4505" spans="1:7">
      <c r="A4505" t="s">
        <v>4082</v>
      </c>
      <c r="G4505" t="s">
        <v>4345</v>
      </c>
    </row>
    <row r="4506" spans="1:7">
      <c r="A4506" t="s">
        <v>5169</v>
      </c>
      <c r="G4506" t="s">
        <v>4345</v>
      </c>
    </row>
    <row r="4507" spans="1:7">
      <c r="A4507" t="s">
        <v>4189</v>
      </c>
      <c r="G4507" t="s">
        <v>4345</v>
      </c>
    </row>
    <row r="4508" spans="1:7">
      <c r="A4508" t="s">
        <v>5143</v>
      </c>
      <c r="G4508" t="s">
        <v>4345</v>
      </c>
    </row>
    <row r="4509" spans="1:7">
      <c r="A4509" t="s">
        <v>4566</v>
      </c>
      <c r="G4509" t="s">
        <v>4345</v>
      </c>
    </row>
    <row r="4510" spans="1:7">
      <c r="A4510" t="s">
        <v>4126</v>
      </c>
      <c r="G4510" t="s">
        <v>4345</v>
      </c>
    </row>
    <row r="4511" spans="1:7">
      <c r="A4511" t="s">
        <v>4568</v>
      </c>
      <c r="G4511" t="s">
        <v>4345</v>
      </c>
    </row>
    <row r="4512" spans="1:7">
      <c r="A4512" t="s">
        <v>4098</v>
      </c>
      <c r="G4512" t="s">
        <v>4345</v>
      </c>
    </row>
    <row r="4513" spans="1:7">
      <c r="A4513" t="s">
        <v>5217</v>
      </c>
      <c r="G4513" t="s">
        <v>4345</v>
      </c>
    </row>
    <row r="4514" spans="1:7">
      <c r="A4514" t="s">
        <v>4091</v>
      </c>
      <c r="G4514" t="s">
        <v>4345</v>
      </c>
    </row>
    <row r="4515" spans="1:7">
      <c r="A4515" t="s">
        <v>4086</v>
      </c>
      <c r="G4515" t="s">
        <v>4345</v>
      </c>
    </row>
    <row r="4516" spans="1:7">
      <c r="A4516" t="s">
        <v>4461</v>
      </c>
      <c r="G4516" t="s">
        <v>4345</v>
      </c>
    </row>
    <row r="4517" spans="1:7">
      <c r="A4517" t="s">
        <v>5218</v>
      </c>
      <c r="G4517" t="s">
        <v>4345</v>
      </c>
    </row>
    <row r="4518" spans="1:7">
      <c r="A4518" t="s">
        <v>4777</v>
      </c>
      <c r="G4518" t="s">
        <v>4345</v>
      </c>
    </row>
    <row r="4519" spans="1:8">
      <c r="A4519" t="s">
        <v>4237</v>
      </c>
      <c r="G4519" t="s">
        <v>4345</v>
      </c>
      <c r="H4519">
        <v>4768097</v>
      </c>
    </row>
    <row r="4520" spans="1:7">
      <c r="A4520" t="s">
        <v>5219</v>
      </c>
      <c r="G4520" t="s">
        <v>4345</v>
      </c>
    </row>
    <row r="4521" spans="1:7">
      <c r="A4521" t="s">
        <v>4883</v>
      </c>
      <c r="B4521">
        <v>5194097</v>
      </c>
      <c r="G4521" t="s">
        <v>4345</v>
      </c>
    </row>
    <row r="4522" spans="1:7">
      <c r="A4522" t="s">
        <v>4148</v>
      </c>
      <c r="G4522" t="s">
        <v>4345</v>
      </c>
    </row>
    <row r="4523" spans="1:7">
      <c r="A4523" t="s">
        <v>4128</v>
      </c>
      <c r="G4523" t="s">
        <v>4345</v>
      </c>
    </row>
    <row r="4524" spans="1:7">
      <c r="A4524" t="s">
        <v>5220</v>
      </c>
      <c r="G4524" t="s">
        <v>4345</v>
      </c>
    </row>
    <row r="4525" spans="1:7">
      <c r="A4525" t="s">
        <v>4132</v>
      </c>
      <c r="G4525" t="s">
        <v>4538</v>
      </c>
    </row>
    <row r="4526" spans="1:7">
      <c r="A4526" t="s">
        <v>4165</v>
      </c>
      <c r="G4526" t="s">
        <v>4538</v>
      </c>
    </row>
    <row r="4527" spans="1:7">
      <c r="A4527" t="s">
        <v>4401</v>
      </c>
      <c r="G4527" t="s">
        <v>4538</v>
      </c>
    </row>
    <row r="4528" spans="1:7">
      <c r="A4528" t="s">
        <v>4524</v>
      </c>
      <c r="G4528" t="s">
        <v>4538</v>
      </c>
    </row>
    <row r="4529" spans="1:7">
      <c r="A4529" t="s">
        <v>5008</v>
      </c>
      <c r="G4529" t="s">
        <v>4538</v>
      </c>
    </row>
    <row r="4530" spans="1:7">
      <c r="A4530" t="s">
        <v>4286</v>
      </c>
      <c r="G4530" t="s">
        <v>4538</v>
      </c>
    </row>
    <row r="4531" spans="1:7">
      <c r="A4531" t="s">
        <v>5068</v>
      </c>
      <c r="G4531" t="s">
        <v>4538</v>
      </c>
    </row>
    <row r="4532" spans="1:7">
      <c r="A4532" t="s">
        <v>4104</v>
      </c>
      <c r="G4532" t="s">
        <v>4538</v>
      </c>
    </row>
    <row r="4533" spans="1:7">
      <c r="A4533" t="s">
        <v>4102</v>
      </c>
      <c r="G4533" t="s">
        <v>4538</v>
      </c>
    </row>
    <row r="4534" spans="1:7">
      <c r="A4534" t="s">
        <v>4763</v>
      </c>
      <c r="G4534" t="s">
        <v>4538</v>
      </c>
    </row>
    <row r="4535" spans="1:7">
      <c r="A4535" t="s">
        <v>4141</v>
      </c>
      <c r="G4535" t="s">
        <v>4538</v>
      </c>
    </row>
    <row r="4536" spans="1:7">
      <c r="A4536" t="s">
        <v>4869</v>
      </c>
      <c r="G4536" t="s">
        <v>4538</v>
      </c>
    </row>
    <row r="4537" spans="1:7">
      <c r="A4537" t="s">
        <v>4436</v>
      </c>
      <c r="G4537" t="s">
        <v>4538</v>
      </c>
    </row>
    <row r="4538" spans="1:7">
      <c r="A4538" t="s">
        <v>4620</v>
      </c>
      <c r="G4538" t="s">
        <v>4538</v>
      </c>
    </row>
    <row r="4539" spans="1:7">
      <c r="A4539" t="s">
        <v>4097</v>
      </c>
      <c r="G4539" t="s">
        <v>4538</v>
      </c>
    </row>
    <row r="4540" spans="1:7">
      <c r="A4540" t="s">
        <v>4978</v>
      </c>
      <c r="G4540" t="s">
        <v>4538</v>
      </c>
    </row>
    <row r="4541" spans="1:7">
      <c r="A4541" t="s">
        <v>4234</v>
      </c>
      <c r="G4541" t="s">
        <v>4538</v>
      </c>
    </row>
    <row r="4542" spans="1:7">
      <c r="A4542" t="s">
        <v>4109</v>
      </c>
      <c r="G4542" t="s">
        <v>4538</v>
      </c>
    </row>
    <row r="4543" spans="1:7">
      <c r="A4543" t="s">
        <v>5163</v>
      </c>
      <c r="G4543" t="s">
        <v>4538</v>
      </c>
    </row>
    <row r="4544" spans="1:7">
      <c r="A4544" t="s">
        <v>5221</v>
      </c>
      <c r="G4544" t="s">
        <v>4538</v>
      </c>
    </row>
    <row r="4545" spans="1:7">
      <c r="A4545" t="s">
        <v>4545</v>
      </c>
      <c r="B4545">
        <v>5193097</v>
      </c>
      <c r="G4545" t="s">
        <v>4538</v>
      </c>
    </row>
    <row r="4546" spans="1:7">
      <c r="A4546" t="s">
        <v>5222</v>
      </c>
      <c r="G4546" t="s">
        <v>4678</v>
      </c>
    </row>
    <row r="4547" spans="1:7">
      <c r="A4547" t="s">
        <v>4454</v>
      </c>
      <c r="G4547" t="s">
        <v>5223</v>
      </c>
    </row>
    <row r="4548" spans="1:7">
      <c r="A4548" t="s">
        <v>4971</v>
      </c>
      <c r="G4548" t="s">
        <v>4571</v>
      </c>
    </row>
    <row r="4549" spans="1:7">
      <c r="A4549" t="s">
        <v>4418</v>
      </c>
      <c r="G4549" t="s">
        <v>4571</v>
      </c>
    </row>
    <row r="4550" spans="1:7">
      <c r="A4550" t="s">
        <v>4703</v>
      </c>
      <c r="G4550" t="s">
        <v>4571</v>
      </c>
    </row>
    <row r="4551" spans="1:7">
      <c r="A4551" t="s">
        <v>4439</v>
      </c>
      <c r="G4551" t="s">
        <v>4571</v>
      </c>
    </row>
    <row r="4552" spans="1:7">
      <c r="A4552" t="s">
        <v>4543</v>
      </c>
      <c r="G4552" t="s">
        <v>4571</v>
      </c>
    </row>
    <row r="4553" spans="1:7">
      <c r="A4553" t="s">
        <v>5224</v>
      </c>
      <c r="G4553" t="s">
        <v>4571</v>
      </c>
    </row>
    <row r="4554" spans="1:7">
      <c r="A4554" t="s">
        <v>4266</v>
      </c>
      <c r="G4554" t="s">
        <v>4571</v>
      </c>
    </row>
    <row r="4555" spans="1:7">
      <c r="A4555" t="s">
        <v>5207</v>
      </c>
      <c r="G4555" t="s">
        <v>4571</v>
      </c>
    </row>
    <row r="4556" spans="1:7">
      <c r="A4556" t="s">
        <v>4082</v>
      </c>
      <c r="B4556">
        <v>5208097</v>
      </c>
      <c r="G4556" t="s">
        <v>4571</v>
      </c>
    </row>
    <row r="4557" spans="1:8">
      <c r="A4557" t="s">
        <v>4902</v>
      </c>
      <c r="G4557" t="s">
        <v>4571</v>
      </c>
      <c r="H4557">
        <v>5430097</v>
      </c>
    </row>
    <row r="4558" spans="1:7">
      <c r="A4558" t="s">
        <v>4911</v>
      </c>
      <c r="G4558" t="s">
        <v>4571</v>
      </c>
    </row>
    <row r="4559" spans="1:7">
      <c r="A4559" t="s">
        <v>4703</v>
      </c>
      <c r="G4559" t="s">
        <v>4571</v>
      </c>
    </row>
    <row r="4560" spans="1:7">
      <c r="A4560" t="s">
        <v>4097</v>
      </c>
      <c r="G4560" t="s">
        <v>4571</v>
      </c>
    </row>
    <row r="4561" spans="1:7">
      <c r="A4561" t="s">
        <v>4052</v>
      </c>
      <c r="G4561" t="s">
        <v>4571</v>
      </c>
    </row>
    <row r="4562" spans="1:7">
      <c r="A4562" t="s">
        <v>5095</v>
      </c>
      <c r="G4562" t="s">
        <v>4571</v>
      </c>
    </row>
    <row r="4563" spans="1:7">
      <c r="A4563" t="s">
        <v>4263</v>
      </c>
      <c r="G4563" t="s">
        <v>4571</v>
      </c>
    </row>
    <row r="4564" spans="1:7">
      <c r="A4564" t="s">
        <v>4109</v>
      </c>
      <c r="G4564" t="s">
        <v>4571</v>
      </c>
    </row>
    <row r="4565" spans="1:7">
      <c r="A4565" t="s">
        <v>4545</v>
      </c>
      <c r="G4565" t="s">
        <v>4571</v>
      </c>
    </row>
    <row r="4566" spans="1:7">
      <c r="A4566" t="s">
        <v>4418</v>
      </c>
      <c r="G4566" t="s">
        <v>4571</v>
      </c>
    </row>
    <row r="4567" spans="1:7">
      <c r="A4567" t="s">
        <v>4819</v>
      </c>
      <c r="G4567" t="s">
        <v>4571</v>
      </c>
    </row>
    <row r="4568" spans="1:7">
      <c r="A4568" t="s">
        <v>5189</v>
      </c>
      <c r="G4568" t="s">
        <v>4571</v>
      </c>
    </row>
    <row r="4569" spans="1:7">
      <c r="A4569" t="s">
        <v>4237</v>
      </c>
      <c r="G4569" t="s">
        <v>4571</v>
      </c>
    </row>
    <row r="4570" spans="1:7">
      <c r="A4570" t="s">
        <v>5163</v>
      </c>
      <c r="B4570">
        <v>5192097</v>
      </c>
      <c r="G4570" t="s">
        <v>4571</v>
      </c>
    </row>
    <row r="4571" spans="1:7">
      <c r="A4571" t="s">
        <v>4098</v>
      </c>
      <c r="G4571" t="s">
        <v>4571</v>
      </c>
    </row>
    <row r="4572" spans="1:8">
      <c r="A4572" t="s">
        <v>4132</v>
      </c>
      <c r="B4572">
        <v>5206097</v>
      </c>
      <c r="G4572" t="s">
        <v>4571</v>
      </c>
      <c r="H4572">
        <v>4919097</v>
      </c>
    </row>
    <row r="4573" spans="1:7">
      <c r="A4573" t="s">
        <v>5192</v>
      </c>
      <c r="G4573" t="s">
        <v>5197</v>
      </c>
    </row>
    <row r="4574" spans="1:7">
      <c r="A4574" t="s">
        <v>4175</v>
      </c>
      <c r="G4574" t="s">
        <v>5225</v>
      </c>
    </row>
    <row r="4575" spans="1:7">
      <c r="A4575" t="s">
        <v>4098</v>
      </c>
      <c r="G4575" t="s">
        <v>5225</v>
      </c>
    </row>
    <row r="4576" spans="1:7">
      <c r="A4576" t="s">
        <v>5193</v>
      </c>
      <c r="G4576" t="s">
        <v>5225</v>
      </c>
    </row>
    <row r="4577" spans="1:7">
      <c r="A4577" t="s">
        <v>5037</v>
      </c>
      <c r="G4577" t="s">
        <v>4171</v>
      </c>
    </row>
    <row r="4578" spans="1:7">
      <c r="A4578" t="s">
        <v>4115</v>
      </c>
      <c r="G4578" t="s">
        <v>4171</v>
      </c>
    </row>
    <row r="4579" spans="1:7">
      <c r="A4579" t="s">
        <v>4091</v>
      </c>
      <c r="G4579" t="s">
        <v>4171</v>
      </c>
    </row>
    <row r="4580" spans="1:7">
      <c r="A4580" t="s">
        <v>4085</v>
      </c>
      <c r="G4580" t="s">
        <v>4171</v>
      </c>
    </row>
    <row r="4581" spans="1:7">
      <c r="A4581" t="s">
        <v>4171</v>
      </c>
      <c r="G4581" t="s">
        <v>4171</v>
      </c>
    </row>
    <row r="4582" spans="1:7">
      <c r="A4582" t="s">
        <v>4477</v>
      </c>
      <c r="G4582" t="s">
        <v>4171</v>
      </c>
    </row>
    <row r="4583" spans="1:7">
      <c r="A4583" t="s">
        <v>4284</v>
      </c>
      <c r="G4583" t="s">
        <v>4171</v>
      </c>
    </row>
    <row r="4584" spans="1:7">
      <c r="A4584" t="s">
        <v>5163</v>
      </c>
      <c r="G4584" t="s">
        <v>4171</v>
      </c>
    </row>
    <row r="4585" spans="1:7">
      <c r="A4585" t="s">
        <v>4545</v>
      </c>
      <c r="G4585" t="s">
        <v>4171</v>
      </c>
    </row>
    <row r="4586" spans="1:7">
      <c r="A4586" t="s">
        <v>4188</v>
      </c>
      <c r="G4586" t="s">
        <v>4171</v>
      </c>
    </row>
    <row r="4587" spans="1:7">
      <c r="A4587" t="s">
        <v>4167</v>
      </c>
      <c r="G4587" t="s">
        <v>4171</v>
      </c>
    </row>
    <row r="4588" spans="1:7">
      <c r="A4588" t="s">
        <v>4113</v>
      </c>
      <c r="G4588" t="s">
        <v>4171</v>
      </c>
    </row>
    <row r="4589" spans="1:7">
      <c r="A4589" t="s">
        <v>5177</v>
      </c>
      <c r="G4589" t="s">
        <v>4171</v>
      </c>
    </row>
    <row r="4590" spans="1:7">
      <c r="A4590" t="s">
        <v>4763</v>
      </c>
      <c r="G4590" t="s">
        <v>4171</v>
      </c>
    </row>
    <row r="4591" spans="1:7">
      <c r="A4591" t="s">
        <v>4611</v>
      </c>
      <c r="G4591" t="s">
        <v>4171</v>
      </c>
    </row>
    <row r="4592" spans="1:7">
      <c r="A4592" t="s">
        <v>4165</v>
      </c>
      <c r="G4592" t="s">
        <v>4171</v>
      </c>
    </row>
    <row r="4593" spans="1:7">
      <c r="A4593" t="s">
        <v>4141</v>
      </c>
      <c r="G4593" t="s">
        <v>4171</v>
      </c>
    </row>
    <row r="4594" spans="1:7">
      <c r="A4594" t="s">
        <v>4082</v>
      </c>
      <c r="G4594" t="s">
        <v>4171</v>
      </c>
    </row>
    <row r="4595" spans="1:7">
      <c r="A4595" t="s">
        <v>4560</v>
      </c>
      <c r="G4595" t="s">
        <v>4171</v>
      </c>
    </row>
    <row r="4596" spans="1:7">
      <c r="A4596" t="s">
        <v>4401</v>
      </c>
      <c r="G4596" t="s">
        <v>4171</v>
      </c>
    </row>
    <row r="4597" spans="1:7">
      <c r="A4597" t="s">
        <v>4374</v>
      </c>
      <c r="G4597" t="s">
        <v>4171</v>
      </c>
    </row>
    <row r="4598" spans="1:7">
      <c r="A4598" t="s">
        <v>4147</v>
      </c>
      <c r="G4598" t="s">
        <v>4171</v>
      </c>
    </row>
    <row r="4599" spans="1:7">
      <c r="A4599" t="s">
        <v>4142</v>
      </c>
      <c r="G4599" t="s">
        <v>4171</v>
      </c>
    </row>
    <row r="4600" spans="1:7">
      <c r="A4600" t="s">
        <v>4084</v>
      </c>
      <c r="G4600" t="s">
        <v>4171</v>
      </c>
    </row>
    <row r="4601" spans="1:7">
      <c r="A4601" t="s">
        <v>4656</v>
      </c>
      <c r="G4601" t="s">
        <v>4171</v>
      </c>
    </row>
    <row r="4602" spans="1:7">
      <c r="A4602" t="s">
        <v>4581</v>
      </c>
      <c r="G4602" t="s">
        <v>4171</v>
      </c>
    </row>
    <row r="4603" spans="1:7">
      <c r="A4603" t="s">
        <v>4266</v>
      </c>
      <c r="B4603">
        <v>5200097</v>
      </c>
      <c r="G4603" t="s">
        <v>4171</v>
      </c>
    </row>
    <row r="4604" spans="1:7">
      <c r="A4604" t="s">
        <v>5143</v>
      </c>
      <c r="G4604" t="s">
        <v>4171</v>
      </c>
    </row>
    <row r="4605" spans="1:7">
      <c r="A4605" t="s">
        <v>4625</v>
      </c>
      <c r="B4605">
        <v>5191097</v>
      </c>
      <c r="G4605" t="s">
        <v>4171</v>
      </c>
    </row>
    <row r="4606" spans="1:7">
      <c r="A4606" t="s">
        <v>4563</v>
      </c>
      <c r="G4606" t="s">
        <v>4171</v>
      </c>
    </row>
    <row r="4607" spans="1:7">
      <c r="A4607" t="s">
        <v>4161</v>
      </c>
      <c r="G4607" t="s">
        <v>4171</v>
      </c>
    </row>
    <row r="4608" spans="1:7">
      <c r="A4608" t="s">
        <v>4439</v>
      </c>
      <c r="G4608" t="s">
        <v>4171</v>
      </c>
    </row>
    <row r="4609" spans="1:7">
      <c r="A4609" t="s">
        <v>4263</v>
      </c>
      <c r="G4609" t="s">
        <v>4171</v>
      </c>
    </row>
    <row r="4610" spans="1:7">
      <c r="A4610" t="s">
        <v>4736</v>
      </c>
      <c r="G4610" t="s">
        <v>4171</v>
      </c>
    </row>
    <row r="4611" spans="1:7">
      <c r="A4611" t="s">
        <v>5208</v>
      </c>
      <c r="G4611" t="s">
        <v>4171</v>
      </c>
    </row>
    <row r="4612" spans="1:7">
      <c r="A4612" t="s">
        <v>4911</v>
      </c>
      <c r="G4612" t="s">
        <v>4171</v>
      </c>
    </row>
    <row r="4613" spans="1:7">
      <c r="A4613" t="s">
        <v>4578</v>
      </c>
      <c r="G4613" t="s">
        <v>4171</v>
      </c>
    </row>
    <row r="4614" spans="1:7">
      <c r="A4614" t="s">
        <v>5075</v>
      </c>
      <c r="G4614" t="s">
        <v>4171</v>
      </c>
    </row>
    <row r="4615" spans="1:7">
      <c r="A4615" t="s">
        <v>4152</v>
      </c>
      <c r="G4615" t="s">
        <v>4171</v>
      </c>
    </row>
    <row r="4616" spans="1:7">
      <c r="A4616" t="s">
        <v>4656</v>
      </c>
      <c r="G4616" t="s">
        <v>4171</v>
      </c>
    </row>
    <row r="4617" spans="1:7">
      <c r="A4617" t="s">
        <v>4706</v>
      </c>
      <c r="G4617" t="s">
        <v>4171</v>
      </c>
    </row>
    <row r="4618" spans="1:7">
      <c r="A4618" t="s">
        <v>4232</v>
      </c>
      <c r="G4618" t="s">
        <v>4171</v>
      </c>
    </row>
    <row r="4619" spans="1:7">
      <c r="A4619" t="s">
        <v>4126</v>
      </c>
      <c r="B4619">
        <v>5176097</v>
      </c>
      <c r="G4619" t="s">
        <v>4171</v>
      </c>
    </row>
    <row r="4620" spans="1:7">
      <c r="A4620" t="s">
        <v>4769</v>
      </c>
      <c r="G4620" t="s">
        <v>4171</v>
      </c>
    </row>
    <row r="4621" spans="1:7">
      <c r="A4621" t="s">
        <v>4115</v>
      </c>
      <c r="G4621" t="s">
        <v>4171</v>
      </c>
    </row>
    <row r="4622" spans="1:7">
      <c r="A4622" t="s">
        <v>4777</v>
      </c>
      <c r="G4622" t="s">
        <v>4171</v>
      </c>
    </row>
    <row r="4623" spans="1:7">
      <c r="A4623" t="s">
        <v>4187</v>
      </c>
      <c r="G4623" t="s">
        <v>4978</v>
      </c>
    </row>
    <row r="4624" spans="1:7">
      <c r="A4624" t="s">
        <v>4703</v>
      </c>
      <c r="G4624" t="s">
        <v>4978</v>
      </c>
    </row>
    <row r="4625" spans="1:7">
      <c r="A4625" t="s">
        <v>4132</v>
      </c>
      <c r="B4625">
        <v>5199097</v>
      </c>
      <c r="G4625" t="s">
        <v>4978</v>
      </c>
    </row>
    <row r="4626" spans="1:7">
      <c r="A4626" t="s">
        <v>5192</v>
      </c>
      <c r="G4626" t="s">
        <v>4978</v>
      </c>
    </row>
    <row r="4627" spans="1:8">
      <c r="A4627" t="s">
        <v>4284</v>
      </c>
      <c r="G4627" t="s">
        <v>4978</v>
      </c>
      <c r="H4627">
        <v>5241097</v>
      </c>
    </row>
    <row r="4628" spans="1:7">
      <c r="A4628" t="s">
        <v>4543</v>
      </c>
      <c r="G4628" t="s">
        <v>4978</v>
      </c>
    </row>
    <row r="4629" spans="1:7">
      <c r="A4629" t="s">
        <v>4091</v>
      </c>
      <c r="G4629" t="s">
        <v>4978</v>
      </c>
    </row>
    <row r="4630" spans="1:7">
      <c r="A4630" t="s">
        <v>4098</v>
      </c>
      <c r="G4630" t="s">
        <v>4978</v>
      </c>
    </row>
    <row r="4631" spans="1:7">
      <c r="A4631" t="s">
        <v>5193</v>
      </c>
      <c r="G4631" t="s">
        <v>4978</v>
      </c>
    </row>
    <row r="4632" spans="1:7">
      <c r="A4632" t="s">
        <v>4175</v>
      </c>
      <c r="G4632" t="s">
        <v>4978</v>
      </c>
    </row>
    <row r="4633" spans="1:7">
      <c r="A4633" t="s">
        <v>4055</v>
      </c>
      <c r="G4633" t="s">
        <v>4978</v>
      </c>
    </row>
    <row r="4634" spans="1:7">
      <c r="A4634" t="s">
        <v>4477</v>
      </c>
      <c r="G4634" t="s">
        <v>4978</v>
      </c>
    </row>
    <row r="4635" spans="1:7">
      <c r="A4635" t="s">
        <v>4085</v>
      </c>
      <c r="G4635" t="s">
        <v>4978</v>
      </c>
    </row>
    <row r="4636" spans="1:7">
      <c r="A4636" t="s">
        <v>4165</v>
      </c>
      <c r="B4636">
        <v>5175097</v>
      </c>
      <c r="G4636" t="s">
        <v>4978</v>
      </c>
    </row>
    <row r="4637" spans="1:7">
      <c r="A4637" t="s">
        <v>5117</v>
      </c>
      <c r="G4637" t="s">
        <v>4978</v>
      </c>
    </row>
    <row r="4638" spans="1:7">
      <c r="A4638" t="s">
        <v>4167</v>
      </c>
      <c r="G4638" t="s">
        <v>4978</v>
      </c>
    </row>
    <row r="4639" spans="1:7">
      <c r="A4639" t="s">
        <v>4142</v>
      </c>
      <c r="G4639" t="s">
        <v>4978</v>
      </c>
    </row>
    <row r="4640" spans="1:7">
      <c r="A4640" t="s">
        <v>5177</v>
      </c>
      <c r="G4640" t="s">
        <v>4978</v>
      </c>
    </row>
    <row r="4641" spans="1:7">
      <c r="A4641" t="s">
        <v>4188</v>
      </c>
      <c r="G4641" t="s">
        <v>4978</v>
      </c>
    </row>
    <row r="4642" spans="1:7">
      <c r="A4642" t="s">
        <v>4763</v>
      </c>
      <c r="G4642" t="s">
        <v>4978</v>
      </c>
    </row>
    <row r="4643" spans="1:7">
      <c r="A4643" t="s">
        <v>4560</v>
      </c>
      <c r="G4643" t="s">
        <v>4978</v>
      </c>
    </row>
    <row r="4644" spans="1:7">
      <c r="A4644" t="s">
        <v>4401</v>
      </c>
      <c r="G4644" t="s">
        <v>4978</v>
      </c>
    </row>
    <row r="4645" spans="1:7">
      <c r="A4645" t="s">
        <v>4666</v>
      </c>
      <c r="G4645" t="s">
        <v>4978</v>
      </c>
    </row>
    <row r="4646" spans="1:7">
      <c r="A4646" t="s">
        <v>4147</v>
      </c>
      <c r="G4646" t="s">
        <v>4978</v>
      </c>
    </row>
    <row r="4647" spans="1:7">
      <c r="A4647" t="s">
        <v>5037</v>
      </c>
      <c r="G4647" t="s">
        <v>4978</v>
      </c>
    </row>
    <row r="4648" spans="1:7">
      <c r="A4648" t="s">
        <v>5163</v>
      </c>
      <c r="G4648" t="s">
        <v>5226</v>
      </c>
    </row>
    <row r="4649" spans="1:7">
      <c r="A4649" t="s">
        <v>4084</v>
      </c>
      <c r="G4649" t="s">
        <v>5227</v>
      </c>
    </row>
    <row r="4650" spans="1:7">
      <c r="A4650" t="s">
        <v>4171</v>
      </c>
      <c r="G4650" t="s">
        <v>5228</v>
      </c>
    </row>
    <row r="4651" spans="1:7">
      <c r="A4651" t="s">
        <v>4115</v>
      </c>
      <c r="B4651">
        <v>5194097</v>
      </c>
      <c r="G4651" t="s">
        <v>5228</v>
      </c>
    </row>
    <row r="4652" spans="1:7">
      <c r="A4652" t="s">
        <v>4906</v>
      </c>
      <c r="G4652" t="s">
        <v>5228</v>
      </c>
    </row>
    <row r="4653" spans="1:7">
      <c r="A4653" t="s">
        <v>4072</v>
      </c>
      <c r="G4653" t="s">
        <v>5228</v>
      </c>
    </row>
    <row r="4654" spans="1:7">
      <c r="A4654" t="s">
        <v>4091</v>
      </c>
      <c r="G4654" t="s">
        <v>5228</v>
      </c>
    </row>
    <row r="4655" spans="1:7">
      <c r="A4655" t="s">
        <v>4370</v>
      </c>
      <c r="G4655" t="s">
        <v>5228</v>
      </c>
    </row>
    <row r="4656" spans="1:7">
      <c r="A4656" t="s">
        <v>4934</v>
      </c>
      <c r="G4656" t="s">
        <v>5228</v>
      </c>
    </row>
    <row r="4657" spans="1:7">
      <c r="A4657" t="s">
        <v>4147</v>
      </c>
      <c r="G4657" t="s">
        <v>5228</v>
      </c>
    </row>
    <row r="4658" spans="1:7">
      <c r="A4658" t="s">
        <v>4128</v>
      </c>
      <c r="B4658">
        <v>5170097</v>
      </c>
      <c r="G4658" t="s">
        <v>4458</v>
      </c>
    </row>
    <row r="4659" spans="1:7">
      <c r="A4659" t="s">
        <v>4218</v>
      </c>
      <c r="G4659" t="s">
        <v>4458</v>
      </c>
    </row>
    <row r="4660" spans="1:7">
      <c r="A4660" t="s">
        <v>4457</v>
      </c>
      <c r="G4660" t="s">
        <v>4458</v>
      </c>
    </row>
    <row r="4661" spans="1:7">
      <c r="A4661" t="s">
        <v>4132</v>
      </c>
      <c r="G4661" t="s">
        <v>4717</v>
      </c>
    </row>
    <row r="4662" spans="1:8">
      <c r="A4662" t="s">
        <v>5143</v>
      </c>
      <c r="G4662" t="s">
        <v>4070</v>
      </c>
      <c r="H4662">
        <v>5628097</v>
      </c>
    </row>
    <row r="4663" spans="1:7">
      <c r="A4663" t="s">
        <v>4901</v>
      </c>
      <c r="G4663" t="s">
        <v>4070</v>
      </c>
    </row>
    <row r="4664" spans="1:7">
      <c r="A4664" t="s">
        <v>5189</v>
      </c>
      <c r="G4664" t="s">
        <v>5229</v>
      </c>
    </row>
    <row r="4665" spans="1:7">
      <c r="A4665" t="s">
        <v>5163</v>
      </c>
      <c r="G4665" t="s">
        <v>5230</v>
      </c>
    </row>
    <row r="4666" spans="1:7">
      <c r="A4666" t="s">
        <v>4155</v>
      </c>
      <c r="G4666" t="s">
        <v>5230</v>
      </c>
    </row>
    <row r="4667" spans="1:7">
      <c r="A4667" t="s">
        <v>4097</v>
      </c>
      <c r="G4667" t="s">
        <v>5230</v>
      </c>
    </row>
    <row r="4668" spans="1:7">
      <c r="A4668" t="s">
        <v>4562</v>
      </c>
      <c r="G4668" t="s">
        <v>5230</v>
      </c>
    </row>
    <row r="4669" spans="1:7">
      <c r="A4669" t="s">
        <v>4720</v>
      </c>
      <c r="G4669" t="s">
        <v>5231</v>
      </c>
    </row>
    <row r="4670" spans="1:7">
      <c r="A4670" t="s">
        <v>4560</v>
      </c>
      <c r="G4670" t="s">
        <v>4900</v>
      </c>
    </row>
    <row r="4671" spans="1:7">
      <c r="A4671" t="s">
        <v>4804</v>
      </c>
      <c r="G4671" t="s">
        <v>4900</v>
      </c>
    </row>
    <row r="4672" spans="1:7">
      <c r="A4672" t="s">
        <v>4563</v>
      </c>
      <c r="G4672" t="s">
        <v>4900</v>
      </c>
    </row>
    <row r="4673" spans="1:7">
      <c r="A4673" t="s">
        <v>5232</v>
      </c>
      <c r="G4673" t="s">
        <v>4900</v>
      </c>
    </row>
    <row r="4674" spans="1:7">
      <c r="A4674" t="s">
        <v>4092</v>
      </c>
      <c r="G4674" t="s">
        <v>4900</v>
      </c>
    </row>
    <row r="4675" spans="1:7">
      <c r="A4675" t="s">
        <v>4425</v>
      </c>
      <c r="B4675">
        <v>5193097</v>
      </c>
      <c r="G4675" t="s">
        <v>4900</v>
      </c>
    </row>
    <row r="4676" spans="1:7">
      <c r="A4676" t="s">
        <v>4084</v>
      </c>
      <c r="G4676" t="s">
        <v>4900</v>
      </c>
    </row>
    <row r="4677" spans="1:7">
      <c r="A4677" t="s">
        <v>4115</v>
      </c>
      <c r="G4677" t="s">
        <v>4900</v>
      </c>
    </row>
    <row r="4678" spans="1:7">
      <c r="A4678" t="s">
        <v>4092</v>
      </c>
      <c r="G4678" t="s">
        <v>4900</v>
      </c>
    </row>
    <row r="4679" spans="1:7">
      <c r="A4679" t="s">
        <v>4091</v>
      </c>
      <c r="G4679" t="s">
        <v>4900</v>
      </c>
    </row>
    <row r="4680" spans="1:7">
      <c r="A4680" t="s">
        <v>4132</v>
      </c>
      <c r="G4680" t="s">
        <v>4900</v>
      </c>
    </row>
    <row r="4681" spans="1:7">
      <c r="A4681" t="s">
        <v>4934</v>
      </c>
      <c r="B4681">
        <v>5169097</v>
      </c>
      <c r="G4681" t="s">
        <v>4900</v>
      </c>
    </row>
    <row r="4682" spans="1:7">
      <c r="A4682" t="s">
        <v>4218</v>
      </c>
      <c r="G4682" t="s">
        <v>4900</v>
      </c>
    </row>
    <row r="4683" spans="1:7">
      <c r="A4683" t="s">
        <v>4147</v>
      </c>
      <c r="G4683" t="s">
        <v>4900</v>
      </c>
    </row>
    <row r="4684" spans="1:7">
      <c r="A4684" t="s">
        <v>4128</v>
      </c>
      <c r="G4684" t="s">
        <v>4900</v>
      </c>
    </row>
    <row r="4685" spans="1:7">
      <c r="A4685" t="s">
        <v>4370</v>
      </c>
      <c r="G4685" t="s">
        <v>4900</v>
      </c>
    </row>
    <row r="4686" spans="1:7">
      <c r="A4686" t="s">
        <v>4143</v>
      </c>
      <c r="G4686" t="s">
        <v>4900</v>
      </c>
    </row>
    <row r="4687" spans="1:7">
      <c r="A4687" t="s">
        <v>4085</v>
      </c>
      <c r="G4687" t="s">
        <v>4900</v>
      </c>
    </row>
    <row r="4688" spans="1:7">
      <c r="A4688" t="s">
        <v>5163</v>
      </c>
      <c r="G4688" t="s">
        <v>4900</v>
      </c>
    </row>
    <row r="4689" spans="1:7">
      <c r="A4689" t="s">
        <v>5232</v>
      </c>
      <c r="G4689" t="s">
        <v>4900</v>
      </c>
    </row>
    <row r="4690" spans="1:7">
      <c r="A4690" t="s">
        <v>5233</v>
      </c>
      <c r="G4690" t="s">
        <v>4900</v>
      </c>
    </row>
    <row r="4691" spans="1:7">
      <c r="A4691" t="s">
        <v>4697</v>
      </c>
      <c r="G4691" t="s">
        <v>4900</v>
      </c>
    </row>
    <row r="4692" spans="1:7">
      <c r="A4692" t="s">
        <v>4244</v>
      </c>
      <c r="G4692" t="s">
        <v>4900</v>
      </c>
    </row>
    <row r="4693" spans="1:7">
      <c r="A4693" t="s">
        <v>5192</v>
      </c>
      <c r="G4693" t="s">
        <v>4388</v>
      </c>
    </row>
    <row r="4694" spans="1:7">
      <c r="A4694" t="s">
        <v>4126</v>
      </c>
      <c r="G4694" t="s">
        <v>4388</v>
      </c>
    </row>
    <row r="4695" spans="1:7">
      <c r="A4695" t="s">
        <v>4097</v>
      </c>
      <c r="G4695" t="s">
        <v>4388</v>
      </c>
    </row>
    <row r="4696" spans="1:7">
      <c r="A4696" t="s">
        <v>4562</v>
      </c>
      <c r="G4696" t="s">
        <v>4388</v>
      </c>
    </row>
    <row r="4697" spans="1:7">
      <c r="A4697" t="s">
        <v>4230</v>
      </c>
      <c r="B4697">
        <v>5162097</v>
      </c>
      <c r="G4697" t="s">
        <v>4388</v>
      </c>
    </row>
    <row r="4698" spans="1:7">
      <c r="A4698" t="s">
        <v>5121</v>
      </c>
      <c r="G4698" t="s">
        <v>4388</v>
      </c>
    </row>
    <row r="4699" spans="1:7">
      <c r="A4699" t="s">
        <v>5234</v>
      </c>
      <c r="G4699" t="s">
        <v>4388</v>
      </c>
    </row>
    <row r="4700" spans="1:7">
      <c r="A4700" t="s">
        <v>4934</v>
      </c>
      <c r="B4700">
        <v>5192097</v>
      </c>
      <c r="G4700" t="s">
        <v>4388</v>
      </c>
    </row>
    <row r="4701" spans="1:7">
      <c r="A4701" t="s">
        <v>5182</v>
      </c>
      <c r="G4701" t="s">
        <v>4388</v>
      </c>
    </row>
    <row r="4702" spans="1:7">
      <c r="A4702" t="s">
        <v>4128</v>
      </c>
      <c r="G4702" t="s">
        <v>4388</v>
      </c>
    </row>
    <row r="4703" spans="1:7">
      <c r="A4703" t="s">
        <v>4147</v>
      </c>
      <c r="G4703" t="s">
        <v>4388</v>
      </c>
    </row>
    <row r="4704" spans="1:7">
      <c r="A4704" t="s">
        <v>4370</v>
      </c>
      <c r="G4704" t="s">
        <v>4388</v>
      </c>
    </row>
    <row r="4705" spans="1:7">
      <c r="A4705" t="s">
        <v>4115</v>
      </c>
      <c r="G4705" t="s">
        <v>4388</v>
      </c>
    </row>
    <row r="4706" spans="1:8">
      <c r="A4706" t="s">
        <v>4743</v>
      </c>
      <c r="G4706" t="s">
        <v>4388</v>
      </c>
      <c r="H4706">
        <v>4858097</v>
      </c>
    </row>
    <row r="4707" spans="1:7">
      <c r="A4707" t="s">
        <v>4092</v>
      </c>
      <c r="G4707" t="s">
        <v>4388</v>
      </c>
    </row>
    <row r="4708" spans="1:7">
      <c r="A4708" t="s">
        <v>4563</v>
      </c>
      <c r="G4708" t="s">
        <v>4388</v>
      </c>
    </row>
    <row r="4709" spans="1:7">
      <c r="A4709" t="s">
        <v>4906</v>
      </c>
      <c r="G4709" t="s">
        <v>4388</v>
      </c>
    </row>
    <row r="4710" spans="1:8">
      <c r="A4710" t="s">
        <v>4132</v>
      </c>
      <c r="G4710" t="s">
        <v>4388</v>
      </c>
      <c r="H4710">
        <v>4850097</v>
      </c>
    </row>
    <row r="4711" spans="1:7">
      <c r="A4711" t="s">
        <v>4091</v>
      </c>
      <c r="G4711" t="s">
        <v>4388</v>
      </c>
    </row>
    <row r="4712" spans="1:7">
      <c r="A4712" t="s">
        <v>4072</v>
      </c>
      <c r="G4712" t="s">
        <v>4388</v>
      </c>
    </row>
    <row r="4713" spans="1:7">
      <c r="A4713" t="s">
        <v>4457</v>
      </c>
      <c r="B4713">
        <v>5160097</v>
      </c>
      <c r="G4713" t="s">
        <v>4388</v>
      </c>
    </row>
    <row r="4714" spans="1:7">
      <c r="A4714" t="s">
        <v>5235</v>
      </c>
      <c r="G4714" t="s">
        <v>4388</v>
      </c>
    </row>
    <row r="4715" spans="1:7">
      <c r="A4715" t="s">
        <v>4218</v>
      </c>
      <c r="G4715" t="s">
        <v>4388</v>
      </c>
    </row>
    <row r="4716" spans="1:7">
      <c r="A4716" t="s">
        <v>4085</v>
      </c>
      <c r="G4716" t="s">
        <v>4388</v>
      </c>
    </row>
    <row r="4717" spans="1:7">
      <c r="A4717" t="s">
        <v>4901</v>
      </c>
      <c r="G4717" t="s">
        <v>4388</v>
      </c>
    </row>
    <row r="4718" spans="1:7">
      <c r="A4718" t="s">
        <v>4720</v>
      </c>
      <c r="G4718" t="s">
        <v>4388</v>
      </c>
    </row>
    <row r="4719" spans="1:7">
      <c r="A4719" t="s">
        <v>4612</v>
      </c>
      <c r="G4719" t="s">
        <v>4388</v>
      </c>
    </row>
    <row r="4720" spans="1:7">
      <c r="A4720" t="s">
        <v>4454</v>
      </c>
      <c r="G4720" t="s">
        <v>4388</v>
      </c>
    </row>
    <row r="4721" spans="1:7">
      <c r="A4721" t="s">
        <v>5143</v>
      </c>
      <c r="G4721" t="s">
        <v>4388</v>
      </c>
    </row>
    <row r="4722" spans="1:7">
      <c r="A4722" t="s">
        <v>5232</v>
      </c>
      <c r="G4722" t="s">
        <v>4388</v>
      </c>
    </row>
    <row r="4723" spans="1:7">
      <c r="A4723" t="s">
        <v>4547</v>
      </c>
      <c r="G4723" t="s">
        <v>4388</v>
      </c>
    </row>
    <row r="4724" spans="1:7">
      <c r="A4724" t="s">
        <v>5163</v>
      </c>
      <c r="G4724" t="s">
        <v>4388</v>
      </c>
    </row>
    <row r="4725" spans="1:7">
      <c r="A4725" t="s">
        <v>5192</v>
      </c>
      <c r="G4725" t="s">
        <v>4388</v>
      </c>
    </row>
    <row r="4726" spans="1:7">
      <c r="A4726" t="s">
        <v>4155</v>
      </c>
      <c r="G4726" t="s">
        <v>4388</v>
      </c>
    </row>
    <row r="4727" spans="1:7">
      <c r="A4727" t="s">
        <v>4097</v>
      </c>
      <c r="G4727" t="s">
        <v>4388</v>
      </c>
    </row>
    <row r="4728" spans="1:8">
      <c r="A4728" t="s">
        <v>5038</v>
      </c>
      <c r="G4728" t="s">
        <v>4388</v>
      </c>
      <c r="H4728">
        <v>4775097</v>
      </c>
    </row>
    <row r="4729" spans="1:7">
      <c r="A4729" t="s">
        <v>4126</v>
      </c>
      <c r="G4729" t="s">
        <v>4388</v>
      </c>
    </row>
    <row r="4730" spans="1:7">
      <c r="A4730" t="s">
        <v>4375</v>
      </c>
      <c r="G4730" t="s">
        <v>4388</v>
      </c>
    </row>
    <row r="4731" spans="1:7">
      <c r="A4731" t="s">
        <v>4804</v>
      </c>
      <c r="G4731" t="s">
        <v>4388</v>
      </c>
    </row>
    <row r="4732" spans="1:7">
      <c r="A4732" t="s">
        <v>4437</v>
      </c>
      <c r="G4732" t="s">
        <v>4388</v>
      </c>
    </row>
    <row r="4733" spans="1:7">
      <c r="A4733" t="s">
        <v>4084</v>
      </c>
      <c r="G4733" t="s">
        <v>4388</v>
      </c>
    </row>
    <row r="4734" spans="1:7">
      <c r="A4734" t="s">
        <v>4374</v>
      </c>
      <c r="B4734">
        <v>5159097</v>
      </c>
      <c r="G4734" t="s">
        <v>4388</v>
      </c>
    </row>
    <row r="4735" spans="1:8">
      <c r="A4735" t="s">
        <v>4697</v>
      </c>
      <c r="B4735">
        <v>5191097</v>
      </c>
      <c r="G4735" t="s">
        <v>4388</v>
      </c>
      <c r="H4735">
        <v>4728097</v>
      </c>
    </row>
    <row r="4736" spans="1:8">
      <c r="A4736" t="s">
        <v>4563</v>
      </c>
      <c r="G4736" t="s">
        <v>4388</v>
      </c>
      <c r="H4736">
        <v>4718097</v>
      </c>
    </row>
    <row r="4737" spans="1:7">
      <c r="A4737" t="s">
        <v>4906</v>
      </c>
      <c r="G4737" t="s">
        <v>4528</v>
      </c>
    </row>
    <row r="4738" spans="1:7">
      <c r="A4738" t="s">
        <v>4085</v>
      </c>
      <c r="B4738">
        <v>5152097</v>
      </c>
      <c r="G4738" t="s">
        <v>4528</v>
      </c>
    </row>
    <row r="4739" spans="1:7">
      <c r="A4739" t="s">
        <v>5189</v>
      </c>
      <c r="G4739" t="s">
        <v>4528</v>
      </c>
    </row>
    <row r="4740" spans="1:7">
      <c r="A4740" t="s">
        <v>5163</v>
      </c>
      <c r="G4740" t="s">
        <v>4528</v>
      </c>
    </row>
    <row r="4741" spans="1:8">
      <c r="A4741" t="s">
        <v>5232</v>
      </c>
      <c r="G4741" t="s">
        <v>4528</v>
      </c>
      <c r="H4741">
        <v>5486097</v>
      </c>
    </row>
    <row r="4742" spans="1:7">
      <c r="A4742" t="s">
        <v>4115</v>
      </c>
      <c r="G4742" t="s">
        <v>4528</v>
      </c>
    </row>
    <row r="4743" spans="1:7">
      <c r="A4743" t="s">
        <v>4097</v>
      </c>
      <c r="G4743" t="s">
        <v>4528</v>
      </c>
    </row>
    <row r="4744" spans="1:8">
      <c r="A4744" t="s">
        <v>4132</v>
      </c>
      <c r="G4744" t="s">
        <v>4528</v>
      </c>
      <c r="H4744">
        <v>5427097</v>
      </c>
    </row>
    <row r="4745" spans="1:7">
      <c r="A4745" t="s">
        <v>4804</v>
      </c>
      <c r="G4745" t="s">
        <v>4528</v>
      </c>
    </row>
    <row r="4746" spans="1:7">
      <c r="A4746" t="s">
        <v>4155</v>
      </c>
      <c r="G4746" t="s">
        <v>4259</v>
      </c>
    </row>
    <row r="4747" spans="1:7">
      <c r="A4747" t="s">
        <v>5236</v>
      </c>
      <c r="G4747" t="s">
        <v>4259</v>
      </c>
    </row>
    <row r="4748" spans="1:8">
      <c r="A4748" t="s">
        <v>4147</v>
      </c>
      <c r="G4748" t="s">
        <v>4259</v>
      </c>
      <c r="H4748">
        <v>5524097</v>
      </c>
    </row>
    <row r="4749" spans="1:7">
      <c r="A4749" t="s">
        <v>5237</v>
      </c>
      <c r="B4749">
        <v>5176097</v>
      </c>
      <c r="G4749" t="s">
        <v>5238</v>
      </c>
    </row>
    <row r="4750" spans="1:7">
      <c r="A4750" t="s">
        <v>4293</v>
      </c>
      <c r="G4750" t="s">
        <v>4527</v>
      </c>
    </row>
    <row r="4751" spans="1:7">
      <c r="A4751" t="s">
        <v>4038</v>
      </c>
      <c r="G4751" t="s">
        <v>4527</v>
      </c>
    </row>
    <row r="4752" spans="1:7">
      <c r="A4752" t="s">
        <v>4584</v>
      </c>
      <c r="G4752" t="s">
        <v>4527</v>
      </c>
    </row>
    <row r="4753" spans="1:7">
      <c r="A4753" t="s">
        <v>4892</v>
      </c>
      <c r="G4753" t="s">
        <v>4527</v>
      </c>
    </row>
    <row r="4754" spans="1:7">
      <c r="A4754" t="s">
        <v>4276</v>
      </c>
      <c r="B4754">
        <v>5151097</v>
      </c>
      <c r="G4754" t="s">
        <v>4527</v>
      </c>
    </row>
    <row r="4755" spans="1:7">
      <c r="A4755" t="s">
        <v>4079</v>
      </c>
      <c r="G4755" t="s">
        <v>4527</v>
      </c>
    </row>
    <row r="4756" spans="1:7">
      <c r="A4756" t="s">
        <v>5208</v>
      </c>
      <c r="G4756" t="s">
        <v>4527</v>
      </c>
    </row>
    <row r="4757" spans="1:7">
      <c r="A4757" t="s">
        <v>4396</v>
      </c>
      <c r="G4757" t="s">
        <v>4527</v>
      </c>
    </row>
    <row r="4758" spans="1:7">
      <c r="A4758" t="s">
        <v>5239</v>
      </c>
      <c r="G4758" t="s">
        <v>4527</v>
      </c>
    </row>
    <row r="4759" spans="1:7">
      <c r="A4759" t="s">
        <v>5240</v>
      </c>
      <c r="G4759" t="s">
        <v>4527</v>
      </c>
    </row>
    <row r="4760" spans="1:7">
      <c r="A4760" t="s">
        <v>5241</v>
      </c>
      <c r="G4760" t="s">
        <v>4527</v>
      </c>
    </row>
    <row r="4761" spans="1:7">
      <c r="A4761" t="s">
        <v>5209</v>
      </c>
      <c r="G4761" t="s">
        <v>4527</v>
      </c>
    </row>
    <row r="4762" spans="1:7">
      <c r="A4762" t="s">
        <v>4120</v>
      </c>
      <c r="G4762" t="s">
        <v>4527</v>
      </c>
    </row>
    <row r="4763" spans="1:7">
      <c r="A4763" t="s">
        <v>4270</v>
      </c>
      <c r="G4763" t="s">
        <v>5242</v>
      </c>
    </row>
    <row r="4764" spans="1:7">
      <c r="A4764" t="s">
        <v>4215</v>
      </c>
      <c r="G4764" t="s">
        <v>5243</v>
      </c>
    </row>
    <row r="4765" spans="1:7">
      <c r="A4765" t="s">
        <v>4251</v>
      </c>
      <c r="G4765" t="s">
        <v>5244</v>
      </c>
    </row>
    <row r="4766" spans="1:8">
      <c r="A4766" t="s">
        <v>4303</v>
      </c>
      <c r="B4766">
        <v>5175097</v>
      </c>
      <c r="G4766" t="s">
        <v>5091</v>
      </c>
      <c r="H4766">
        <v>5275097</v>
      </c>
    </row>
    <row r="4767" spans="1:7">
      <c r="A4767" t="s">
        <v>4251</v>
      </c>
      <c r="G4767" t="s">
        <v>5239</v>
      </c>
    </row>
    <row r="4768" spans="1:7">
      <c r="A4768" t="s">
        <v>4165</v>
      </c>
      <c r="G4768" t="s">
        <v>5239</v>
      </c>
    </row>
    <row r="4769" spans="1:7">
      <c r="A4769" t="s">
        <v>4038</v>
      </c>
      <c r="G4769" t="s">
        <v>5219</v>
      </c>
    </row>
    <row r="4770" spans="1:7">
      <c r="A4770" t="s">
        <v>4892</v>
      </c>
      <c r="G4770" t="s">
        <v>5219</v>
      </c>
    </row>
    <row r="4771" spans="1:7">
      <c r="A4771" t="s">
        <v>4584</v>
      </c>
      <c r="G4771" t="s">
        <v>5219</v>
      </c>
    </row>
    <row r="4772" spans="1:7">
      <c r="A4772" t="s">
        <v>5245</v>
      </c>
      <c r="B4772">
        <v>5150097</v>
      </c>
      <c r="G4772" t="s">
        <v>4701</v>
      </c>
    </row>
    <row r="4773" spans="1:7">
      <c r="A4773" t="s">
        <v>4276</v>
      </c>
      <c r="G4773" t="s">
        <v>4701</v>
      </c>
    </row>
    <row r="4774" spans="1:7">
      <c r="A4774" t="s">
        <v>4912</v>
      </c>
      <c r="G4774" t="s">
        <v>4701</v>
      </c>
    </row>
    <row r="4775" spans="1:7">
      <c r="A4775" t="s">
        <v>4293</v>
      </c>
      <c r="G4775" t="s">
        <v>4701</v>
      </c>
    </row>
    <row r="4776" spans="1:7">
      <c r="A4776" t="s">
        <v>5239</v>
      </c>
      <c r="G4776" t="s">
        <v>4701</v>
      </c>
    </row>
    <row r="4777" spans="1:7">
      <c r="A4777" t="s">
        <v>4966</v>
      </c>
      <c r="G4777" t="s">
        <v>4701</v>
      </c>
    </row>
    <row r="4778" spans="1:7">
      <c r="A4778" t="s">
        <v>4215</v>
      </c>
      <c r="G4778" t="s">
        <v>4701</v>
      </c>
    </row>
    <row r="4779" spans="1:7">
      <c r="A4779" t="s">
        <v>5240</v>
      </c>
      <c r="G4779" t="s">
        <v>5246</v>
      </c>
    </row>
    <row r="4780" spans="1:7">
      <c r="A4780" t="s">
        <v>4269</v>
      </c>
      <c r="G4780" t="s">
        <v>4948</v>
      </c>
    </row>
    <row r="4781" spans="1:7">
      <c r="A4781" t="s">
        <v>5208</v>
      </c>
      <c r="G4781" t="s">
        <v>4948</v>
      </c>
    </row>
    <row r="4782" spans="1:8">
      <c r="A4782" t="s">
        <v>5209</v>
      </c>
      <c r="G4782" t="s">
        <v>4948</v>
      </c>
      <c r="H4782">
        <v>5249097</v>
      </c>
    </row>
    <row r="4783" spans="1:7">
      <c r="A4783" t="s">
        <v>5237</v>
      </c>
      <c r="G4783" t="s">
        <v>4948</v>
      </c>
    </row>
    <row r="4784" spans="1:7">
      <c r="A4784" t="s">
        <v>4270</v>
      </c>
      <c r="G4784" t="s">
        <v>4948</v>
      </c>
    </row>
    <row r="4785" spans="1:7">
      <c r="A4785" t="s">
        <v>4079</v>
      </c>
      <c r="G4785" t="s">
        <v>4948</v>
      </c>
    </row>
    <row r="4786" spans="1:7">
      <c r="A4786" t="s">
        <v>4396</v>
      </c>
      <c r="G4786" t="s">
        <v>4948</v>
      </c>
    </row>
    <row r="4787" spans="1:7">
      <c r="A4787" t="s">
        <v>4119</v>
      </c>
      <c r="G4787" t="s">
        <v>4161</v>
      </c>
    </row>
    <row r="4788" spans="1:8">
      <c r="A4788" t="s">
        <v>4237</v>
      </c>
      <c r="B4788">
        <v>5170097</v>
      </c>
      <c r="G4788" t="s">
        <v>4161</v>
      </c>
      <c r="H4788">
        <v>5585097</v>
      </c>
    </row>
    <row r="4789" spans="1:8">
      <c r="A4789" t="s">
        <v>4455</v>
      </c>
      <c r="G4789" t="s">
        <v>4161</v>
      </c>
      <c r="H4789">
        <v>5606097</v>
      </c>
    </row>
    <row r="4790" spans="1:7">
      <c r="A4790" t="s">
        <v>4937</v>
      </c>
      <c r="G4790" t="s">
        <v>4161</v>
      </c>
    </row>
    <row r="4791" spans="1:7">
      <c r="A4791" t="s">
        <v>4045</v>
      </c>
      <c r="B4791">
        <v>5146097</v>
      </c>
      <c r="G4791" t="s">
        <v>4161</v>
      </c>
    </row>
    <row r="4792" spans="1:7">
      <c r="A4792" t="s">
        <v>4521</v>
      </c>
      <c r="G4792" t="s">
        <v>4161</v>
      </c>
    </row>
    <row r="4793" spans="1:7">
      <c r="A4793" t="s">
        <v>4055</v>
      </c>
      <c r="G4793" t="s">
        <v>4161</v>
      </c>
    </row>
    <row r="4794" spans="1:7">
      <c r="A4794" t="s">
        <v>5247</v>
      </c>
      <c r="G4794" t="s">
        <v>4161</v>
      </c>
    </row>
    <row r="4795" spans="1:7">
      <c r="A4795" t="s">
        <v>4867</v>
      </c>
      <c r="G4795" t="s">
        <v>4161</v>
      </c>
    </row>
    <row r="4796" spans="1:7">
      <c r="A4796" t="s">
        <v>4079</v>
      </c>
      <c r="G4796" t="s">
        <v>4161</v>
      </c>
    </row>
    <row r="4797" spans="1:7">
      <c r="A4797" t="s">
        <v>4109</v>
      </c>
      <c r="G4797" t="s">
        <v>4161</v>
      </c>
    </row>
    <row r="4798" spans="1:7">
      <c r="A4798" t="s">
        <v>4814</v>
      </c>
      <c r="G4798" t="s">
        <v>4161</v>
      </c>
    </row>
    <row r="4799" spans="1:7">
      <c r="A4799" t="s">
        <v>4263</v>
      </c>
      <c r="G4799" t="s">
        <v>4161</v>
      </c>
    </row>
    <row r="4800" spans="1:7">
      <c r="A4800" t="s">
        <v>4082</v>
      </c>
      <c r="G4800" t="s">
        <v>4161</v>
      </c>
    </row>
    <row r="4801" spans="1:7">
      <c r="A4801" t="s">
        <v>4147</v>
      </c>
      <c r="G4801" t="s">
        <v>4161</v>
      </c>
    </row>
    <row r="4802" spans="1:7">
      <c r="A4802" t="s">
        <v>4366</v>
      </c>
      <c r="G4802" t="s">
        <v>4161</v>
      </c>
    </row>
    <row r="4803" spans="1:7">
      <c r="A4803" t="s">
        <v>4971</v>
      </c>
      <c r="G4803" t="s">
        <v>4161</v>
      </c>
    </row>
    <row r="4804" spans="1:7">
      <c r="A4804" t="s">
        <v>4883</v>
      </c>
      <c r="G4804" t="s">
        <v>4161</v>
      </c>
    </row>
    <row r="4805" spans="1:7">
      <c r="A4805" t="s">
        <v>4173</v>
      </c>
      <c r="G4805" t="s">
        <v>4360</v>
      </c>
    </row>
    <row r="4806" spans="1:7">
      <c r="A4806" t="s">
        <v>4767</v>
      </c>
      <c r="B4806">
        <v>5141097</v>
      </c>
      <c r="G4806" t="s">
        <v>4360</v>
      </c>
    </row>
    <row r="4807" spans="1:7">
      <c r="A4807" t="s">
        <v>5248</v>
      </c>
      <c r="G4807" t="s">
        <v>4360</v>
      </c>
    </row>
    <row r="4808" spans="1:7">
      <c r="A4808" t="s">
        <v>4477</v>
      </c>
      <c r="G4808" t="s">
        <v>4360</v>
      </c>
    </row>
    <row r="4809" spans="1:7">
      <c r="A4809" t="s">
        <v>4132</v>
      </c>
      <c r="G4809" t="s">
        <v>5121</v>
      </c>
    </row>
    <row r="4810" spans="1:7">
      <c r="A4810" t="s">
        <v>5111</v>
      </c>
      <c r="G4810" t="s">
        <v>5121</v>
      </c>
    </row>
    <row r="4811" spans="1:7">
      <c r="A4811" t="s">
        <v>4237</v>
      </c>
      <c r="B4811">
        <v>5169097</v>
      </c>
      <c r="G4811" t="s">
        <v>5121</v>
      </c>
    </row>
    <row r="4812" spans="1:8">
      <c r="A4812" t="s">
        <v>4109</v>
      </c>
      <c r="G4812" t="s">
        <v>5121</v>
      </c>
      <c r="H4812">
        <v>5263097</v>
      </c>
    </row>
    <row r="4813" spans="1:7">
      <c r="A4813" t="s">
        <v>4518</v>
      </c>
      <c r="G4813" t="s">
        <v>5121</v>
      </c>
    </row>
    <row r="4814" spans="1:7">
      <c r="A4814" t="s">
        <v>4455</v>
      </c>
      <c r="G4814" t="s">
        <v>5121</v>
      </c>
    </row>
    <row r="4815" spans="1:7">
      <c r="A4815" t="s">
        <v>5072</v>
      </c>
      <c r="G4815" t="s">
        <v>5121</v>
      </c>
    </row>
    <row r="4816" spans="1:7">
      <c r="A4816" t="s">
        <v>4115</v>
      </c>
      <c r="G4816" t="s">
        <v>5121</v>
      </c>
    </row>
    <row r="4817" spans="1:7">
      <c r="A4817" t="s">
        <v>4814</v>
      </c>
      <c r="G4817" t="s">
        <v>5121</v>
      </c>
    </row>
    <row r="4818" spans="1:8">
      <c r="A4818" t="s">
        <v>5111</v>
      </c>
      <c r="G4818" t="s">
        <v>5121</v>
      </c>
      <c r="H4818">
        <v>4866097</v>
      </c>
    </row>
    <row r="4819" spans="1:7">
      <c r="A4819" t="s">
        <v>4132</v>
      </c>
      <c r="G4819" t="s">
        <v>5121</v>
      </c>
    </row>
    <row r="4820" spans="1:7">
      <c r="A4820" t="s">
        <v>5249</v>
      </c>
      <c r="G4820" t="s">
        <v>5121</v>
      </c>
    </row>
    <row r="4821" spans="1:7">
      <c r="A4821" t="s">
        <v>4147</v>
      </c>
      <c r="G4821" t="s">
        <v>5121</v>
      </c>
    </row>
    <row r="4822" spans="1:7">
      <c r="A4822" t="s">
        <v>4883</v>
      </c>
      <c r="G4822" t="s">
        <v>5121</v>
      </c>
    </row>
    <row r="4823" spans="1:7">
      <c r="A4823" t="s">
        <v>5183</v>
      </c>
      <c r="B4823">
        <v>5140097</v>
      </c>
      <c r="G4823" t="s">
        <v>5121</v>
      </c>
    </row>
    <row r="4824" spans="1:7">
      <c r="A4824" t="s">
        <v>4079</v>
      </c>
      <c r="G4824" t="s">
        <v>5121</v>
      </c>
    </row>
    <row r="4825" spans="1:7">
      <c r="A4825" t="s">
        <v>4952</v>
      </c>
      <c r="G4825" t="s">
        <v>5121</v>
      </c>
    </row>
    <row r="4826" spans="1:7">
      <c r="A4826" t="s">
        <v>4088</v>
      </c>
      <c r="G4826" t="s">
        <v>5121</v>
      </c>
    </row>
    <row r="4827" spans="1:7">
      <c r="A4827" t="s">
        <v>4615</v>
      </c>
      <c r="B4827">
        <v>5162097</v>
      </c>
      <c r="G4827" t="s">
        <v>5121</v>
      </c>
    </row>
    <row r="4828" spans="1:7">
      <c r="A4828" t="s">
        <v>4035</v>
      </c>
      <c r="G4828" t="s">
        <v>5121</v>
      </c>
    </row>
    <row r="4829" spans="1:7">
      <c r="A4829" t="s">
        <v>4959</v>
      </c>
      <c r="G4829" t="s">
        <v>5121</v>
      </c>
    </row>
    <row r="4830" spans="1:7">
      <c r="A4830" t="s">
        <v>5250</v>
      </c>
      <c r="G4830" t="s">
        <v>5121</v>
      </c>
    </row>
    <row r="4831" spans="1:7">
      <c r="A4831" t="s">
        <v>4005</v>
      </c>
      <c r="G4831" t="s">
        <v>5121</v>
      </c>
    </row>
    <row r="4832" spans="1:8">
      <c r="A4832" t="s">
        <v>4194</v>
      </c>
      <c r="G4832" t="s">
        <v>5121</v>
      </c>
      <c r="H4832">
        <v>4756097</v>
      </c>
    </row>
    <row r="4833" spans="1:7">
      <c r="A4833" t="s">
        <v>4942</v>
      </c>
      <c r="G4833" t="s">
        <v>5121</v>
      </c>
    </row>
    <row r="4834" spans="1:7">
      <c r="A4834" t="s">
        <v>4817</v>
      </c>
      <c r="G4834" t="s">
        <v>5121</v>
      </c>
    </row>
    <row r="4835" spans="1:7">
      <c r="A4835" t="s">
        <v>5237</v>
      </c>
      <c r="G4835" t="s">
        <v>5121</v>
      </c>
    </row>
    <row r="4836" spans="1:7">
      <c r="A4836" t="s">
        <v>5151</v>
      </c>
      <c r="G4836" t="s">
        <v>5121</v>
      </c>
    </row>
    <row r="4837" spans="1:7">
      <c r="A4837" t="s">
        <v>4583</v>
      </c>
      <c r="G4837" t="s">
        <v>5251</v>
      </c>
    </row>
    <row r="4838" spans="1:7">
      <c r="A4838" t="s">
        <v>5163</v>
      </c>
      <c r="G4838" t="s">
        <v>5251</v>
      </c>
    </row>
    <row r="4839" spans="1:7">
      <c r="A4839" t="s">
        <v>4991</v>
      </c>
      <c r="G4839" t="s">
        <v>5251</v>
      </c>
    </row>
    <row r="4840" spans="1:7">
      <c r="A4840" t="s">
        <v>4410</v>
      </c>
      <c r="G4840" t="s">
        <v>5251</v>
      </c>
    </row>
    <row r="4841" spans="1:7">
      <c r="A4841" t="s">
        <v>5148</v>
      </c>
      <c r="G4841" t="s">
        <v>5251</v>
      </c>
    </row>
    <row r="4842" spans="1:8">
      <c r="A4842" t="s">
        <v>4348</v>
      </c>
      <c r="G4842" t="s">
        <v>5251</v>
      </c>
      <c r="H4842">
        <v>4939097</v>
      </c>
    </row>
    <row r="4843" spans="1:7">
      <c r="A4843" t="s">
        <v>4401</v>
      </c>
      <c r="B4843">
        <v>5160097</v>
      </c>
      <c r="G4843" t="s">
        <v>5251</v>
      </c>
    </row>
    <row r="4844" spans="1:7">
      <c r="A4844" t="s">
        <v>4712</v>
      </c>
      <c r="G4844" t="s">
        <v>4309</v>
      </c>
    </row>
    <row r="4845" spans="1:7">
      <c r="A4845" t="s">
        <v>4455</v>
      </c>
      <c r="G4845" t="s">
        <v>4309</v>
      </c>
    </row>
    <row r="4846" spans="1:7">
      <c r="A4846" t="s">
        <v>4239</v>
      </c>
      <c r="G4846" t="s">
        <v>4008</v>
      </c>
    </row>
    <row r="4847" spans="1:7">
      <c r="A4847" t="s">
        <v>4211</v>
      </c>
      <c r="B4847">
        <v>5139097</v>
      </c>
      <c r="G4847" t="s">
        <v>4121</v>
      </c>
    </row>
    <row r="4848" spans="1:8">
      <c r="A4848" t="s">
        <v>5008</v>
      </c>
      <c r="G4848" t="s">
        <v>5252</v>
      </c>
      <c r="H4848">
        <v>5132097</v>
      </c>
    </row>
    <row r="4849" spans="1:7">
      <c r="A4849" t="s">
        <v>4768</v>
      </c>
      <c r="G4849" t="s">
        <v>5252</v>
      </c>
    </row>
    <row r="4850" spans="1:7">
      <c r="A4850" t="s">
        <v>4237</v>
      </c>
      <c r="G4850" t="s">
        <v>4908</v>
      </c>
    </row>
    <row r="4851" spans="1:7">
      <c r="A4851" t="s">
        <v>4052</v>
      </c>
      <c r="G4851" t="s">
        <v>4908</v>
      </c>
    </row>
    <row r="4852" spans="1:7">
      <c r="A4852" t="s">
        <v>4079</v>
      </c>
      <c r="G4852" t="s">
        <v>4961</v>
      </c>
    </row>
    <row r="4853" spans="1:7">
      <c r="A4853" t="s">
        <v>4132</v>
      </c>
      <c r="G4853" t="s">
        <v>4961</v>
      </c>
    </row>
    <row r="4854" spans="1:7">
      <c r="A4854" t="s">
        <v>4109</v>
      </c>
      <c r="G4854" t="s">
        <v>4961</v>
      </c>
    </row>
    <row r="4855" spans="1:7">
      <c r="A4855" t="s">
        <v>5253</v>
      </c>
      <c r="G4855" t="s">
        <v>4542</v>
      </c>
    </row>
    <row r="4856" spans="1:7">
      <c r="A4856" t="s">
        <v>4107</v>
      </c>
      <c r="G4856" t="s">
        <v>4542</v>
      </c>
    </row>
    <row r="4857" spans="1:7">
      <c r="A4857" t="s">
        <v>5247</v>
      </c>
      <c r="B4857">
        <v>5137097</v>
      </c>
      <c r="G4857" t="s">
        <v>4542</v>
      </c>
    </row>
    <row r="4858" spans="1:7">
      <c r="A4858" t="s">
        <v>5111</v>
      </c>
      <c r="G4858" t="s">
        <v>4542</v>
      </c>
    </row>
    <row r="4859" spans="1:7">
      <c r="A4859" t="s">
        <v>4147</v>
      </c>
      <c r="G4859" t="s">
        <v>4542</v>
      </c>
    </row>
    <row r="4860" spans="1:7">
      <c r="A4860" t="s">
        <v>5219</v>
      </c>
      <c r="G4860" t="s">
        <v>4542</v>
      </c>
    </row>
    <row r="4861" spans="1:7">
      <c r="A4861" t="s">
        <v>4173</v>
      </c>
      <c r="G4861" t="s">
        <v>4542</v>
      </c>
    </row>
    <row r="4862" spans="1:7">
      <c r="A4862" t="s">
        <v>4119</v>
      </c>
      <c r="G4862" t="s">
        <v>4542</v>
      </c>
    </row>
    <row r="4863" spans="1:7">
      <c r="A4863" t="s">
        <v>4516</v>
      </c>
      <c r="G4863" t="s">
        <v>4542</v>
      </c>
    </row>
    <row r="4864" spans="1:7">
      <c r="A4864" t="s">
        <v>5254</v>
      </c>
      <c r="B4864">
        <v>5159097</v>
      </c>
      <c r="G4864" t="s">
        <v>5255</v>
      </c>
    </row>
    <row r="4865" spans="1:7">
      <c r="A4865" t="s">
        <v>5025</v>
      </c>
      <c r="G4865" t="s">
        <v>4311</v>
      </c>
    </row>
    <row r="4866" spans="1:7">
      <c r="A4866" t="s">
        <v>4786</v>
      </c>
      <c r="G4866" t="s">
        <v>4234</v>
      </c>
    </row>
    <row r="4867" spans="1:7">
      <c r="A4867" t="s">
        <v>5256</v>
      </c>
      <c r="G4867" t="s">
        <v>4234</v>
      </c>
    </row>
    <row r="4868" spans="1:7">
      <c r="A4868" t="s">
        <v>5257</v>
      </c>
      <c r="B4868">
        <v>5152097</v>
      </c>
      <c r="G4868" t="s">
        <v>4234</v>
      </c>
    </row>
    <row r="4869" spans="1:7">
      <c r="A4869" t="s">
        <v>4477</v>
      </c>
      <c r="G4869" t="s">
        <v>4234</v>
      </c>
    </row>
    <row r="4870" spans="1:7">
      <c r="A4870" t="s">
        <v>4091</v>
      </c>
      <c r="G4870" t="s">
        <v>4234</v>
      </c>
    </row>
    <row r="4871" spans="1:7">
      <c r="A4871" t="s">
        <v>4814</v>
      </c>
      <c r="G4871" t="s">
        <v>4234</v>
      </c>
    </row>
    <row r="4872" spans="1:7">
      <c r="A4872" t="s">
        <v>4401</v>
      </c>
      <c r="G4872" t="s">
        <v>4234</v>
      </c>
    </row>
    <row r="4873" spans="1:7">
      <c r="A4873" t="s">
        <v>4516</v>
      </c>
      <c r="G4873" t="s">
        <v>4234</v>
      </c>
    </row>
    <row r="4874" spans="1:7">
      <c r="A4874" t="s">
        <v>4113</v>
      </c>
      <c r="G4874" t="s">
        <v>4234</v>
      </c>
    </row>
    <row r="4875" spans="1:7">
      <c r="A4875" t="s">
        <v>4620</v>
      </c>
      <c r="G4875" t="s">
        <v>4234</v>
      </c>
    </row>
    <row r="4876" spans="1:7">
      <c r="A4876" t="s">
        <v>4132</v>
      </c>
      <c r="B4876">
        <v>5134097</v>
      </c>
      <c r="G4876" t="s">
        <v>4234</v>
      </c>
    </row>
    <row r="4877" spans="1:7">
      <c r="A4877" t="s">
        <v>4119</v>
      </c>
      <c r="G4877" t="s">
        <v>4234</v>
      </c>
    </row>
    <row r="4878" spans="1:7">
      <c r="A4878" t="s">
        <v>4079</v>
      </c>
      <c r="G4878" t="s">
        <v>4234</v>
      </c>
    </row>
    <row r="4879" spans="1:7">
      <c r="A4879" t="s">
        <v>4768</v>
      </c>
      <c r="G4879" t="s">
        <v>4234</v>
      </c>
    </row>
    <row r="4880" spans="1:7">
      <c r="A4880" t="s">
        <v>4144</v>
      </c>
      <c r="G4880" t="s">
        <v>4234</v>
      </c>
    </row>
    <row r="4881" spans="1:7">
      <c r="A4881" t="s">
        <v>4052</v>
      </c>
      <c r="G4881" t="s">
        <v>4234</v>
      </c>
    </row>
    <row r="4882" spans="1:7">
      <c r="A4882" t="s">
        <v>5111</v>
      </c>
      <c r="G4882" t="s">
        <v>4234</v>
      </c>
    </row>
    <row r="4883" spans="1:7">
      <c r="A4883" t="s">
        <v>4290</v>
      </c>
      <c r="G4883" t="s">
        <v>4234</v>
      </c>
    </row>
    <row r="4884" spans="1:7">
      <c r="A4884" t="s">
        <v>4173</v>
      </c>
      <c r="B4884">
        <v>5151097</v>
      </c>
      <c r="G4884" t="s">
        <v>4234</v>
      </c>
    </row>
    <row r="4885" spans="1:7">
      <c r="A4885" t="s">
        <v>4284</v>
      </c>
      <c r="G4885" t="s">
        <v>4234</v>
      </c>
    </row>
    <row r="4886" spans="1:7">
      <c r="A4886" t="s">
        <v>4290</v>
      </c>
      <c r="G4886" t="s">
        <v>4234</v>
      </c>
    </row>
    <row r="4887" spans="1:7">
      <c r="A4887" t="s">
        <v>4180</v>
      </c>
      <c r="G4887" t="s">
        <v>4234</v>
      </c>
    </row>
    <row r="4888" spans="1:7">
      <c r="A4888" t="s">
        <v>4045</v>
      </c>
      <c r="G4888" t="s">
        <v>4234</v>
      </c>
    </row>
    <row r="4889" spans="1:7">
      <c r="A4889" t="s">
        <v>4656</v>
      </c>
      <c r="G4889" t="s">
        <v>4239</v>
      </c>
    </row>
    <row r="4890" spans="1:7">
      <c r="A4890" t="s">
        <v>4175</v>
      </c>
      <c r="G4890" t="s">
        <v>4239</v>
      </c>
    </row>
    <row r="4891" spans="1:7">
      <c r="A4891" t="s">
        <v>4704</v>
      </c>
      <c r="G4891" t="s">
        <v>4239</v>
      </c>
    </row>
    <row r="4892" spans="1:7">
      <c r="A4892" t="s">
        <v>4084</v>
      </c>
      <c r="G4892" t="s">
        <v>4239</v>
      </c>
    </row>
    <row r="4893" spans="1:8">
      <c r="A4893" t="s">
        <v>4136</v>
      </c>
      <c r="G4893" t="s">
        <v>4239</v>
      </c>
      <c r="H4893">
        <v>5335097</v>
      </c>
    </row>
    <row r="4894" spans="1:8">
      <c r="A4894" t="s">
        <v>4171</v>
      </c>
      <c r="G4894" t="s">
        <v>4239</v>
      </c>
      <c r="H4894">
        <v>5334097</v>
      </c>
    </row>
    <row r="4895" spans="1:7">
      <c r="A4895" t="s">
        <v>5169</v>
      </c>
      <c r="G4895" t="s">
        <v>4239</v>
      </c>
    </row>
    <row r="4896" spans="1:7">
      <c r="A4896" t="s">
        <v>4079</v>
      </c>
      <c r="G4896" t="s">
        <v>4239</v>
      </c>
    </row>
    <row r="4897" spans="1:7">
      <c r="A4897" t="s">
        <v>4971</v>
      </c>
      <c r="G4897" t="s">
        <v>4239</v>
      </c>
    </row>
    <row r="4898" spans="1:7">
      <c r="A4898" t="s">
        <v>4098</v>
      </c>
      <c r="G4898" t="s">
        <v>4239</v>
      </c>
    </row>
    <row r="4899" spans="1:7">
      <c r="A4899" t="s">
        <v>5163</v>
      </c>
      <c r="G4899" t="s">
        <v>4239</v>
      </c>
    </row>
    <row r="4900" spans="1:8">
      <c r="A4900" t="s">
        <v>4091</v>
      </c>
      <c r="G4900" t="s">
        <v>4239</v>
      </c>
      <c r="H4900">
        <v>5039097</v>
      </c>
    </row>
    <row r="4901" spans="1:8">
      <c r="A4901" t="s">
        <v>4767</v>
      </c>
      <c r="G4901" t="s">
        <v>4239</v>
      </c>
      <c r="H4901">
        <v>5027097</v>
      </c>
    </row>
    <row r="4902" spans="1:7">
      <c r="A4902" t="s">
        <v>4429</v>
      </c>
      <c r="B4902">
        <v>5150097</v>
      </c>
      <c r="G4902" t="s">
        <v>4239</v>
      </c>
    </row>
    <row r="4903" spans="1:7">
      <c r="A4903" t="s">
        <v>4438</v>
      </c>
      <c r="G4903" t="s">
        <v>4239</v>
      </c>
    </row>
    <row r="4904" spans="1:7">
      <c r="A4904" t="s">
        <v>4064</v>
      </c>
      <c r="G4904" t="s">
        <v>4239</v>
      </c>
    </row>
    <row r="4905" spans="1:7">
      <c r="A4905" t="s">
        <v>4085</v>
      </c>
      <c r="G4905" t="s">
        <v>4239</v>
      </c>
    </row>
    <row r="4906" spans="1:7">
      <c r="A4906" t="s">
        <v>5258</v>
      </c>
      <c r="G4906" t="s">
        <v>4239</v>
      </c>
    </row>
    <row r="4907" spans="1:7">
      <c r="A4907" t="s">
        <v>4294</v>
      </c>
      <c r="G4907" t="s">
        <v>5110</v>
      </c>
    </row>
    <row r="4908" spans="1:7">
      <c r="A4908" t="s">
        <v>4595</v>
      </c>
      <c r="G4908" t="s">
        <v>4665</v>
      </c>
    </row>
    <row r="4909" spans="1:7">
      <c r="A4909" t="s">
        <v>4932</v>
      </c>
      <c r="G4909" t="s">
        <v>5236</v>
      </c>
    </row>
    <row r="4910" spans="1:7">
      <c r="A4910" t="s">
        <v>4690</v>
      </c>
      <c r="G4910" t="s">
        <v>5236</v>
      </c>
    </row>
    <row r="4911" spans="1:7">
      <c r="A4911" t="s">
        <v>4694</v>
      </c>
      <c r="G4911" t="s">
        <v>5236</v>
      </c>
    </row>
    <row r="4912" spans="1:7">
      <c r="A4912" t="s">
        <v>4421</v>
      </c>
      <c r="G4912" t="s">
        <v>4174</v>
      </c>
    </row>
    <row r="4913" spans="1:7">
      <c r="A4913" t="s">
        <v>5259</v>
      </c>
      <c r="G4913" t="s">
        <v>4174</v>
      </c>
    </row>
    <row r="4914" spans="1:8">
      <c r="A4914" t="s">
        <v>5260</v>
      </c>
      <c r="G4914" t="s">
        <v>4174</v>
      </c>
      <c r="H4914">
        <v>5462097</v>
      </c>
    </row>
    <row r="4915" spans="1:7">
      <c r="A4915" t="s">
        <v>4820</v>
      </c>
      <c r="G4915" t="s">
        <v>4174</v>
      </c>
    </row>
    <row r="4916" spans="1:7">
      <c r="A4916" t="s">
        <v>4290</v>
      </c>
      <c r="G4916" t="s">
        <v>4174</v>
      </c>
    </row>
    <row r="4917" spans="1:7">
      <c r="A4917" t="s">
        <v>4695</v>
      </c>
      <c r="G4917" t="s">
        <v>5210</v>
      </c>
    </row>
    <row r="4918" spans="1:7">
      <c r="A4918" t="s">
        <v>4084</v>
      </c>
      <c r="G4918" t="s">
        <v>5210</v>
      </c>
    </row>
    <row r="4919" spans="1:7">
      <c r="A4919" t="s">
        <v>5261</v>
      </c>
      <c r="G4919" t="s">
        <v>4965</v>
      </c>
    </row>
    <row r="4920" spans="1:7">
      <c r="A4920" t="s">
        <v>5066</v>
      </c>
      <c r="G4920" t="s">
        <v>4297</v>
      </c>
    </row>
    <row r="4921" spans="1:7">
      <c r="A4921" t="s">
        <v>4929</v>
      </c>
      <c r="B4921">
        <v>5146097</v>
      </c>
      <c r="G4921" t="s">
        <v>4297</v>
      </c>
    </row>
    <row r="4922" spans="1:7">
      <c r="A4922" t="s">
        <v>4825</v>
      </c>
      <c r="G4922" t="s">
        <v>4772</v>
      </c>
    </row>
    <row r="4923" spans="1:7">
      <c r="A4923" t="s">
        <v>4975</v>
      </c>
      <c r="G4923" t="s">
        <v>4772</v>
      </c>
    </row>
    <row r="4924" spans="1:7">
      <c r="A4924" t="s">
        <v>4606</v>
      </c>
      <c r="G4924" t="s">
        <v>4772</v>
      </c>
    </row>
    <row r="4925" spans="1:7">
      <c r="A4925" t="s">
        <v>4562</v>
      </c>
      <c r="G4925" t="s">
        <v>4772</v>
      </c>
    </row>
    <row r="4926" spans="1:7">
      <c r="A4926" t="s">
        <v>4625</v>
      </c>
      <c r="G4926" t="s">
        <v>4772</v>
      </c>
    </row>
    <row r="4927" spans="1:7">
      <c r="A4927" t="s">
        <v>4543</v>
      </c>
      <c r="G4927" t="s">
        <v>4772</v>
      </c>
    </row>
    <row r="4928" spans="1:7">
      <c r="A4928" t="s">
        <v>4439</v>
      </c>
      <c r="G4928" t="s">
        <v>4772</v>
      </c>
    </row>
    <row r="4929" spans="1:7">
      <c r="A4929" t="s">
        <v>4285</v>
      </c>
      <c r="G4929" t="s">
        <v>4772</v>
      </c>
    </row>
    <row r="4930" spans="1:7">
      <c r="A4930" t="s">
        <v>4153</v>
      </c>
      <c r="G4930" t="s">
        <v>4772</v>
      </c>
    </row>
    <row r="4931" spans="1:7">
      <c r="A4931" t="s">
        <v>5072</v>
      </c>
      <c r="G4931" t="s">
        <v>4954</v>
      </c>
    </row>
    <row r="4932" spans="1:7">
      <c r="A4932" t="s">
        <v>4082</v>
      </c>
      <c r="G4932" t="s">
        <v>5160</v>
      </c>
    </row>
    <row r="4933" spans="1:7">
      <c r="A4933" t="s">
        <v>4767</v>
      </c>
      <c r="G4933" t="s">
        <v>4759</v>
      </c>
    </row>
    <row r="4934" spans="1:7">
      <c r="A4934" t="s">
        <v>4933</v>
      </c>
      <c r="B4934">
        <v>5133097</v>
      </c>
      <c r="G4934" t="s">
        <v>4759</v>
      </c>
    </row>
    <row r="4935" spans="1:7">
      <c r="A4935" t="s">
        <v>4266</v>
      </c>
      <c r="G4935" t="s">
        <v>4759</v>
      </c>
    </row>
    <row r="4936" spans="1:7">
      <c r="A4936" t="s">
        <v>4056</v>
      </c>
      <c r="B4936">
        <v>5141097</v>
      </c>
      <c r="G4936" t="s">
        <v>4759</v>
      </c>
    </row>
    <row r="4937" spans="1:7">
      <c r="A4937" t="s">
        <v>4625</v>
      </c>
      <c r="G4937" t="s">
        <v>4803</v>
      </c>
    </row>
    <row r="4938" spans="1:7">
      <c r="A4938" t="s">
        <v>4712</v>
      </c>
      <c r="G4938" t="s">
        <v>4803</v>
      </c>
    </row>
    <row r="4939" spans="1:8">
      <c r="A4939" t="s">
        <v>4562</v>
      </c>
      <c r="G4939" t="s">
        <v>5262</v>
      </c>
      <c r="H4939">
        <v>4934097</v>
      </c>
    </row>
    <row r="4940" spans="1:7">
      <c r="A4940" t="s">
        <v>4606</v>
      </c>
      <c r="G4940" t="s">
        <v>5263</v>
      </c>
    </row>
    <row r="4941" spans="1:7">
      <c r="A4941" t="s">
        <v>5143</v>
      </c>
      <c r="G4941" t="s">
        <v>5116</v>
      </c>
    </row>
    <row r="4942" spans="1:7">
      <c r="A4942" t="s">
        <v>4264</v>
      </c>
      <c r="G4942" t="s">
        <v>5264</v>
      </c>
    </row>
    <row r="4943" spans="1:7">
      <c r="A4943" t="s">
        <v>4153</v>
      </c>
      <c r="G4943" t="s">
        <v>3976</v>
      </c>
    </row>
    <row r="4944" spans="1:7">
      <c r="A4944" t="s">
        <v>4767</v>
      </c>
      <c r="G4944" t="s">
        <v>3976</v>
      </c>
    </row>
    <row r="4945" spans="1:7">
      <c r="A4945" t="s">
        <v>4079</v>
      </c>
      <c r="G4945" t="s">
        <v>3976</v>
      </c>
    </row>
    <row r="4946" spans="1:7">
      <c r="A4946" t="s">
        <v>4109</v>
      </c>
      <c r="G4946" t="s">
        <v>3976</v>
      </c>
    </row>
    <row r="4947" spans="1:7">
      <c r="A4947" t="s">
        <v>4543</v>
      </c>
      <c r="G4947" t="s">
        <v>3976</v>
      </c>
    </row>
    <row r="4948" spans="1:7">
      <c r="A4948" t="s">
        <v>4439</v>
      </c>
      <c r="G4948" t="s">
        <v>3976</v>
      </c>
    </row>
    <row r="4949" spans="1:7">
      <c r="A4949" t="s">
        <v>4161</v>
      </c>
      <c r="G4949" t="s">
        <v>3976</v>
      </c>
    </row>
    <row r="4950" spans="1:7">
      <c r="A4950" t="s">
        <v>4867</v>
      </c>
      <c r="G4950" t="s">
        <v>3976</v>
      </c>
    </row>
    <row r="4951" spans="1:7">
      <c r="A4951" t="s">
        <v>5075</v>
      </c>
      <c r="G4951" t="s">
        <v>5265</v>
      </c>
    </row>
    <row r="4952" spans="1:7">
      <c r="A4952" t="s">
        <v>4266</v>
      </c>
      <c r="G4952" t="s">
        <v>5265</v>
      </c>
    </row>
    <row r="4953" spans="1:7">
      <c r="A4953" t="s">
        <v>4266</v>
      </c>
      <c r="B4953">
        <v>5140097</v>
      </c>
      <c r="G4953" t="s">
        <v>5265</v>
      </c>
    </row>
    <row r="4954" spans="1:7">
      <c r="A4954" t="s">
        <v>5075</v>
      </c>
      <c r="G4954" t="s">
        <v>4953</v>
      </c>
    </row>
    <row r="4955" spans="1:7">
      <c r="A4955" t="s">
        <v>4824</v>
      </c>
      <c r="G4955" t="s">
        <v>4953</v>
      </c>
    </row>
    <row r="4956" spans="1:7">
      <c r="A4956" t="s">
        <v>5143</v>
      </c>
      <c r="G4956" t="s">
        <v>5266</v>
      </c>
    </row>
    <row r="4957" spans="1:7">
      <c r="A4957" t="s">
        <v>4368</v>
      </c>
      <c r="G4957" t="s">
        <v>4465</v>
      </c>
    </row>
    <row r="4958" spans="1:7">
      <c r="A4958" t="s">
        <v>4625</v>
      </c>
      <c r="G4958" t="s">
        <v>4465</v>
      </c>
    </row>
    <row r="4959" spans="1:7">
      <c r="A4959" t="s">
        <v>4712</v>
      </c>
      <c r="G4959" t="s">
        <v>4465</v>
      </c>
    </row>
    <row r="4960" spans="1:7">
      <c r="A4960" t="s">
        <v>4606</v>
      </c>
      <c r="G4960" t="s">
        <v>4465</v>
      </c>
    </row>
    <row r="4961" spans="1:7">
      <c r="A4961" t="s">
        <v>4933</v>
      </c>
      <c r="G4961" t="s">
        <v>4655</v>
      </c>
    </row>
    <row r="4962" spans="1:7">
      <c r="A4962" t="s">
        <v>4768</v>
      </c>
      <c r="G4962" t="s">
        <v>4655</v>
      </c>
    </row>
    <row r="4963" spans="1:7">
      <c r="A4963" t="s">
        <v>4562</v>
      </c>
      <c r="G4963" t="s">
        <v>4313</v>
      </c>
    </row>
    <row r="4964" spans="1:7">
      <c r="A4964" t="s">
        <v>4543</v>
      </c>
      <c r="G4964" t="s">
        <v>4313</v>
      </c>
    </row>
    <row r="4965" spans="1:7">
      <c r="A4965" t="s">
        <v>5267</v>
      </c>
      <c r="G4965" t="s">
        <v>4313</v>
      </c>
    </row>
    <row r="4966" spans="1:7">
      <c r="A4966" t="s">
        <v>4161</v>
      </c>
      <c r="G4966" t="s">
        <v>4313</v>
      </c>
    </row>
    <row r="4967" spans="1:7">
      <c r="A4967" t="s">
        <v>4153</v>
      </c>
      <c r="G4967" t="s">
        <v>4313</v>
      </c>
    </row>
    <row r="4968" spans="1:7">
      <c r="A4968" t="s">
        <v>4439</v>
      </c>
      <c r="G4968" t="s">
        <v>4313</v>
      </c>
    </row>
    <row r="4969" spans="1:7">
      <c r="A4969" t="s">
        <v>4062</v>
      </c>
      <c r="G4969" t="s">
        <v>4313</v>
      </c>
    </row>
    <row r="4970" spans="1:7">
      <c r="A4970" t="s">
        <v>4097</v>
      </c>
      <c r="G4970" t="s">
        <v>4313</v>
      </c>
    </row>
    <row r="4971" spans="1:7">
      <c r="A4971" t="s">
        <v>4415</v>
      </c>
      <c r="G4971" t="s">
        <v>4313</v>
      </c>
    </row>
    <row r="4972" spans="1:7">
      <c r="A4972" t="s">
        <v>4056</v>
      </c>
      <c r="G4972" t="s">
        <v>4550</v>
      </c>
    </row>
    <row r="4973" spans="1:7">
      <c r="A4973" t="s">
        <v>4578</v>
      </c>
      <c r="G4973" t="s">
        <v>4550</v>
      </c>
    </row>
    <row r="4974" spans="1:7">
      <c r="A4974" t="s">
        <v>4795</v>
      </c>
      <c r="G4974" t="s">
        <v>4550</v>
      </c>
    </row>
    <row r="4975" spans="1:7">
      <c r="A4975" t="s">
        <v>4767</v>
      </c>
      <c r="G4975" t="s">
        <v>5268</v>
      </c>
    </row>
    <row r="4976" spans="1:7">
      <c r="A4976" t="s">
        <v>4091</v>
      </c>
      <c r="G4976" t="s">
        <v>5256</v>
      </c>
    </row>
    <row r="4977" spans="1:7">
      <c r="A4977" t="s">
        <v>5269</v>
      </c>
      <c r="B4977">
        <v>5139097</v>
      </c>
      <c r="G4977" t="s">
        <v>5256</v>
      </c>
    </row>
    <row r="4978" spans="1:7">
      <c r="A4978" t="s">
        <v>4683</v>
      </c>
      <c r="G4978" t="s">
        <v>4739</v>
      </c>
    </row>
    <row r="4979" spans="1:8">
      <c r="A4979" t="s">
        <v>5172</v>
      </c>
      <c r="G4979" t="s">
        <v>4739</v>
      </c>
      <c r="H4979">
        <v>5400097</v>
      </c>
    </row>
    <row r="4980" spans="1:7">
      <c r="A4980" t="s">
        <v>4379</v>
      </c>
      <c r="G4980" t="s">
        <v>4739</v>
      </c>
    </row>
    <row r="4981" spans="1:8">
      <c r="A4981" t="s">
        <v>4382</v>
      </c>
      <c r="G4981" t="s">
        <v>5206</v>
      </c>
      <c r="H4981">
        <v>5216097</v>
      </c>
    </row>
    <row r="4982" spans="1:7">
      <c r="A4982" t="s">
        <v>5033</v>
      </c>
      <c r="G4982" t="s">
        <v>4529</v>
      </c>
    </row>
    <row r="4983" spans="1:7">
      <c r="A4983" t="s">
        <v>5270</v>
      </c>
      <c r="B4983">
        <v>5132097</v>
      </c>
      <c r="G4983" t="s">
        <v>4529</v>
      </c>
    </row>
    <row r="4984" spans="1:7">
      <c r="A4984" t="s">
        <v>4958</v>
      </c>
      <c r="G4984" t="s">
        <v>4529</v>
      </c>
    </row>
    <row r="4985" spans="1:7">
      <c r="A4985" t="s">
        <v>4787</v>
      </c>
      <c r="G4985" t="s">
        <v>4529</v>
      </c>
    </row>
    <row r="4986" spans="1:7">
      <c r="A4986" t="s">
        <v>4349</v>
      </c>
      <c r="G4986" t="s">
        <v>4138</v>
      </c>
    </row>
    <row r="4987" spans="1:7">
      <c r="A4987" t="s">
        <v>5075</v>
      </c>
      <c r="B4987">
        <v>5137097</v>
      </c>
      <c r="G4987" t="s">
        <v>5271</v>
      </c>
    </row>
    <row r="4988" spans="1:7">
      <c r="A4988" t="s">
        <v>4625</v>
      </c>
      <c r="G4988" t="s">
        <v>5024</v>
      </c>
    </row>
    <row r="4989" spans="1:7">
      <c r="A4989" t="s">
        <v>4824</v>
      </c>
      <c r="G4989" t="s">
        <v>5024</v>
      </c>
    </row>
    <row r="4990" spans="1:8">
      <c r="A4990" t="s">
        <v>4562</v>
      </c>
      <c r="G4990" t="s">
        <v>5020</v>
      </c>
      <c r="H4990">
        <v>5353097</v>
      </c>
    </row>
    <row r="4991" spans="1:7">
      <c r="A4991" t="s">
        <v>4606</v>
      </c>
      <c r="G4991" t="s">
        <v>5020</v>
      </c>
    </row>
    <row r="4992" spans="1:7">
      <c r="A4992" t="s">
        <v>4264</v>
      </c>
      <c r="G4992" t="s">
        <v>5020</v>
      </c>
    </row>
    <row r="4993" spans="1:7">
      <c r="A4993" t="s">
        <v>4543</v>
      </c>
      <c r="G4993" t="s">
        <v>5020</v>
      </c>
    </row>
    <row r="4994" spans="1:8">
      <c r="A4994" t="s">
        <v>4165</v>
      </c>
      <c r="G4994" t="s">
        <v>5020</v>
      </c>
      <c r="H4994">
        <v>4675097</v>
      </c>
    </row>
    <row r="4995" spans="1:7">
      <c r="A4995" t="s">
        <v>4633</v>
      </c>
      <c r="G4995" t="s">
        <v>5020</v>
      </c>
    </row>
    <row r="4996" spans="1:8">
      <c r="A4996" t="s">
        <v>4266</v>
      </c>
      <c r="G4996" t="s">
        <v>5020</v>
      </c>
      <c r="H4996">
        <v>4674097</v>
      </c>
    </row>
    <row r="4997" spans="1:8">
      <c r="A4997" t="s">
        <v>4056</v>
      </c>
      <c r="G4997" t="s">
        <v>5020</v>
      </c>
      <c r="H4997">
        <v>4670097</v>
      </c>
    </row>
    <row r="4998" spans="1:7">
      <c r="A4998" t="s">
        <v>4439</v>
      </c>
      <c r="G4998" t="s">
        <v>4895</v>
      </c>
    </row>
    <row r="4999" spans="1:7">
      <c r="A4999" t="s">
        <v>4767</v>
      </c>
      <c r="G4999" t="s">
        <v>4895</v>
      </c>
    </row>
    <row r="5000" spans="1:7">
      <c r="A5000" t="s">
        <v>4795</v>
      </c>
      <c r="G5000" t="s">
        <v>4220</v>
      </c>
    </row>
    <row r="5001" spans="1:7">
      <c r="A5001" t="s">
        <v>4437</v>
      </c>
      <c r="G5001" t="s">
        <v>5028</v>
      </c>
    </row>
    <row r="5002" spans="1:7">
      <c r="A5002" t="s">
        <v>4113</v>
      </c>
      <c r="G5002" t="s">
        <v>5028</v>
      </c>
    </row>
    <row r="5003" spans="1:7">
      <c r="A5003" t="s">
        <v>4082</v>
      </c>
      <c r="G5003" t="s">
        <v>4639</v>
      </c>
    </row>
    <row r="5004" spans="1:7">
      <c r="A5004" t="s">
        <v>4402</v>
      </c>
      <c r="G5004" t="s">
        <v>4639</v>
      </c>
    </row>
    <row r="5005" spans="1:7">
      <c r="A5005" t="s">
        <v>4079</v>
      </c>
      <c r="G5005" t="s">
        <v>4236</v>
      </c>
    </row>
    <row r="5006" spans="1:8">
      <c r="A5006" t="s">
        <v>4425</v>
      </c>
      <c r="B5006">
        <v>5134097</v>
      </c>
      <c r="G5006" t="s">
        <v>4236</v>
      </c>
      <c r="H5006">
        <v>5535097</v>
      </c>
    </row>
    <row r="5007" spans="1:8">
      <c r="A5007" t="s">
        <v>4437</v>
      </c>
      <c r="G5007" t="s">
        <v>4236</v>
      </c>
      <c r="H5007">
        <v>5537097</v>
      </c>
    </row>
    <row r="5008" spans="1:7">
      <c r="A5008" t="s">
        <v>4088</v>
      </c>
      <c r="G5008" t="s">
        <v>4236</v>
      </c>
    </row>
    <row r="5009" spans="1:7">
      <c r="A5009" t="s">
        <v>4084</v>
      </c>
      <c r="G5009" t="s">
        <v>4236</v>
      </c>
    </row>
    <row r="5010" spans="1:7">
      <c r="A5010" t="s">
        <v>4161</v>
      </c>
      <c r="G5010" t="s">
        <v>4236</v>
      </c>
    </row>
    <row r="5011" spans="1:7">
      <c r="A5011" t="s">
        <v>4617</v>
      </c>
      <c r="G5011" t="s">
        <v>4128</v>
      </c>
    </row>
    <row r="5012" spans="1:8">
      <c r="A5012" t="s">
        <v>4981</v>
      </c>
      <c r="G5012" t="s">
        <v>4128</v>
      </c>
      <c r="H5012">
        <v>5500097</v>
      </c>
    </row>
    <row r="5013" spans="1:7">
      <c r="A5013" t="s">
        <v>4178</v>
      </c>
      <c r="G5013" t="s">
        <v>4128</v>
      </c>
    </row>
    <row r="5014" spans="1:7">
      <c r="A5014" t="s">
        <v>4620</v>
      </c>
      <c r="G5014" t="s">
        <v>4128</v>
      </c>
    </row>
    <row r="5015" spans="1:7">
      <c r="A5015" t="s">
        <v>5272</v>
      </c>
      <c r="G5015" t="s">
        <v>4128</v>
      </c>
    </row>
    <row r="5016" spans="1:7">
      <c r="A5016" t="s">
        <v>4625</v>
      </c>
      <c r="G5016" t="s">
        <v>4128</v>
      </c>
    </row>
    <row r="5017" spans="1:7">
      <c r="A5017" t="s">
        <v>5075</v>
      </c>
      <c r="G5017" t="s">
        <v>4128</v>
      </c>
    </row>
    <row r="5018" spans="1:7">
      <c r="A5018" t="s">
        <v>5008</v>
      </c>
      <c r="G5018" t="s">
        <v>4128</v>
      </c>
    </row>
    <row r="5019" spans="1:7">
      <c r="A5019" t="s">
        <v>4085</v>
      </c>
      <c r="G5019" t="s">
        <v>4128</v>
      </c>
    </row>
    <row r="5020" spans="1:7">
      <c r="A5020" t="s">
        <v>4517</v>
      </c>
      <c r="G5020" t="s">
        <v>4128</v>
      </c>
    </row>
    <row r="5021" spans="1:8">
      <c r="A5021" t="s">
        <v>4055</v>
      </c>
      <c r="G5021" t="s">
        <v>4128</v>
      </c>
      <c r="H5021">
        <v>5413097</v>
      </c>
    </row>
    <row r="5022" spans="1:7">
      <c r="A5022" t="s">
        <v>4079</v>
      </c>
      <c r="G5022" t="s">
        <v>4128</v>
      </c>
    </row>
    <row r="5023" spans="1:7">
      <c r="A5023" t="s">
        <v>4062</v>
      </c>
      <c r="G5023" t="s">
        <v>4128</v>
      </c>
    </row>
    <row r="5024" spans="1:7">
      <c r="A5024" t="s">
        <v>4009</v>
      </c>
      <c r="G5024" t="s">
        <v>4128</v>
      </c>
    </row>
    <row r="5025" spans="1:8">
      <c r="A5025" t="s">
        <v>4769</v>
      </c>
      <c r="G5025" t="s">
        <v>4128</v>
      </c>
      <c r="H5025">
        <v>5386097</v>
      </c>
    </row>
    <row r="5026" spans="1:7">
      <c r="A5026" t="s">
        <v>4109</v>
      </c>
      <c r="G5026" t="s">
        <v>4128</v>
      </c>
    </row>
    <row r="5027" spans="1:7">
      <c r="A5027" t="s">
        <v>4559</v>
      </c>
      <c r="G5027" t="s">
        <v>4128</v>
      </c>
    </row>
    <row r="5028" spans="1:7">
      <c r="A5028" t="s">
        <v>4233</v>
      </c>
      <c r="G5028" t="s">
        <v>4128</v>
      </c>
    </row>
    <row r="5029" spans="1:8">
      <c r="A5029" t="s">
        <v>4566</v>
      </c>
      <c r="G5029" t="s">
        <v>4128</v>
      </c>
      <c r="H5029">
        <v>5170097</v>
      </c>
    </row>
    <row r="5030" spans="1:7">
      <c r="A5030" t="s">
        <v>4147</v>
      </c>
      <c r="G5030" t="s">
        <v>4128</v>
      </c>
    </row>
    <row r="5031" spans="1:7">
      <c r="A5031" t="s">
        <v>4930</v>
      </c>
      <c r="G5031" t="s">
        <v>4128</v>
      </c>
    </row>
    <row r="5032" spans="1:7">
      <c r="A5032" t="s">
        <v>5180</v>
      </c>
      <c r="G5032" t="s">
        <v>4128</v>
      </c>
    </row>
    <row r="5033" spans="1:7">
      <c r="A5033" t="s">
        <v>4731</v>
      </c>
      <c r="G5033" t="s">
        <v>4128</v>
      </c>
    </row>
    <row r="5034" spans="1:7">
      <c r="A5034" t="s">
        <v>4076</v>
      </c>
      <c r="G5034" t="s">
        <v>4128</v>
      </c>
    </row>
    <row r="5035" spans="1:7">
      <c r="A5035" t="s">
        <v>4231</v>
      </c>
      <c r="G5035" t="s">
        <v>4128</v>
      </c>
    </row>
    <row r="5036" spans="1:7">
      <c r="A5036" t="s">
        <v>5219</v>
      </c>
      <c r="G5036" t="s">
        <v>4128</v>
      </c>
    </row>
    <row r="5037" spans="1:8">
      <c r="A5037" t="s">
        <v>4194</v>
      </c>
      <c r="G5037" t="s">
        <v>5096</v>
      </c>
      <c r="H5037">
        <v>5318097</v>
      </c>
    </row>
    <row r="5038" spans="1:7">
      <c r="A5038" t="s">
        <v>4432</v>
      </c>
      <c r="G5038" t="s">
        <v>4658</v>
      </c>
    </row>
    <row r="5039" spans="1:7">
      <c r="A5039" t="s">
        <v>4153</v>
      </c>
      <c r="G5039" t="s">
        <v>4658</v>
      </c>
    </row>
    <row r="5040" spans="1:7">
      <c r="A5040" t="s">
        <v>4824</v>
      </c>
      <c r="G5040" t="s">
        <v>4658</v>
      </c>
    </row>
    <row r="5041" spans="1:7">
      <c r="A5041" t="s">
        <v>5224</v>
      </c>
      <c r="G5041" t="s">
        <v>4658</v>
      </c>
    </row>
    <row r="5042" spans="1:7">
      <c r="A5042" t="s">
        <v>4290</v>
      </c>
      <c r="G5042" t="s">
        <v>4658</v>
      </c>
    </row>
    <row r="5043" spans="1:7">
      <c r="A5043" t="s">
        <v>5251</v>
      </c>
      <c r="G5043" t="s">
        <v>4658</v>
      </c>
    </row>
    <row r="5044" spans="1:7">
      <c r="A5044" t="s">
        <v>5124</v>
      </c>
      <c r="G5044" t="s">
        <v>4658</v>
      </c>
    </row>
    <row r="5045" spans="1:7">
      <c r="A5045" t="s">
        <v>4578</v>
      </c>
      <c r="G5045" t="s">
        <v>4658</v>
      </c>
    </row>
    <row r="5046" spans="1:7">
      <c r="A5046" t="s">
        <v>4126</v>
      </c>
      <c r="G5046" t="s">
        <v>4848</v>
      </c>
    </row>
    <row r="5047" spans="1:7">
      <c r="A5047" t="s">
        <v>5186</v>
      </c>
      <c r="G5047" t="s">
        <v>5273</v>
      </c>
    </row>
    <row r="5048" spans="1:7">
      <c r="A5048" t="s">
        <v>4368</v>
      </c>
      <c r="G5048" t="s">
        <v>4334</v>
      </c>
    </row>
    <row r="5049" spans="1:8">
      <c r="A5049" t="s">
        <v>4097</v>
      </c>
      <c r="G5049" t="s">
        <v>4334</v>
      </c>
      <c r="H5049">
        <v>5504097</v>
      </c>
    </row>
    <row r="5050" spans="1:7">
      <c r="A5050" t="s">
        <v>5228</v>
      </c>
      <c r="G5050" t="s">
        <v>4334</v>
      </c>
    </row>
    <row r="5051" spans="1:8">
      <c r="A5051" t="s">
        <v>4418</v>
      </c>
      <c r="G5051" t="s">
        <v>4334</v>
      </c>
      <c r="H5051">
        <v>5014097</v>
      </c>
    </row>
    <row r="5052" spans="1:8">
      <c r="A5052" t="s">
        <v>5145</v>
      </c>
      <c r="B5052">
        <v>5130097</v>
      </c>
      <c r="G5052" t="s">
        <v>4334</v>
      </c>
      <c r="H5052">
        <v>4999097</v>
      </c>
    </row>
    <row r="5053" spans="1:8">
      <c r="A5053" t="s">
        <v>4211</v>
      </c>
      <c r="G5053" t="s">
        <v>4334</v>
      </c>
      <c r="H5053">
        <v>5012097</v>
      </c>
    </row>
    <row r="5054" spans="1:8">
      <c r="A5054" t="s">
        <v>4162</v>
      </c>
      <c r="G5054" t="s">
        <v>4334</v>
      </c>
      <c r="H5054">
        <v>4910097</v>
      </c>
    </row>
    <row r="5055" spans="1:7">
      <c r="A5055" t="s">
        <v>4285</v>
      </c>
      <c r="G5055" t="s">
        <v>4334</v>
      </c>
    </row>
    <row r="5056" spans="1:8">
      <c r="A5056" t="s">
        <v>4867</v>
      </c>
      <c r="G5056" t="s">
        <v>5143</v>
      </c>
      <c r="H5056">
        <v>5236097</v>
      </c>
    </row>
    <row r="5057" spans="1:7">
      <c r="A5057" t="s">
        <v>4723</v>
      </c>
      <c r="G5057" t="s">
        <v>5143</v>
      </c>
    </row>
    <row r="5058" spans="1:7">
      <c r="A5058" t="s">
        <v>4870</v>
      </c>
      <c r="G5058" t="s">
        <v>5143</v>
      </c>
    </row>
    <row r="5059" spans="1:7">
      <c r="A5059" t="s">
        <v>4439</v>
      </c>
      <c r="G5059" t="s">
        <v>5143</v>
      </c>
    </row>
    <row r="5060" spans="1:7">
      <c r="A5060" t="s">
        <v>4100</v>
      </c>
      <c r="G5060" t="s">
        <v>5143</v>
      </c>
    </row>
    <row r="5061" spans="1:7">
      <c r="A5061" t="s">
        <v>4520</v>
      </c>
      <c r="G5061" t="s">
        <v>5143</v>
      </c>
    </row>
    <row r="5062" spans="1:7">
      <c r="A5062" t="s">
        <v>4136</v>
      </c>
      <c r="G5062" t="s">
        <v>5143</v>
      </c>
    </row>
    <row r="5063" spans="1:7">
      <c r="A5063" t="s">
        <v>4264</v>
      </c>
      <c r="G5063" t="s">
        <v>5143</v>
      </c>
    </row>
    <row r="5064" spans="1:7">
      <c r="A5064" t="s">
        <v>4009</v>
      </c>
      <c r="B5064">
        <v>5133097</v>
      </c>
      <c r="G5064" t="s">
        <v>5143</v>
      </c>
    </row>
    <row r="5065" spans="1:7">
      <c r="A5065" t="s">
        <v>4930</v>
      </c>
      <c r="G5065" t="s">
        <v>5143</v>
      </c>
    </row>
    <row r="5066" spans="1:7">
      <c r="A5066" t="s">
        <v>4368</v>
      </c>
      <c r="G5066" t="s">
        <v>5143</v>
      </c>
    </row>
    <row r="5067" spans="1:7">
      <c r="A5067" t="s">
        <v>4286</v>
      </c>
      <c r="G5067" t="s">
        <v>5234</v>
      </c>
    </row>
    <row r="5068" spans="1:7">
      <c r="A5068" t="s">
        <v>4774</v>
      </c>
      <c r="G5068" t="s">
        <v>5234</v>
      </c>
    </row>
    <row r="5069" spans="1:7">
      <c r="A5069" t="s">
        <v>4520</v>
      </c>
      <c r="G5069" t="s">
        <v>5234</v>
      </c>
    </row>
    <row r="5070" spans="1:7">
      <c r="A5070" t="s">
        <v>5075</v>
      </c>
      <c r="B5070">
        <v>5124097</v>
      </c>
      <c r="G5070" t="s">
        <v>5234</v>
      </c>
    </row>
    <row r="5071" spans="1:7">
      <c r="A5071" t="s">
        <v>4769</v>
      </c>
      <c r="G5071" t="s">
        <v>5234</v>
      </c>
    </row>
    <row r="5072" spans="1:7">
      <c r="A5072" t="s">
        <v>5180</v>
      </c>
      <c r="G5072" t="s">
        <v>5234</v>
      </c>
    </row>
    <row r="5073" spans="1:7">
      <c r="A5073" t="s">
        <v>4666</v>
      </c>
      <c r="G5073" t="s">
        <v>5234</v>
      </c>
    </row>
    <row r="5074" spans="1:7">
      <c r="A5074" t="s">
        <v>4088</v>
      </c>
      <c r="G5074" t="s">
        <v>5234</v>
      </c>
    </row>
    <row r="5075" spans="1:7">
      <c r="A5075" t="s">
        <v>4153</v>
      </c>
      <c r="G5075" t="s">
        <v>5234</v>
      </c>
    </row>
    <row r="5076" spans="1:7">
      <c r="A5076" t="s">
        <v>4218</v>
      </c>
      <c r="G5076" t="s">
        <v>5234</v>
      </c>
    </row>
    <row r="5077" spans="1:7">
      <c r="A5077" t="s">
        <v>4578</v>
      </c>
      <c r="G5077" t="s">
        <v>5234</v>
      </c>
    </row>
    <row r="5078" spans="1:7">
      <c r="A5078" t="s">
        <v>4566</v>
      </c>
      <c r="G5078" t="s">
        <v>5234</v>
      </c>
    </row>
    <row r="5079" spans="1:7">
      <c r="A5079" t="s">
        <v>5008</v>
      </c>
      <c r="G5079" t="s">
        <v>5234</v>
      </c>
    </row>
    <row r="5080" spans="1:7">
      <c r="A5080" t="s">
        <v>5251</v>
      </c>
      <c r="G5080" t="s">
        <v>5234</v>
      </c>
    </row>
    <row r="5081" spans="1:7">
      <c r="A5081" t="s">
        <v>4143</v>
      </c>
      <c r="G5081" t="s">
        <v>5234</v>
      </c>
    </row>
    <row r="5082" spans="1:7">
      <c r="A5082" t="s">
        <v>4231</v>
      </c>
      <c r="G5082" t="s">
        <v>5234</v>
      </c>
    </row>
    <row r="5083" spans="1:7">
      <c r="A5083" t="s">
        <v>4211</v>
      </c>
      <c r="G5083" t="s">
        <v>5234</v>
      </c>
    </row>
    <row r="5084" spans="1:8">
      <c r="A5084" t="s">
        <v>4147</v>
      </c>
      <c r="G5084" t="s">
        <v>4098</v>
      </c>
      <c r="H5084">
        <v>5634097</v>
      </c>
    </row>
    <row r="5085" spans="1:7">
      <c r="A5085" t="s">
        <v>4731</v>
      </c>
      <c r="G5085" t="s">
        <v>4098</v>
      </c>
    </row>
    <row r="5086" spans="1:7">
      <c r="A5086" t="s">
        <v>4109</v>
      </c>
      <c r="G5086" t="s">
        <v>4098</v>
      </c>
    </row>
    <row r="5087" spans="1:7">
      <c r="A5087" t="s">
        <v>4084</v>
      </c>
      <c r="G5087" t="s">
        <v>4098</v>
      </c>
    </row>
    <row r="5088" spans="1:7">
      <c r="A5088" t="s">
        <v>4085</v>
      </c>
      <c r="G5088" t="s">
        <v>4098</v>
      </c>
    </row>
    <row r="5089" spans="1:7">
      <c r="A5089" t="s">
        <v>4437</v>
      </c>
      <c r="G5089" t="s">
        <v>4098</v>
      </c>
    </row>
    <row r="5090" spans="1:7">
      <c r="A5090" t="s">
        <v>4559</v>
      </c>
      <c r="G5090" t="s">
        <v>4098</v>
      </c>
    </row>
    <row r="5091" spans="1:7">
      <c r="A5091" t="s">
        <v>4425</v>
      </c>
      <c r="G5091" t="s">
        <v>4098</v>
      </c>
    </row>
    <row r="5092" spans="1:7">
      <c r="A5092" t="s">
        <v>4824</v>
      </c>
      <c r="G5092" t="s">
        <v>4098</v>
      </c>
    </row>
    <row r="5093" spans="1:7">
      <c r="A5093" t="s">
        <v>5224</v>
      </c>
      <c r="B5093">
        <v>5119097</v>
      </c>
      <c r="G5093" t="s">
        <v>4098</v>
      </c>
    </row>
    <row r="5094" spans="1:7">
      <c r="A5094" t="s">
        <v>4097</v>
      </c>
      <c r="G5094" t="s">
        <v>4098</v>
      </c>
    </row>
    <row r="5095" spans="1:7">
      <c r="A5095" t="s">
        <v>4290</v>
      </c>
      <c r="G5095" t="s">
        <v>4098</v>
      </c>
    </row>
    <row r="5096" spans="1:8">
      <c r="A5096" t="s">
        <v>5143</v>
      </c>
      <c r="G5096" t="s">
        <v>4098</v>
      </c>
      <c r="H5096">
        <v>5441097</v>
      </c>
    </row>
    <row r="5097" spans="1:7">
      <c r="A5097" t="s">
        <v>4233</v>
      </c>
      <c r="G5097" t="s">
        <v>4098</v>
      </c>
    </row>
    <row r="5098" spans="1:7">
      <c r="A5098" t="s">
        <v>4126</v>
      </c>
      <c r="G5098" t="s">
        <v>4098</v>
      </c>
    </row>
    <row r="5099" spans="1:7">
      <c r="A5099" t="s">
        <v>4162</v>
      </c>
      <c r="G5099" t="s">
        <v>4098</v>
      </c>
    </row>
    <row r="5100" spans="1:7">
      <c r="A5100" t="s">
        <v>4440</v>
      </c>
      <c r="G5100" t="s">
        <v>4098</v>
      </c>
    </row>
    <row r="5101" spans="1:7">
      <c r="A5101" t="s">
        <v>4136</v>
      </c>
      <c r="G5101" t="s">
        <v>4098</v>
      </c>
    </row>
    <row r="5102" spans="1:7">
      <c r="A5102" t="s">
        <v>4571</v>
      </c>
      <c r="G5102" t="s">
        <v>4098</v>
      </c>
    </row>
    <row r="5103" spans="1:7">
      <c r="A5103" t="s">
        <v>4917</v>
      </c>
      <c r="G5103" t="s">
        <v>4098</v>
      </c>
    </row>
    <row r="5104" spans="1:7">
      <c r="A5104" t="s">
        <v>4723</v>
      </c>
      <c r="G5104" t="s">
        <v>4098</v>
      </c>
    </row>
    <row r="5105" spans="1:7">
      <c r="A5105" t="s">
        <v>5272</v>
      </c>
      <c r="G5105" t="s">
        <v>4098</v>
      </c>
    </row>
    <row r="5106" spans="1:7">
      <c r="A5106" t="s">
        <v>4870</v>
      </c>
      <c r="G5106" t="s">
        <v>4098</v>
      </c>
    </row>
    <row r="5107" spans="1:7">
      <c r="A5107" t="s">
        <v>4178</v>
      </c>
      <c r="G5107" t="s">
        <v>4098</v>
      </c>
    </row>
    <row r="5108" spans="1:7">
      <c r="A5108" t="s">
        <v>4517</v>
      </c>
      <c r="G5108" t="s">
        <v>4098</v>
      </c>
    </row>
    <row r="5109" spans="1:7">
      <c r="A5109" t="s">
        <v>4439</v>
      </c>
      <c r="G5109" t="s">
        <v>4098</v>
      </c>
    </row>
    <row r="5110" spans="1:7">
      <c r="A5110" t="s">
        <v>4055</v>
      </c>
      <c r="G5110" t="s">
        <v>4098</v>
      </c>
    </row>
    <row r="5111" spans="1:7">
      <c r="A5111" t="s">
        <v>4620</v>
      </c>
      <c r="G5111" t="s">
        <v>4098</v>
      </c>
    </row>
    <row r="5112" spans="1:7">
      <c r="A5112" t="s">
        <v>4625</v>
      </c>
      <c r="G5112" t="s">
        <v>4098</v>
      </c>
    </row>
    <row r="5113" spans="1:7">
      <c r="A5113" t="s">
        <v>5252</v>
      </c>
      <c r="B5113">
        <v>5132097</v>
      </c>
      <c r="G5113" t="s">
        <v>4098</v>
      </c>
    </row>
    <row r="5114" spans="1:7">
      <c r="A5114" t="s">
        <v>4125</v>
      </c>
      <c r="G5114" t="s">
        <v>4098</v>
      </c>
    </row>
    <row r="5115" spans="1:8">
      <c r="A5115" t="s">
        <v>4154</v>
      </c>
      <c r="G5115" t="s">
        <v>4098</v>
      </c>
      <c r="H5115">
        <v>5216097</v>
      </c>
    </row>
    <row r="5116" spans="1:7">
      <c r="A5116" t="s">
        <v>4828</v>
      </c>
      <c r="G5116" t="s">
        <v>4098</v>
      </c>
    </row>
    <row r="5117" spans="1:7">
      <c r="A5117" t="s">
        <v>4117</v>
      </c>
      <c r="G5117" t="s">
        <v>4098</v>
      </c>
    </row>
    <row r="5118" spans="1:7">
      <c r="A5118" t="s">
        <v>4799</v>
      </c>
      <c r="G5118" t="s">
        <v>4098</v>
      </c>
    </row>
    <row r="5119" spans="1:7">
      <c r="A5119" t="s">
        <v>4919</v>
      </c>
      <c r="G5119" t="s">
        <v>4098</v>
      </c>
    </row>
    <row r="5120" spans="1:7">
      <c r="A5120" t="s">
        <v>4128</v>
      </c>
      <c r="G5120" t="s">
        <v>4098</v>
      </c>
    </row>
    <row r="5121" spans="1:7">
      <c r="A5121" t="s">
        <v>4136</v>
      </c>
      <c r="G5121" t="s">
        <v>4098</v>
      </c>
    </row>
    <row r="5122" spans="1:7">
      <c r="A5122" t="s">
        <v>4827</v>
      </c>
      <c r="G5122" t="s">
        <v>4098</v>
      </c>
    </row>
    <row r="5123" spans="1:7">
      <c r="A5123" t="s">
        <v>4088</v>
      </c>
      <c r="G5123" t="s">
        <v>4098</v>
      </c>
    </row>
    <row r="5124" spans="1:7">
      <c r="A5124" t="s">
        <v>4175</v>
      </c>
      <c r="B5124">
        <v>5116097</v>
      </c>
      <c r="G5124" t="s">
        <v>4098</v>
      </c>
    </row>
    <row r="5125" spans="1:7">
      <c r="A5125" t="s">
        <v>4455</v>
      </c>
      <c r="G5125" t="s">
        <v>4098</v>
      </c>
    </row>
    <row r="5126" spans="1:7">
      <c r="A5126" t="s">
        <v>5140</v>
      </c>
      <c r="G5126" t="s">
        <v>4098</v>
      </c>
    </row>
    <row r="5127" spans="1:7">
      <c r="A5127" t="s">
        <v>4107</v>
      </c>
      <c r="G5127" t="s">
        <v>4098</v>
      </c>
    </row>
    <row r="5128" spans="1:7">
      <c r="A5128" t="s">
        <v>5041</v>
      </c>
      <c r="G5128" t="s">
        <v>4098</v>
      </c>
    </row>
    <row r="5129" spans="1:7">
      <c r="A5129" t="s">
        <v>5036</v>
      </c>
      <c r="G5129" t="s">
        <v>4391</v>
      </c>
    </row>
    <row r="5130" spans="1:7">
      <c r="A5130" t="s">
        <v>4179</v>
      </c>
      <c r="G5130" t="s">
        <v>4391</v>
      </c>
    </row>
    <row r="5131" spans="1:8">
      <c r="A5131" t="s">
        <v>4697</v>
      </c>
      <c r="G5131" t="s">
        <v>4391</v>
      </c>
      <c r="H5131">
        <v>4872097</v>
      </c>
    </row>
    <row r="5132" spans="1:7">
      <c r="A5132" t="s">
        <v>4186</v>
      </c>
      <c r="G5132" t="s">
        <v>4391</v>
      </c>
    </row>
    <row r="5133" spans="1:7">
      <c r="A5133" t="s">
        <v>4237</v>
      </c>
      <c r="G5133" t="s">
        <v>4391</v>
      </c>
    </row>
    <row r="5134" spans="1:7">
      <c r="A5134" t="s">
        <v>4252</v>
      </c>
      <c r="G5134" t="s">
        <v>4391</v>
      </c>
    </row>
    <row r="5135" spans="1:7">
      <c r="A5135" t="s">
        <v>4052</v>
      </c>
      <c r="G5135" t="s">
        <v>4391</v>
      </c>
    </row>
    <row r="5136" spans="1:7">
      <c r="A5136" t="s">
        <v>4152</v>
      </c>
      <c r="G5136" t="s">
        <v>4391</v>
      </c>
    </row>
    <row r="5137" spans="1:7">
      <c r="A5137" t="s">
        <v>5138</v>
      </c>
      <c r="G5137" t="s">
        <v>4391</v>
      </c>
    </row>
    <row r="5138" spans="1:7">
      <c r="A5138" t="s">
        <v>4091</v>
      </c>
      <c r="G5138" t="s">
        <v>4391</v>
      </c>
    </row>
    <row r="5139" spans="1:7">
      <c r="A5139" t="s">
        <v>4230</v>
      </c>
      <c r="G5139" t="s">
        <v>4391</v>
      </c>
    </row>
    <row r="5140" spans="1:7">
      <c r="A5140" t="s">
        <v>4092</v>
      </c>
      <c r="G5140" t="s">
        <v>4391</v>
      </c>
    </row>
    <row r="5141" spans="1:8">
      <c r="A5141" t="s">
        <v>4516</v>
      </c>
      <c r="G5141" t="s">
        <v>4391</v>
      </c>
      <c r="H5141">
        <v>4852097</v>
      </c>
    </row>
    <row r="5142" spans="1:7">
      <c r="A5142" t="s">
        <v>5251</v>
      </c>
      <c r="G5142" t="s">
        <v>4391</v>
      </c>
    </row>
    <row r="5143" spans="1:7">
      <c r="A5143" t="s">
        <v>4538</v>
      </c>
      <c r="G5143" t="s">
        <v>4391</v>
      </c>
    </row>
    <row r="5144" spans="1:7">
      <c r="A5144" t="s">
        <v>4181</v>
      </c>
      <c r="G5144" t="s">
        <v>4391</v>
      </c>
    </row>
    <row r="5145" spans="1:7">
      <c r="A5145" t="s">
        <v>4155</v>
      </c>
      <c r="G5145" t="s">
        <v>4391</v>
      </c>
    </row>
    <row r="5146" spans="1:7">
      <c r="A5146" t="s">
        <v>5193</v>
      </c>
      <c r="G5146" t="s">
        <v>4391</v>
      </c>
    </row>
    <row r="5147" spans="1:7">
      <c r="A5147" t="s">
        <v>4549</v>
      </c>
      <c r="G5147" t="s">
        <v>4391</v>
      </c>
    </row>
    <row r="5148" spans="1:8">
      <c r="A5148" t="s">
        <v>4084</v>
      </c>
      <c r="G5148" t="s">
        <v>4391</v>
      </c>
      <c r="H5148">
        <v>4838097</v>
      </c>
    </row>
    <row r="5149" spans="1:8">
      <c r="A5149" t="s">
        <v>4978</v>
      </c>
      <c r="G5149" t="s">
        <v>4391</v>
      </c>
      <c r="H5149">
        <v>4821097</v>
      </c>
    </row>
    <row r="5150" spans="1:7">
      <c r="A5150" t="s">
        <v>4085</v>
      </c>
      <c r="B5150">
        <v>5115097</v>
      </c>
      <c r="G5150" t="s">
        <v>4391</v>
      </c>
    </row>
    <row r="5151" spans="1:7">
      <c r="A5151" t="s">
        <v>4373</v>
      </c>
      <c r="G5151" t="s">
        <v>4391</v>
      </c>
    </row>
    <row r="5152" spans="1:7">
      <c r="A5152" t="s">
        <v>5145</v>
      </c>
      <c r="G5152" t="s">
        <v>4391</v>
      </c>
    </row>
    <row r="5153" spans="1:8">
      <c r="A5153" t="s">
        <v>4720</v>
      </c>
      <c r="G5153" t="s">
        <v>4391</v>
      </c>
      <c r="H5153">
        <v>4811097</v>
      </c>
    </row>
    <row r="5154" spans="1:8">
      <c r="A5154" t="s">
        <v>4079</v>
      </c>
      <c r="G5154" t="s">
        <v>4391</v>
      </c>
      <c r="H5154">
        <v>4782097</v>
      </c>
    </row>
    <row r="5155" spans="1:7">
      <c r="A5155" t="s">
        <v>4119</v>
      </c>
      <c r="G5155" t="s">
        <v>4391</v>
      </c>
    </row>
    <row r="5156" spans="1:7">
      <c r="A5156" t="s">
        <v>4233</v>
      </c>
      <c r="G5156" t="s">
        <v>4391</v>
      </c>
    </row>
    <row r="5157" spans="1:7">
      <c r="A5157" t="s">
        <v>4824</v>
      </c>
      <c r="G5157" t="s">
        <v>4391</v>
      </c>
    </row>
    <row r="5158" spans="1:7">
      <c r="A5158" t="s">
        <v>4165</v>
      </c>
      <c r="G5158" t="s">
        <v>4391</v>
      </c>
    </row>
    <row r="5159" spans="1:7">
      <c r="A5159" t="s">
        <v>4550</v>
      </c>
      <c r="G5159" t="s">
        <v>4391</v>
      </c>
    </row>
    <row r="5160" spans="1:7">
      <c r="A5160" t="s">
        <v>4821</v>
      </c>
      <c r="G5160" t="s">
        <v>4391</v>
      </c>
    </row>
    <row r="5161" spans="1:7">
      <c r="A5161" t="s">
        <v>4929</v>
      </c>
      <c r="G5161" t="s">
        <v>4391</v>
      </c>
    </row>
    <row r="5162" spans="1:7">
      <c r="A5162" t="s">
        <v>4143</v>
      </c>
      <c r="G5162" t="s">
        <v>4391</v>
      </c>
    </row>
    <row r="5163" spans="1:7">
      <c r="A5163" t="s">
        <v>4870</v>
      </c>
      <c r="G5163" t="s">
        <v>4391</v>
      </c>
    </row>
    <row r="5164" spans="1:7">
      <c r="A5164" t="s">
        <v>5274</v>
      </c>
      <c r="G5164" t="s">
        <v>4280</v>
      </c>
    </row>
    <row r="5165" spans="1:8">
      <c r="A5165" t="s">
        <v>4826</v>
      </c>
      <c r="G5165" t="s">
        <v>4280</v>
      </c>
      <c r="H5165">
        <v>5412097</v>
      </c>
    </row>
    <row r="5166" spans="1:7">
      <c r="A5166" t="s">
        <v>4820</v>
      </c>
      <c r="G5166" t="s">
        <v>4280</v>
      </c>
    </row>
    <row r="5167" spans="1:7">
      <c r="A5167" t="s">
        <v>4372</v>
      </c>
      <c r="G5167" t="s">
        <v>4280</v>
      </c>
    </row>
    <row r="5168" spans="1:7">
      <c r="A5168" t="s">
        <v>4570</v>
      </c>
      <c r="G5168" t="s">
        <v>4280</v>
      </c>
    </row>
    <row r="5169" spans="1:7">
      <c r="A5169" t="s">
        <v>4724</v>
      </c>
      <c r="G5169" t="s">
        <v>4280</v>
      </c>
    </row>
    <row r="5170" spans="1:7">
      <c r="A5170" t="s">
        <v>4122</v>
      </c>
      <c r="G5170" t="s">
        <v>4280</v>
      </c>
    </row>
    <row r="5171" spans="1:7">
      <c r="A5171" t="s">
        <v>4911</v>
      </c>
      <c r="G5171" t="s">
        <v>4280</v>
      </c>
    </row>
    <row r="5172" spans="1:7">
      <c r="A5172" t="s">
        <v>4086</v>
      </c>
      <c r="G5172" t="s">
        <v>5275</v>
      </c>
    </row>
    <row r="5173" spans="1:7">
      <c r="A5173" t="s">
        <v>4948</v>
      </c>
      <c r="G5173" t="s">
        <v>4105</v>
      </c>
    </row>
    <row r="5174" spans="1:7">
      <c r="A5174" t="s">
        <v>4701</v>
      </c>
      <c r="G5174" t="s">
        <v>4105</v>
      </c>
    </row>
    <row r="5175" spans="1:7">
      <c r="A5175" t="s">
        <v>5017</v>
      </c>
      <c r="G5175" t="s">
        <v>4105</v>
      </c>
    </row>
    <row r="5176" spans="1:7">
      <c r="A5176" t="s">
        <v>4507</v>
      </c>
      <c r="G5176" t="s">
        <v>3979</v>
      </c>
    </row>
    <row r="5177" spans="1:7">
      <c r="A5177" t="s">
        <v>4589</v>
      </c>
      <c r="B5177">
        <v>5109097</v>
      </c>
      <c r="G5177" t="s">
        <v>3979</v>
      </c>
    </row>
    <row r="5178" spans="1:8">
      <c r="A5178" t="s">
        <v>4341</v>
      </c>
      <c r="G5178" t="s">
        <v>4231</v>
      </c>
      <c r="H5178">
        <v>5563097</v>
      </c>
    </row>
    <row r="5179" spans="1:7">
      <c r="A5179" t="s">
        <v>4097</v>
      </c>
      <c r="G5179" t="s">
        <v>4231</v>
      </c>
    </row>
    <row r="5180" spans="1:7">
      <c r="A5180" t="s">
        <v>4437</v>
      </c>
      <c r="G5180" t="s">
        <v>4231</v>
      </c>
    </row>
    <row r="5181" spans="1:7">
      <c r="A5181" t="s">
        <v>4147</v>
      </c>
      <c r="G5181" t="s">
        <v>4231</v>
      </c>
    </row>
    <row r="5182" spans="1:7">
      <c r="A5182" t="s">
        <v>4071</v>
      </c>
      <c r="B5182">
        <v>5130097</v>
      </c>
      <c r="G5182" t="s">
        <v>4231</v>
      </c>
    </row>
    <row r="5183" spans="1:7">
      <c r="A5183" t="s">
        <v>5276</v>
      </c>
      <c r="G5183" t="s">
        <v>4231</v>
      </c>
    </row>
    <row r="5184" spans="1:7">
      <c r="A5184" t="s">
        <v>4085</v>
      </c>
      <c r="G5184" t="s">
        <v>4231</v>
      </c>
    </row>
    <row r="5185" spans="1:7">
      <c r="A5185" t="s">
        <v>5277</v>
      </c>
      <c r="G5185" t="s">
        <v>4231</v>
      </c>
    </row>
    <row r="5186" spans="1:7">
      <c r="A5186" t="s">
        <v>4173</v>
      </c>
      <c r="G5186" t="s">
        <v>4231</v>
      </c>
    </row>
    <row r="5187" spans="1:7">
      <c r="A5187" t="s">
        <v>4266</v>
      </c>
      <c r="G5187" t="s">
        <v>4231</v>
      </c>
    </row>
    <row r="5188" spans="1:7">
      <c r="A5188" t="s">
        <v>4824</v>
      </c>
      <c r="B5188">
        <v>5108097</v>
      </c>
      <c r="G5188" t="s">
        <v>4231</v>
      </c>
    </row>
    <row r="5189" spans="1:7">
      <c r="A5189" t="s">
        <v>5278</v>
      </c>
      <c r="G5189" t="s">
        <v>4166</v>
      </c>
    </row>
    <row r="5190" spans="1:7">
      <c r="A5190" t="s">
        <v>5279</v>
      </c>
      <c r="G5190" t="s">
        <v>4166</v>
      </c>
    </row>
    <row r="5191" spans="1:7">
      <c r="A5191" t="s">
        <v>5280</v>
      </c>
      <c r="G5191" t="s">
        <v>4166</v>
      </c>
    </row>
    <row r="5192" spans="1:7">
      <c r="A5192" t="s">
        <v>5188</v>
      </c>
      <c r="G5192" t="s">
        <v>4166</v>
      </c>
    </row>
    <row r="5193" spans="1:7">
      <c r="A5193" t="s">
        <v>4995</v>
      </c>
      <c r="G5193" t="s">
        <v>4166</v>
      </c>
    </row>
    <row r="5194" spans="1:7">
      <c r="A5194" t="s">
        <v>4844</v>
      </c>
      <c r="G5194" t="s">
        <v>4166</v>
      </c>
    </row>
    <row r="5195" spans="1:7">
      <c r="A5195" t="s">
        <v>4652</v>
      </c>
      <c r="G5195" t="s">
        <v>4166</v>
      </c>
    </row>
    <row r="5196" spans="1:7">
      <c r="A5196" t="s">
        <v>4620</v>
      </c>
      <c r="G5196" t="s">
        <v>4166</v>
      </c>
    </row>
    <row r="5197" spans="1:7">
      <c r="A5197" t="s">
        <v>4240</v>
      </c>
      <c r="G5197" t="s">
        <v>4166</v>
      </c>
    </row>
    <row r="5198" spans="1:7">
      <c r="A5198" t="s">
        <v>5281</v>
      </c>
      <c r="G5198" t="s">
        <v>4166</v>
      </c>
    </row>
    <row r="5199" spans="1:7">
      <c r="A5199" t="s">
        <v>4049</v>
      </c>
      <c r="G5199" t="s">
        <v>4166</v>
      </c>
    </row>
    <row r="5200" spans="1:7">
      <c r="A5200" t="s">
        <v>4543</v>
      </c>
      <c r="B5200">
        <v>5124097</v>
      </c>
      <c r="G5200" t="s">
        <v>4166</v>
      </c>
    </row>
    <row r="5201" spans="1:7">
      <c r="A5201" t="s">
        <v>4055</v>
      </c>
      <c r="G5201" t="s">
        <v>4166</v>
      </c>
    </row>
    <row r="5202" spans="1:7">
      <c r="A5202" t="s">
        <v>4161</v>
      </c>
      <c r="G5202" t="s">
        <v>4331</v>
      </c>
    </row>
    <row r="5203" spans="1:7">
      <c r="A5203" t="s">
        <v>4162</v>
      </c>
      <c r="G5203" t="s">
        <v>4331</v>
      </c>
    </row>
    <row r="5204" spans="1:7">
      <c r="A5204" t="s">
        <v>4109</v>
      </c>
      <c r="G5204" t="s">
        <v>4331</v>
      </c>
    </row>
    <row r="5205" spans="1:7">
      <c r="A5205" t="s">
        <v>4211</v>
      </c>
      <c r="G5205" t="s">
        <v>4331</v>
      </c>
    </row>
    <row r="5206" spans="1:7">
      <c r="A5206" t="s">
        <v>5072</v>
      </c>
      <c r="G5206" t="s">
        <v>4331</v>
      </c>
    </row>
    <row r="5207" spans="1:7">
      <c r="A5207" t="s">
        <v>4084</v>
      </c>
      <c r="G5207" t="s">
        <v>4331</v>
      </c>
    </row>
    <row r="5208" spans="1:7">
      <c r="A5208" t="s">
        <v>4290</v>
      </c>
      <c r="G5208" t="s">
        <v>4331</v>
      </c>
    </row>
    <row r="5209" spans="1:7">
      <c r="A5209" t="s">
        <v>5251</v>
      </c>
      <c r="G5209" t="s">
        <v>4331</v>
      </c>
    </row>
    <row r="5210" spans="1:7">
      <c r="A5210" t="s">
        <v>4658</v>
      </c>
      <c r="G5210" t="s">
        <v>4331</v>
      </c>
    </row>
    <row r="5211" spans="1:7">
      <c r="A5211" t="s">
        <v>5282</v>
      </c>
      <c r="G5211" t="s">
        <v>4331</v>
      </c>
    </row>
    <row r="5212" spans="1:7">
      <c r="A5212" t="s">
        <v>4767</v>
      </c>
      <c r="G5212" t="s">
        <v>4331</v>
      </c>
    </row>
    <row r="5213" spans="1:7">
      <c r="A5213" t="s">
        <v>4996</v>
      </c>
      <c r="G5213" t="s">
        <v>4331</v>
      </c>
    </row>
    <row r="5214" spans="1:7">
      <c r="A5214" t="s">
        <v>4091</v>
      </c>
      <c r="B5214">
        <v>5107097</v>
      </c>
      <c r="G5214" t="s">
        <v>4331</v>
      </c>
    </row>
    <row r="5215" spans="1:7">
      <c r="A5215" t="s">
        <v>5124</v>
      </c>
      <c r="G5215" t="s">
        <v>4331</v>
      </c>
    </row>
    <row r="5216" spans="1:7">
      <c r="A5216" t="s">
        <v>4633</v>
      </c>
      <c r="G5216" t="s">
        <v>4336</v>
      </c>
    </row>
    <row r="5217" spans="1:7">
      <c r="A5217" t="s">
        <v>4173</v>
      </c>
      <c r="G5217" t="s">
        <v>4336</v>
      </c>
    </row>
    <row r="5218" spans="1:7">
      <c r="A5218" t="s">
        <v>4082</v>
      </c>
      <c r="G5218" t="s">
        <v>4336</v>
      </c>
    </row>
    <row r="5219" spans="1:7">
      <c r="A5219" t="s">
        <v>4824</v>
      </c>
      <c r="G5219" t="s">
        <v>4336</v>
      </c>
    </row>
    <row r="5220" spans="1:7">
      <c r="A5220" t="s">
        <v>4105</v>
      </c>
      <c r="G5220" t="s">
        <v>4336</v>
      </c>
    </row>
    <row r="5221" spans="1:7">
      <c r="A5221" t="s">
        <v>4187</v>
      </c>
      <c r="G5221" t="s">
        <v>4336</v>
      </c>
    </row>
    <row r="5222" spans="1:7">
      <c r="A5222" t="s">
        <v>5186</v>
      </c>
      <c r="G5222" t="s">
        <v>4336</v>
      </c>
    </row>
    <row r="5223" spans="1:8">
      <c r="A5223" t="s">
        <v>4180</v>
      </c>
      <c r="B5223">
        <v>5119097</v>
      </c>
      <c r="G5223" t="s">
        <v>4336</v>
      </c>
      <c r="H5223">
        <v>5347097</v>
      </c>
    </row>
    <row r="5224" spans="1:7">
      <c r="A5224" t="s">
        <v>4091</v>
      </c>
      <c r="G5224" t="s">
        <v>4336</v>
      </c>
    </row>
    <row r="5225" spans="1:8">
      <c r="A5225" t="s">
        <v>4079</v>
      </c>
      <c r="G5225" t="s">
        <v>4336</v>
      </c>
      <c r="H5225">
        <v>5115097</v>
      </c>
    </row>
    <row r="5226" spans="1:7">
      <c r="A5226" t="s">
        <v>4435</v>
      </c>
      <c r="G5226" t="s">
        <v>4336</v>
      </c>
    </row>
    <row r="5227" spans="1:7">
      <c r="A5227" t="s">
        <v>4092</v>
      </c>
      <c r="G5227" t="s">
        <v>4336</v>
      </c>
    </row>
    <row r="5228" spans="1:7">
      <c r="A5228" t="s">
        <v>4132</v>
      </c>
      <c r="G5228" t="s">
        <v>4336</v>
      </c>
    </row>
    <row r="5229" spans="1:7">
      <c r="A5229" t="s">
        <v>4144</v>
      </c>
      <c r="G5229" t="s">
        <v>4336</v>
      </c>
    </row>
    <row r="5230" spans="1:7">
      <c r="A5230" t="s">
        <v>4613</v>
      </c>
      <c r="G5230" t="s">
        <v>4336</v>
      </c>
    </row>
    <row r="5231" spans="1:7">
      <c r="A5231" t="s">
        <v>4768</v>
      </c>
      <c r="G5231" t="s">
        <v>4336</v>
      </c>
    </row>
    <row r="5232" spans="1:7">
      <c r="A5232" t="s">
        <v>4085</v>
      </c>
      <c r="G5232" t="s">
        <v>4336</v>
      </c>
    </row>
    <row r="5233" spans="1:7">
      <c r="A5233" t="s">
        <v>4171</v>
      </c>
      <c r="G5233" t="s">
        <v>4336</v>
      </c>
    </row>
    <row r="5234" spans="1:7">
      <c r="A5234" t="s">
        <v>5163</v>
      </c>
      <c r="G5234" t="s">
        <v>4336</v>
      </c>
    </row>
    <row r="5235" spans="1:7">
      <c r="A5235" t="s">
        <v>4477</v>
      </c>
      <c r="G5235" t="s">
        <v>4336</v>
      </c>
    </row>
    <row r="5236" spans="1:7">
      <c r="A5236" t="s">
        <v>5109</v>
      </c>
      <c r="G5236" t="s">
        <v>4336</v>
      </c>
    </row>
    <row r="5237" spans="1:7">
      <c r="A5237" t="s">
        <v>4097</v>
      </c>
      <c r="G5237" t="s">
        <v>4336</v>
      </c>
    </row>
    <row r="5238" spans="1:7">
      <c r="A5238" t="s">
        <v>4084</v>
      </c>
      <c r="G5238" t="s">
        <v>4336</v>
      </c>
    </row>
    <row r="5239" spans="1:7">
      <c r="A5239" t="s">
        <v>4126</v>
      </c>
      <c r="G5239" t="s">
        <v>4336</v>
      </c>
    </row>
    <row r="5240" spans="1:7">
      <c r="A5240" t="s">
        <v>4147</v>
      </c>
      <c r="G5240" t="s">
        <v>4336</v>
      </c>
    </row>
    <row r="5241" spans="1:7">
      <c r="A5241" t="s">
        <v>4112</v>
      </c>
      <c r="G5241" t="s">
        <v>4336</v>
      </c>
    </row>
    <row r="5242" spans="1:7">
      <c r="A5242" t="s">
        <v>4437</v>
      </c>
      <c r="G5242" t="s">
        <v>4336</v>
      </c>
    </row>
    <row r="5243" spans="1:8">
      <c r="A5243" t="s">
        <v>4626</v>
      </c>
      <c r="G5243" t="s">
        <v>4336</v>
      </c>
      <c r="H5243">
        <v>4897097</v>
      </c>
    </row>
    <row r="5244" spans="1:7">
      <c r="A5244" t="s">
        <v>5037</v>
      </c>
      <c r="G5244" t="s">
        <v>4336</v>
      </c>
    </row>
    <row r="5245" spans="1:7">
      <c r="A5245" t="s">
        <v>4136</v>
      </c>
      <c r="G5245" t="s">
        <v>4336</v>
      </c>
    </row>
    <row r="5246" spans="1:7">
      <c r="A5246" t="s">
        <v>4959</v>
      </c>
      <c r="G5246" t="s">
        <v>4336</v>
      </c>
    </row>
    <row r="5247" spans="1:7">
      <c r="A5247" t="s">
        <v>4824</v>
      </c>
      <c r="G5247" t="s">
        <v>4336</v>
      </c>
    </row>
    <row r="5248" spans="1:7">
      <c r="A5248" t="s">
        <v>4211</v>
      </c>
      <c r="G5248" t="s">
        <v>4336</v>
      </c>
    </row>
    <row r="5249" spans="1:7">
      <c r="A5249" t="s">
        <v>4098</v>
      </c>
      <c r="G5249" t="s">
        <v>4336</v>
      </c>
    </row>
    <row r="5250" spans="1:7">
      <c r="A5250" t="s">
        <v>4744</v>
      </c>
      <c r="G5250" t="s">
        <v>4336</v>
      </c>
    </row>
    <row r="5251" spans="1:7">
      <c r="A5251" t="s">
        <v>4920</v>
      </c>
      <c r="G5251" t="s">
        <v>4336</v>
      </c>
    </row>
    <row r="5252" spans="1:7">
      <c r="A5252" t="s">
        <v>4103</v>
      </c>
      <c r="G5252" t="s">
        <v>4336</v>
      </c>
    </row>
    <row r="5253" spans="1:8">
      <c r="A5253" t="s">
        <v>4237</v>
      </c>
      <c r="B5253">
        <v>5105097</v>
      </c>
      <c r="G5253" t="s">
        <v>4336</v>
      </c>
      <c r="H5253">
        <v>4858097</v>
      </c>
    </row>
    <row r="5254" spans="1:7">
      <c r="A5254" t="s">
        <v>4363</v>
      </c>
      <c r="B5254">
        <v>5116097</v>
      </c>
      <c r="G5254" t="s">
        <v>4336</v>
      </c>
    </row>
    <row r="5255" spans="1:7">
      <c r="A5255" t="s">
        <v>4483</v>
      </c>
      <c r="G5255" t="s">
        <v>4336</v>
      </c>
    </row>
    <row r="5256" spans="1:7">
      <c r="A5256" t="s">
        <v>5144</v>
      </c>
      <c r="G5256" t="s">
        <v>4336</v>
      </c>
    </row>
    <row r="5257" spans="1:7">
      <c r="A5257" t="s">
        <v>4358</v>
      </c>
      <c r="G5257" t="s">
        <v>4336</v>
      </c>
    </row>
    <row r="5258" spans="1:7">
      <c r="A5258" t="s">
        <v>4333</v>
      </c>
      <c r="G5258" t="s">
        <v>4336</v>
      </c>
    </row>
    <row r="5259" spans="1:7">
      <c r="A5259" t="s">
        <v>5033</v>
      </c>
      <c r="G5259" t="s">
        <v>4336</v>
      </c>
    </row>
    <row r="5260" spans="1:7">
      <c r="A5260" t="s">
        <v>4377</v>
      </c>
      <c r="G5260" t="s">
        <v>4336</v>
      </c>
    </row>
    <row r="5261" spans="1:7">
      <c r="A5261" t="s">
        <v>4832</v>
      </c>
      <c r="G5261" t="s">
        <v>4336</v>
      </c>
    </row>
    <row r="5262" spans="1:7">
      <c r="A5262" t="s">
        <v>4821</v>
      </c>
      <c r="G5262" t="s">
        <v>4336</v>
      </c>
    </row>
    <row r="5263" spans="1:7">
      <c r="A5263" t="s">
        <v>4356</v>
      </c>
      <c r="G5263" t="s">
        <v>4336</v>
      </c>
    </row>
    <row r="5264" spans="1:7">
      <c r="A5264" t="s">
        <v>5026</v>
      </c>
      <c r="G5264" t="s">
        <v>4336</v>
      </c>
    </row>
    <row r="5265" spans="1:7">
      <c r="A5265" t="s">
        <v>5119</v>
      </c>
      <c r="B5265">
        <v>5104097</v>
      </c>
      <c r="G5265" t="s">
        <v>4336</v>
      </c>
    </row>
    <row r="5266" spans="1:8">
      <c r="A5266" t="s">
        <v>4964</v>
      </c>
      <c r="G5266" t="s">
        <v>4336</v>
      </c>
      <c r="H5266">
        <v>4822097</v>
      </c>
    </row>
    <row r="5267" spans="1:7">
      <c r="A5267" t="s">
        <v>4868</v>
      </c>
      <c r="G5267" t="s">
        <v>4336</v>
      </c>
    </row>
    <row r="5268" spans="1:7">
      <c r="A5268" t="s">
        <v>4352</v>
      </c>
      <c r="G5268" t="s">
        <v>4336</v>
      </c>
    </row>
    <row r="5269" spans="1:8">
      <c r="A5269" t="s">
        <v>4362</v>
      </c>
      <c r="G5269" t="s">
        <v>4336</v>
      </c>
      <c r="H5269">
        <v>4784097</v>
      </c>
    </row>
    <row r="5270" spans="1:8">
      <c r="A5270" t="s">
        <v>4772</v>
      </c>
      <c r="G5270" t="s">
        <v>4336</v>
      </c>
      <c r="H5270">
        <v>4794097</v>
      </c>
    </row>
    <row r="5271" spans="1:7">
      <c r="A5271" t="s">
        <v>4082</v>
      </c>
      <c r="G5271" t="s">
        <v>4336</v>
      </c>
    </row>
    <row r="5272" spans="1:7">
      <c r="A5272" t="s">
        <v>4481</v>
      </c>
      <c r="G5272" t="s">
        <v>4336</v>
      </c>
    </row>
    <row r="5273" spans="1:7">
      <c r="A5273" t="s">
        <v>5283</v>
      </c>
      <c r="G5273" t="s">
        <v>4336</v>
      </c>
    </row>
    <row r="5274" spans="1:7">
      <c r="A5274" t="s">
        <v>4347</v>
      </c>
      <c r="G5274" t="s">
        <v>4336</v>
      </c>
    </row>
    <row r="5275" spans="1:7">
      <c r="A5275" t="s">
        <v>4381</v>
      </c>
      <c r="G5275" t="s">
        <v>4336</v>
      </c>
    </row>
    <row r="5276" spans="1:7">
      <c r="A5276" t="s">
        <v>4331</v>
      </c>
      <c r="G5276" t="s">
        <v>4336</v>
      </c>
    </row>
    <row r="5277" spans="1:7">
      <c r="A5277" t="s">
        <v>4336</v>
      </c>
      <c r="G5277" t="s">
        <v>4336</v>
      </c>
    </row>
    <row r="5278" spans="1:7">
      <c r="A5278" t="s">
        <v>4354</v>
      </c>
      <c r="G5278" t="s">
        <v>4336</v>
      </c>
    </row>
    <row r="5279" spans="1:7">
      <c r="A5279" t="s">
        <v>4982</v>
      </c>
      <c r="G5279" t="s">
        <v>4336</v>
      </c>
    </row>
    <row r="5280" spans="1:7">
      <c r="A5280" t="s">
        <v>4336</v>
      </c>
      <c r="B5280">
        <v>5115097</v>
      </c>
      <c r="G5280" t="s">
        <v>4336</v>
      </c>
    </row>
    <row r="5281" spans="1:7">
      <c r="A5281" t="s">
        <v>4483</v>
      </c>
      <c r="G5281" t="s">
        <v>4336</v>
      </c>
    </row>
    <row r="5282" spans="1:7">
      <c r="A5282" t="s">
        <v>4333</v>
      </c>
      <c r="G5282" t="s">
        <v>4336</v>
      </c>
    </row>
    <row r="5283" spans="1:7">
      <c r="A5283" t="s">
        <v>4340</v>
      </c>
      <c r="G5283" t="s">
        <v>4100</v>
      </c>
    </row>
    <row r="5284" spans="1:7">
      <c r="A5284" t="s">
        <v>4982</v>
      </c>
      <c r="G5284" t="s">
        <v>4100</v>
      </c>
    </row>
    <row r="5285" spans="1:7">
      <c r="A5285" t="s">
        <v>4130</v>
      </c>
      <c r="G5285" t="s">
        <v>4100</v>
      </c>
    </row>
    <row r="5286" spans="1:7">
      <c r="A5286" t="s">
        <v>4352</v>
      </c>
      <c r="G5286" t="s">
        <v>4100</v>
      </c>
    </row>
    <row r="5287" spans="1:7">
      <c r="A5287" t="s">
        <v>4821</v>
      </c>
      <c r="G5287" t="s">
        <v>4100</v>
      </c>
    </row>
    <row r="5288" spans="1:7">
      <c r="A5288" t="s">
        <v>4363</v>
      </c>
      <c r="G5288" t="s">
        <v>4148</v>
      </c>
    </row>
    <row r="5289" spans="1:7">
      <c r="A5289" t="s">
        <v>4354</v>
      </c>
      <c r="G5289" t="s">
        <v>4148</v>
      </c>
    </row>
    <row r="5290" spans="1:7">
      <c r="A5290" t="s">
        <v>4358</v>
      </c>
      <c r="G5290" t="s">
        <v>4148</v>
      </c>
    </row>
    <row r="5291" spans="1:7">
      <c r="A5291" t="s">
        <v>5283</v>
      </c>
      <c r="G5291" t="s">
        <v>4148</v>
      </c>
    </row>
    <row r="5292" spans="1:7">
      <c r="A5292" t="s">
        <v>5144</v>
      </c>
      <c r="G5292" t="s">
        <v>4148</v>
      </c>
    </row>
    <row r="5293" spans="1:7">
      <c r="A5293" t="s">
        <v>4868</v>
      </c>
      <c r="G5293" t="s">
        <v>4148</v>
      </c>
    </row>
    <row r="5294" spans="1:7">
      <c r="A5294" t="s">
        <v>4964</v>
      </c>
      <c r="G5294" t="s">
        <v>4148</v>
      </c>
    </row>
    <row r="5295" spans="1:7">
      <c r="A5295" t="s">
        <v>5119</v>
      </c>
      <c r="G5295" t="s">
        <v>4148</v>
      </c>
    </row>
    <row r="5296" spans="1:7">
      <c r="A5296" t="s">
        <v>4481</v>
      </c>
      <c r="B5296">
        <v>5102097</v>
      </c>
      <c r="G5296" t="s">
        <v>4148</v>
      </c>
    </row>
    <row r="5297" spans="1:7">
      <c r="A5297" t="s">
        <v>4377</v>
      </c>
      <c r="G5297" t="s">
        <v>4148</v>
      </c>
    </row>
    <row r="5298" spans="1:8">
      <c r="A5298" t="s">
        <v>4832</v>
      </c>
      <c r="G5298" t="s">
        <v>5284</v>
      </c>
      <c r="H5298">
        <v>5105097</v>
      </c>
    </row>
    <row r="5299" spans="1:8">
      <c r="A5299" t="s">
        <v>4772</v>
      </c>
      <c r="G5299" t="s">
        <v>5284</v>
      </c>
      <c r="H5299">
        <v>4755097</v>
      </c>
    </row>
    <row r="5300" spans="1:7">
      <c r="A5300" t="s">
        <v>4338</v>
      </c>
      <c r="G5300" t="s">
        <v>5285</v>
      </c>
    </row>
    <row r="5301" spans="1:7">
      <c r="A5301" t="s">
        <v>4331</v>
      </c>
      <c r="G5301" t="s">
        <v>4619</v>
      </c>
    </row>
    <row r="5302" spans="1:7">
      <c r="A5302" t="s">
        <v>4082</v>
      </c>
      <c r="G5302" t="s">
        <v>4619</v>
      </c>
    </row>
    <row r="5303" spans="1:7">
      <c r="A5303" t="s">
        <v>4381</v>
      </c>
      <c r="G5303" t="s">
        <v>4619</v>
      </c>
    </row>
    <row r="5304" spans="1:7">
      <c r="A5304" t="s">
        <v>4347</v>
      </c>
      <c r="G5304" t="s">
        <v>4619</v>
      </c>
    </row>
    <row r="5305" spans="1:7">
      <c r="A5305" t="s">
        <v>4356</v>
      </c>
      <c r="G5305" t="s">
        <v>4619</v>
      </c>
    </row>
    <row r="5306" spans="1:7">
      <c r="A5306" t="s">
        <v>4362</v>
      </c>
      <c r="G5306" t="s">
        <v>4619</v>
      </c>
    </row>
    <row r="5307" spans="1:7">
      <c r="A5307" t="s">
        <v>4109</v>
      </c>
      <c r="B5307">
        <v>5109097</v>
      </c>
      <c r="G5307" t="s">
        <v>4369</v>
      </c>
    </row>
    <row r="5308" spans="1:7">
      <c r="A5308" t="s">
        <v>5031</v>
      </c>
      <c r="G5308" t="s">
        <v>4369</v>
      </c>
    </row>
    <row r="5309" spans="1:7">
      <c r="A5309" t="s">
        <v>4459</v>
      </c>
      <c r="G5309" t="s">
        <v>4369</v>
      </c>
    </row>
    <row r="5310" spans="1:7">
      <c r="A5310" t="s">
        <v>4723</v>
      </c>
      <c r="G5310" t="s">
        <v>4369</v>
      </c>
    </row>
    <row r="5311" spans="1:8">
      <c r="A5311" t="s">
        <v>5188</v>
      </c>
      <c r="B5311">
        <v>5101097</v>
      </c>
      <c r="G5311" t="s">
        <v>4369</v>
      </c>
      <c r="H5311">
        <v>5432097</v>
      </c>
    </row>
    <row r="5312" spans="1:7">
      <c r="A5312" t="s">
        <v>4786</v>
      </c>
      <c r="G5312" t="s">
        <v>4369</v>
      </c>
    </row>
    <row r="5313" spans="1:7">
      <c r="A5313" t="s">
        <v>4056</v>
      </c>
      <c r="G5313" t="s">
        <v>4369</v>
      </c>
    </row>
    <row r="5314" spans="1:7">
      <c r="A5314" t="s">
        <v>5161</v>
      </c>
      <c r="G5314" t="s">
        <v>4495</v>
      </c>
    </row>
    <row r="5315" spans="1:7">
      <c r="A5315" t="s">
        <v>4112</v>
      </c>
      <c r="G5315" t="s">
        <v>5286</v>
      </c>
    </row>
    <row r="5316" spans="1:7">
      <c r="A5316" t="s">
        <v>5287</v>
      </c>
      <c r="G5316" t="s">
        <v>5286</v>
      </c>
    </row>
    <row r="5317" spans="1:7">
      <c r="A5317" t="s">
        <v>4824</v>
      </c>
      <c r="G5317" t="s">
        <v>5258</v>
      </c>
    </row>
    <row r="5318" spans="1:7">
      <c r="A5318" t="s">
        <v>4178</v>
      </c>
      <c r="B5318">
        <v>5108097</v>
      </c>
      <c r="G5318" t="s">
        <v>5247</v>
      </c>
    </row>
    <row r="5319" spans="1:8">
      <c r="A5319" t="s">
        <v>4237</v>
      </c>
      <c r="G5319" t="s">
        <v>5247</v>
      </c>
      <c r="H5319">
        <v>5137097</v>
      </c>
    </row>
    <row r="5320" spans="1:7">
      <c r="A5320" t="s">
        <v>4136</v>
      </c>
      <c r="G5320" t="s">
        <v>4894</v>
      </c>
    </row>
    <row r="5321" spans="1:7">
      <c r="A5321" t="s">
        <v>4079</v>
      </c>
      <c r="G5321" t="s">
        <v>4894</v>
      </c>
    </row>
    <row r="5322" spans="1:7">
      <c r="A5322" t="s">
        <v>4085</v>
      </c>
      <c r="G5322" t="s">
        <v>4894</v>
      </c>
    </row>
    <row r="5323" spans="1:7">
      <c r="A5323" t="s">
        <v>5288</v>
      </c>
      <c r="G5323" t="s">
        <v>4178</v>
      </c>
    </row>
    <row r="5324" spans="1:7">
      <c r="A5324" t="s">
        <v>4769</v>
      </c>
      <c r="G5324" t="s">
        <v>4178</v>
      </c>
    </row>
    <row r="5325" spans="1:7">
      <c r="A5325" t="s">
        <v>5130</v>
      </c>
      <c r="G5325" t="s">
        <v>4178</v>
      </c>
    </row>
    <row r="5326" spans="1:7">
      <c r="A5326" t="s">
        <v>4128</v>
      </c>
      <c r="G5326" t="s">
        <v>4178</v>
      </c>
    </row>
    <row r="5327" spans="1:8">
      <c r="A5327" t="s">
        <v>4126</v>
      </c>
      <c r="G5327" t="s">
        <v>4178</v>
      </c>
      <c r="H5327">
        <v>5108097</v>
      </c>
    </row>
    <row r="5328" spans="1:8">
      <c r="A5328" t="s">
        <v>4233</v>
      </c>
      <c r="G5328" t="s">
        <v>4178</v>
      </c>
      <c r="H5328">
        <v>5058097</v>
      </c>
    </row>
    <row r="5329" spans="1:7">
      <c r="A5329" t="s">
        <v>4936</v>
      </c>
      <c r="G5329" t="s">
        <v>4178</v>
      </c>
    </row>
    <row r="5330" spans="1:7">
      <c r="A5330" t="s">
        <v>4115</v>
      </c>
      <c r="B5330">
        <v>5100097</v>
      </c>
      <c r="G5330" t="s">
        <v>4178</v>
      </c>
    </row>
    <row r="5331" spans="1:7">
      <c r="A5331" t="s">
        <v>4625</v>
      </c>
      <c r="G5331" t="s">
        <v>4178</v>
      </c>
    </row>
    <row r="5332" spans="1:7">
      <c r="A5332" t="s">
        <v>5289</v>
      </c>
      <c r="G5332" t="s">
        <v>4178</v>
      </c>
    </row>
    <row r="5333" spans="1:7">
      <c r="A5333" t="s">
        <v>5143</v>
      </c>
      <c r="G5333" t="s">
        <v>4178</v>
      </c>
    </row>
    <row r="5334" spans="1:7">
      <c r="A5334" t="s">
        <v>4824</v>
      </c>
      <c r="G5334" t="s">
        <v>4178</v>
      </c>
    </row>
    <row r="5335" spans="1:7">
      <c r="A5335" t="s">
        <v>5186</v>
      </c>
      <c r="G5335" t="s">
        <v>5290</v>
      </c>
    </row>
    <row r="5336" spans="1:7">
      <c r="A5336" t="s">
        <v>5188</v>
      </c>
      <c r="G5336" t="s">
        <v>4253</v>
      </c>
    </row>
    <row r="5337" spans="1:7">
      <c r="A5337" t="s">
        <v>4454</v>
      </c>
      <c r="G5337" t="s">
        <v>4253</v>
      </c>
    </row>
    <row r="5338" spans="1:7">
      <c r="A5338" t="s">
        <v>4457</v>
      </c>
      <c r="G5338" t="s">
        <v>4253</v>
      </c>
    </row>
    <row r="5339" spans="1:8">
      <c r="A5339" t="s">
        <v>5145</v>
      </c>
      <c r="G5339" t="s">
        <v>4253</v>
      </c>
      <c r="H5339">
        <v>4757097</v>
      </c>
    </row>
    <row r="5340" spans="1:7">
      <c r="A5340" t="s">
        <v>4714</v>
      </c>
      <c r="G5340" t="s">
        <v>5071</v>
      </c>
    </row>
    <row r="5341" spans="1:7">
      <c r="A5341" t="s">
        <v>4368</v>
      </c>
      <c r="G5341" t="s">
        <v>5071</v>
      </c>
    </row>
    <row r="5342" spans="1:7">
      <c r="A5342" t="s">
        <v>4952</v>
      </c>
      <c r="G5342" t="s">
        <v>5071</v>
      </c>
    </row>
    <row r="5343" spans="1:7">
      <c r="A5343" t="s">
        <v>5037</v>
      </c>
      <c r="G5343" t="s">
        <v>5291</v>
      </c>
    </row>
    <row r="5344" spans="1:7">
      <c r="A5344" t="s">
        <v>5002</v>
      </c>
      <c r="B5344">
        <v>5107097</v>
      </c>
      <c r="G5344" t="s">
        <v>5292</v>
      </c>
    </row>
    <row r="5345" spans="1:7">
      <c r="A5345" t="s">
        <v>4313</v>
      </c>
      <c r="G5345" t="s">
        <v>5292</v>
      </c>
    </row>
    <row r="5346" spans="1:7">
      <c r="A5346" t="s">
        <v>4424</v>
      </c>
      <c r="G5346" t="s">
        <v>4949</v>
      </c>
    </row>
    <row r="5347" spans="1:7">
      <c r="A5347" t="s">
        <v>4324</v>
      </c>
      <c r="B5347">
        <v>5099097</v>
      </c>
      <c r="G5347" t="s">
        <v>4949</v>
      </c>
    </row>
    <row r="5348" spans="1:7">
      <c r="A5348" t="s">
        <v>4048</v>
      </c>
      <c r="G5348" t="s">
        <v>4949</v>
      </c>
    </row>
    <row r="5349" spans="1:7">
      <c r="A5349" t="s">
        <v>4289</v>
      </c>
      <c r="G5349" t="s">
        <v>4949</v>
      </c>
    </row>
    <row r="5350" spans="1:7">
      <c r="A5350" t="s">
        <v>4596</v>
      </c>
      <c r="G5350" t="s">
        <v>5046</v>
      </c>
    </row>
    <row r="5351" spans="1:7">
      <c r="A5351" t="s">
        <v>4224</v>
      </c>
      <c r="G5351" t="s">
        <v>5046</v>
      </c>
    </row>
    <row r="5352" spans="1:7">
      <c r="A5352" t="s">
        <v>4300</v>
      </c>
      <c r="G5352" t="s">
        <v>4112</v>
      </c>
    </row>
    <row r="5353" spans="1:7">
      <c r="A5353" t="s">
        <v>4297</v>
      </c>
      <c r="G5353" t="s">
        <v>4112</v>
      </c>
    </row>
    <row r="5354" spans="1:7">
      <c r="A5354" t="s">
        <v>5293</v>
      </c>
      <c r="G5354" t="s">
        <v>4112</v>
      </c>
    </row>
    <row r="5355" spans="1:7">
      <c r="A5355" t="s">
        <v>4290</v>
      </c>
      <c r="G5355" t="s">
        <v>4112</v>
      </c>
    </row>
    <row r="5356" spans="1:7">
      <c r="A5356" t="s">
        <v>5244</v>
      </c>
      <c r="G5356" t="s">
        <v>4112</v>
      </c>
    </row>
    <row r="5357" spans="1:7">
      <c r="A5357" t="s">
        <v>4105</v>
      </c>
      <c r="G5357" t="s">
        <v>4112</v>
      </c>
    </row>
    <row r="5358" spans="1:7">
      <c r="A5358" t="s">
        <v>4625</v>
      </c>
      <c r="G5358" t="s">
        <v>4112</v>
      </c>
    </row>
    <row r="5359" spans="1:7">
      <c r="A5359" t="s">
        <v>4217</v>
      </c>
      <c r="G5359" t="s">
        <v>4112</v>
      </c>
    </row>
    <row r="5360" spans="1:7">
      <c r="A5360" t="s">
        <v>5294</v>
      </c>
      <c r="G5360" t="s">
        <v>4112</v>
      </c>
    </row>
    <row r="5361" spans="1:7">
      <c r="A5361" t="s">
        <v>5225</v>
      </c>
      <c r="G5361" t="s">
        <v>4112</v>
      </c>
    </row>
    <row r="5362" spans="1:7">
      <c r="A5362" t="s">
        <v>4591</v>
      </c>
      <c r="G5362" t="s">
        <v>4112</v>
      </c>
    </row>
    <row r="5363" spans="1:7">
      <c r="A5363" t="s">
        <v>4580</v>
      </c>
      <c r="B5363">
        <v>5098097</v>
      </c>
      <c r="G5363" t="s">
        <v>4112</v>
      </c>
    </row>
    <row r="5364" spans="1:7">
      <c r="A5364" t="s">
        <v>4226</v>
      </c>
      <c r="G5364" t="s">
        <v>4112</v>
      </c>
    </row>
    <row r="5365" spans="1:7">
      <c r="A5365" t="s">
        <v>4562</v>
      </c>
      <c r="G5365" t="s">
        <v>4112</v>
      </c>
    </row>
    <row r="5366" spans="1:7">
      <c r="A5366" t="s">
        <v>4263</v>
      </c>
      <c r="G5366" t="s">
        <v>4112</v>
      </c>
    </row>
    <row r="5367" spans="1:7">
      <c r="A5367" t="s">
        <v>4750</v>
      </c>
      <c r="G5367" t="s">
        <v>4112</v>
      </c>
    </row>
    <row r="5368" spans="1:7">
      <c r="A5368" t="s">
        <v>4389</v>
      </c>
      <c r="G5368" t="s">
        <v>4112</v>
      </c>
    </row>
    <row r="5369" spans="1:7">
      <c r="A5369" t="s">
        <v>4959</v>
      </c>
      <c r="B5369">
        <v>5096097</v>
      </c>
      <c r="G5369" t="s">
        <v>4112</v>
      </c>
    </row>
    <row r="5370" spans="1:7">
      <c r="A5370" t="s">
        <v>4876</v>
      </c>
      <c r="G5370" t="s">
        <v>4112</v>
      </c>
    </row>
    <row r="5371" spans="1:7">
      <c r="A5371" t="s">
        <v>4392</v>
      </c>
      <c r="G5371" t="s">
        <v>4112</v>
      </c>
    </row>
    <row r="5372" spans="1:7">
      <c r="A5372" t="s">
        <v>5295</v>
      </c>
      <c r="G5372" t="s">
        <v>4112</v>
      </c>
    </row>
    <row r="5373" spans="1:7">
      <c r="A5373" t="s">
        <v>3976</v>
      </c>
      <c r="G5373" t="s">
        <v>4112</v>
      </c>
    </row>
    <row r="5374" spans="1:7">
      <c r="A5374" t="s">
        <v>4022</v>
      </c>
      <c r="G5374" t="s">
        <v>4112</v>
      </c>
    </row>
    <row r="5375" spans="1:8">
      <c r="A5375" t="s">
        <v>5081</v>
      </c>
      <c r="G5375" t="s">
        <v>4112</v>
      </c>
      <c r="H5375">
        <v>5336097</v>
      </c>
    </row>
    <row r="5376" spans="1:7">
      <c r="A5376" t="s">
        <v>4458</v>
      </c>
      <c r="G5376" t="s">
        <v>4112</v>
      </c>
    </row>
    <row r="5377" spans="1:7">
      <c r="A5377" t="s">
        <v>4068</v>
      </c>
      <c r="G5377" t="s">
        <v>4112</v>
      </c>
    </row>
    <row r="5378" spans="1:7">
      <c r="A5378" t="s">
        <v>4817</v>
      </c>
      <c r="G5378" t="s">
        <v>4112</v>
      </c>
    </row>
    <row r="5379" spans="1:7">
      <c r="A5379" t="s">
        <v>5134</v>
      </c>
      <c r="G5379" t="s">
        <v>4112</v>
      </c>
    </row>
    <row r="5380" spans="1:7">
      <c r="A5380" t="s">
        <v>4221</v>
      </c>
      <c r="G5380" t="s">
        <v>4112</v>
      </c>
    </row>
    <row r="5381" spans="1:7">
      <c r="A5381" t="s">
        <v>4791</v>
      </c>
      <c r="G5381" t="s">
        <v>4112</v>
      </c>
    </row>
    <row r="5382" spans="1:7">
      <c r="A5382" t="s">
        <v>5286</v>
      </c>
      <c r="G5382" t="s">
        <v>4112</v>
      </c>
    </row>
    <row r="5383" spans="1:7">
      <c r="A5383" t="s">
        <v>5284</v>
      </c>
      <c r="B5383">
        <v>5105097</v>
      </c>
      <c r="G5383" t="s">
        <v>4112</v>
      </c>
    </row>
    <row r="5384" spans="1:7">
      <c r="A5384" t="s">
        <v>4959</v>
      </c>
      <c r="G5384" t="s">
        <v>4112</v>
      </c>
    </row>
    <row r="5385" spans="1:7">
      <c r="A5385" t="s">
        <v>4215</v>
      </c>
      <c r="G5385" t="s">
        <v>4112</v>
      </c>
    </row>
    <row r="5386" spans="1:7">
      <c r="A5386" t="s">
        <v>4187</v>
      </c>
      <c r="G5386" t="s">
        <v>4112</v>
      </c>
    </row>
    <row r="5387" spans="1:7">
      <c r="A5387" t="s">
        <v>4997</v>
      </c>
      <c r="G5387" t="s">
        <v>4112</v>
      </c>
    </row>
    <row r="5388" spans="1:7">
      <c r="A5388" t="s">
        <v>4085</v>
      </c>
      <c r="G5388" t="s">
        <v>4112</v>
      </c>
    </row>
    <row r="5389" spans="1:7">
      <c r="A5389" t="s">
        <v>4432</v>
      </c>
      <c r="G5389" t="s">
        <v>4112</v>
      </c>
    </row>
    <row r="5390" spans="1:7">
      <c r="A5390" t="s">
        <v>4276</v>
      </c>
      <c r="G5390" t="s">
        <v>4112</v>
      </c>
    </row>
    <row r="5391" spans="1:7">
      <c r="A5391" t="s">
        <v>4324</v>
      </c>
      <c r="G5391" t="s">
        <v>4112</v>
      </c>
    </row>
    <row r="5392" spans="1:7">
      <c r="A5392" t="s">
        <v>4659</v>
      </c>
      <c r="G5392" t="s">
        <v>4112</v>
      </c>
    </row>
    <row r="5393" spans="1:7">
      <c r="A5393" t="s">
        <v>4824</v>
      </c>
      <c r="G5393" t="s">
        <v>4112</v>
      </c>
    </row>
    <row r="5394" spans="1:7">
      <c r="A5394" t="s">
        <v>5186</v>
      </c>
      <c r="G5394" t="s">
        <v>4112</v>
      </c>
    </row>
    <row r="5395" spans="1:7">
      <c r="A5395" t="s">
        <v>4378</v>
      </c>
      <c r="B5395">
        <v>5104097</v>
      </c>
      <c r="G5395" t="s">
        <v>4112</v>
      </c>
    </row>
    <row r="5396" spans="1:7">
      <c r="A5396" t="s">
        <v>4356</v>
      </c>
      <c r="G5396" t="s">
        <v>4112</v>
      </c>
    </row>
    <row r="5397" spans="1:7">
      <c r="A5397" t="s">
        <v>4130</v>
      </c>
      <c r="G5397" t="s">
        <v>4801</v>
      </c>
    </row>
    <row r="5398" spans="1:7">
      <c r="A5398" t="s">
        <v>5214</v>
      </c>
      <c r="G5398" t="s">
        <v>4801</v>
      </c>
    </row>
    <row r="5399" spans="1:7">
      <c r="A5399" t="s">
        <v>4632</v>
      </c>
      <c r="G5399" t="s">
        <v>4801</v>
      </c>
    </row>
    <row r="5400" spans="1:7">
      <c r="A5400" t="s">
        <v>5201</v>
      </c>
      <c r="G5400" t="s">
        <v>4696</v>
      </c>
    </row>
    <row r="5401" spans="1:7">
      <c r="A5401" t="s">
        <v>5296</v>
      </c>
      <c r="G5401" t="s">
        <v>5180</v>
      </c>
    </row>
    <row r="5402" spans="1:7">
      <c r="A5402" t="s">
        <v>4868</v>
      </c>
      <c r="G5402" t="s">
        <v>5180</v>
      </c>
    </row>
    <row r="5403" spans="1:7">
      <c r="A5403" t="s">
        <v>4787</v>
      </c>
      <c r="G5403" t="s">
        <v>5180</v>
      </c>
    </row>
    <row r="5404" spans="1:7">
      <c r="A5404" t="s">
        <v>4969</v>
      </c>
      <c r="G5404" t="s">
        <v>5180</v>
      </c>
    </row>
    <row r="5405" spans="1:7">
      <c r="A5405" t="s">
        <v>4576</v>
      </c>
      <c r="G5405" t="s">
        <v>5180</v>
      </c>
    </row>
    <row r="5406" spans="1:7">
      <c r="A5406" t="s">
        <v>5030</v>
      </c>
      <c r="B5406">
        <v>5077097</v>
      </c>
      <c r="G5406" t="s">
        <v>5180</v>
      </c>
    </row>
    <row r="5407" spans="1:7">
      <c r="A5407" t="s">
        <v>5205</v>
      </c>
      <c r="G5407" t="s">
        <v>5180</v>
      </c>
    </row>
    <row r="5408" spans="1:7">
      <c r="A5408" t="s">
        <v>5270</v>
      </c>
      <c r="G5408" t="s">
        <v>5180</v>
      </c>
    </row>
    <row r="5409" spans="1:7">
      <c r="A5409" t="s">
        <v>4361</v>
      </c>
      <c r="G5409" t="s">
        <v>5180</v>
      </c>
    </row>
    <row r="5410" spans="1:7">
      <c r="A5410" t="s">
        <v>4378</v>
      </c>
      <c r="B5410">
        <v>5103097</v>
      </c>
      <c r="G5410" t="s">
        <v>4459</v>
      </c>
    </row>
    <row r="5411" spans="1:7">
      <c r="A5411" t="s">
        <v>5030</v>
      </c>
      <c r="G5411" t="s">
        <v>4459</v>
      </c>
    </row>
    <row r="5412" spans="1:7">
      <c r="A5412" t="s">
        <v>4343</v>
      </c>
      <c r="G5412" t="s">
        <v>4459</v>
      </c>
    </row>
    <row r="5413" spans="1:7">
      <c r="A5413" t="s">
        <v>4130</v>
      </c>
      <c r="G5413" t="s">
        <v>4459</v>
      </c>
    </row>
    <row r="5414" spans="1:7">
      <c r="A5414" t="s">
        <v>4361</v>
      </c>
      <c r="G5414" t="s">
        <v>4459</v>
      </c>
    </row>
    <row r="5415" spans="1:7">
      <c r="A5415" t="s">
        <v>5201</v>
      </c>
      <c r="G5415" t="s">
        <v>4459</v>
      </c>
    </row>
    <row r="5416" spans="1:7">
      <c r="A5416" t="s">
        <v>4632</v>
      </c>
      <c r="G5416" t="s">
        <v>4459</v>
      </c>
    </row>
    <row r="5417" spans="1:7">
      <c r="A5417" t="s">
        <v>4354</v>
      </c>
      <c r="G5417" t="s">
        <v>4459</v>
      </c>
    </row>
    <row r="5418" spans="1:7">
      <c r="A5418" t="s">
        <v>4868</v>
      </c>
      <c r="G5418" t="s">
        <v>4459</v>
      </c>
    </row>
    <row r="5419" spans="1:7">
      <c r="A5419" t="s">
        <v>5205</v>
      </c>
      <c r="G5419" t="s">
        <v>4459</v>
      </c>
    </row>
    <row r="5420" spans="1:7">
      <c r="A5420" t="s">
        <v>4481</v>
      </c>
      <c r="G5420" t="s">
        <v>5287</v>
      </c>
    </row>
    <row r="5421" spans="1:7">
      <c r="A5421" t="s">
        <v>4969</v>
      </c>
      <c r="G5421" t="s">
        <v>4579</v>
      </c>
    </row>
    <row r="5422" spans="1:7">
      <c r="A5422" t="s">
        <v>4576</v>
      </c>
      <c r="G5422" t="s">
        <v>4579</v>
      </c>
    </row>
    <row r="5423" spans="1:7">
      <c r="A5423" t="s">
        <v>4356</v>
      </c>
      <c r="G5423" t="s">
        <v>4579</v>
      </c>
    </row>
    <row r="5424" spans="1:7">
      <c r="A5424" t="s">
        <v>4787</v>
      </c>
      <c r="G5424" t="s">
        <v>4579</v>
      </c>
    </row>
    <row r="5425" spans="1:7">
      <c r="A5425" t="s">
        <v>5214</v>
      </c>
      <c r="G5425" t="s">
        <v>5297</v>
      </c>
    </row>
    <row r="5426" spans="1:7">
      <c r="A5426" t="s">
        <v>4378</v>
      </c>
      <c r="B5426">
        <v>5102097</v>
      </c>
      <c r="G5426" t="s">
        <v>5298</v>
      </c>
    </row>
    <row r="5427" spans="1:7">
      <c r="A5427" t="s">
        <v>4356</v>
      </c>
      <c r="G5427" t="s">
        <v>5298</v>
      </c>
    </row>
    <row r="5428" spans="1:7">
      <c r="A5428" t="s">
        <v>4343</v>
      </c>
      <c r="G5428" t="s">
        <v>5289</v>
      </c>
    </row>
    <row r="5429" spans="1:8">
      <c r="A5429" t="s">
        <v>4130</v>
      </c>
      <c r="G5429" t="s">
        <v>5289</v>
      </c>
      <c r="H5429">
        <v>4940097</v>
      </c>
    </row>
    <row r="5430" spans="1:7">
      <c r="A5430" t="s">
        <v>5214</v>
      </c>
      <c r="G5430" t="s">
        <v>5289</v>
      </c>
    </row>
    <row r="5431" spans="1:7">
      <c r="A5431" t="s">
        <v>4632</v>
      </c>
      <c r="G5431" t="s">
        <v>5295</v>
      </c>
    </row>
    <row r="5432" spans="1:7">
      <c r="A5432" t="s">
        <v>5201</v>
      </c>
      <c r="G5432" t="s">
        <v>4048</v>
      </c>
    </row>
    <row r="5433" spans="1:7">
      <c r="A5433" t="s">
        <v>4868</v>
      </c>
      <c r="G5433" t="s">
        <v>4048</v>
      </c>
    </row>
    <row r="5434" spans="1:7">
      <c r="A5434" t="s">
        <v>4787</v>
      </c>
      <c r="G5434" t="s">
        <v>4048</v>
      </c>
    </row>
    <row r="5435" spans="1:7">
      <c r="A5435" t="s">
        <v>5205</v>
      </c>
      <c r="G5435" t="s">
        <v>4048</v>
      </c>
    </row>
    <row r="5436" spans="1:7">
      <c r="A5436" t="s">
        <v>4969</v>
      </c>
      <c r="G5436" t="s">
        <v>4048</v>
      </c>
    </row>
    <row r="5437" spans="1:7">
      <c r="A5437" t="s">
        <v>5030</v>
      </c>
      <c r="G5437" t="s">
        <v>4048</v>
      </c>
    </row>
    <row r="5438" spans="1:7">
      <c r="A5438" t="s">
        <v>4576</v>
      </c>
      <c r="G5438" t="s">
        <v>4048</v>
      </c>
    </row>
    <row r="5439" spans="1:7">
      <c r="A5439" t="s">
        <v>4481</v>
      </c>
      <c r="G5439" t="s">
        <v>4048</v>
      </c>
    </row>
    <row r="5440" spans="1:7">
      <c r="A5440" t="s">
        <v>4361</v>
      </c>
      <c r="G5440" t="s">
        <v>4048</v>
      </c>
    </row>
    <row r="5441" spans="1:7">
      <c r="A5441" t="s">
        <v>4356</v>
      </c>
      <c r="B5441">
        <v>5101097</v>
      </c>
      <c r="G5441" t="s">
        <v>4048</v>
      </c>
    </row>
    <row r="5442" spans="1:7">
      <c r="A5442" t="s">
        <v>5030</v>
      </c>
      <c r="G5442" t="s">
        <v>4048</v>
      </c>
    </row>
    <row r="5443" spans="1:7">
      <c r="A5443" t="s">
        <v>4354</v>
      </c>
      <c r="G5443" t="s">
        <v>4048</v>
      </c>
    </row>
    <row r="5444" spans="1:7">
      <c r="A5444" t="s">
        <v>4379</v>
      </c>
      <c r="G5444" t="s">
        <v>4028</v>
      </c>
    </row>
    <row r="5445" spans="1:7">
      <c r="A5445" t="s">
        <v>4343</v>
      </c>
      <c r="G5445" t="s">
        <v>4028</v>
      </c>
    </row>
    <row r="5446" spans="1:7">
      <c r="A5446" t="s">
        <v>4130</v>
      </c>
      <c r="G5446" t="s">
        <v>4028</v>
      </c>
    </row>
    <row r="5447" spans="1:7">
      <c r="A5447" t="s">
        <v>5299</v>
      </c>
      <c r="G5447" t="s">
        <v>4028</v>
      </c>
    </row>
    <row r="5448" spans="1:7">
      <c r="A5448" t="s">
        <v>5201</v>
      </c>
      <c r="G5448" t="s">
        <v>4028</v>
      </c>
    </row>
    <row r="5449" spans="1:7">
      <c r="A5449" t="s">
        <v>4079</v>
      </c>
      <c r="G5449" t="s">
        <v>4028</v>
      </c>
    </row>
    <row r="5450" spans="1:7">
      <c r="A5450" t="s">
        <v>4868</v>
      </c>
      <c r="G5450" t="s">
        <v>4598</v>
      </c>
    </row>
    <row r="5451" spans="1:7">
      <c r="A5451" t="s">
        <v>4363</v>
      </c>
      <c r="G5451" t="s">
        <v>4552</v>
      </c>
    </row>
    <row r="5452" spans="1:7">
      <c r="A5452" t="s">
        <v>4632</v>
      </c>
      <c r="G5452" t="s">
        <v>4552</v>
      </c>
    </row>
    <row r="5453" spans="1:7">
      <c r="A5453" t="s">
        <v>4969</v>
      </c>
      <c r="G5453" t="s">
        <v>4947</v>
      </c>
    </row>
    <row r="5454" spans="1:8">
      <c r="A5454" t="s">
        <v>5205</v>
      </c>
      <c r="G5454" t="s">
        <v>5085</v>
      </c>
      <c r="H5454">
        <v>5288097</v>
      </c>
    </row>
    <row r="5455" spans="1:7">
      <c r="A5455" t="s">
        <v>5214</v>
      </c>
      <c r="G5455" t="s">
        <v>5085</v>
      </c>
    </row>
    <row r="5456" spans="1:7">
      <c r="A5456" t="s">
        <v>4576</v>
      </c>
      <c r="G5456" t="s">
        <v>5272</v>
      </c>
    </row>
    <row r="5457" spans="1:7">
      <c r="A5457" t="s">
        <v>4378</v>
      </c>
      <c r="G5457" t="s">
        <v>5272</v>
      </c>
    </row>
    <row r="5458" spans="1:7">
      <c r="A5458" t="s">
        <v>4787</v>
      </c>
      <c r="B5458">
        <v>5069097</v>
      </c>
      <c r="G5458" t="s">
        <v>5272</v>
      </c>
    </row>
    <row r="5459" spans="1:7">
      <c r="A5459" t="s">
        <v>4361</v>
      </c>
      <c r="G5459" t="s">
        <v>5272</v>
      </c>
    </row>
    <row r="5460" spans="1:8">
      <c r="A5460" t="s">
        <v>5030</v>
      </c>
      <c r="B5460">
        <v>5100097</v>
      </c>
      <c r="G5460" t="s">
        <v>5272</v>
      </c>
      <c r="H5460">
        <v>4975097</v>
      </c>
    </row>
    <row r="5461" spans="1:7">
      <c r="A5461" t="s">
        <v>4356</v>
      </c>
      <c r="G5461" t="s">
        <v>5272</v>
      </c>
    </row>
    <row r="5462" spans="1:8">
      <c r="A5462" t="s">
        <v>4079</v>
      </c>
      <c r="G5462" t="s">
        <v>5272</v>
      </c>
      <c r="H5462">
        <v>4974097</v>
      </c>
    </row>
    <row r="5463" spans="1:7">
      <c r="A5463" t="s">
        <v>4343</v>
      </c>
      <c r="G5463" t="s">
        <v>5272</v>
      </c>
    </row>
    <row r="5464" spans="1:7">
      <c r="A5464" t="s">
        <v>4379</v>
      </c>
      <c r="G5464" t="s">
        <v>5272</v>
      </c>
    </row>
    <row r="5465" spans="1:7">
      <c r="A5465" t="s">
        <v>4361</v>
      </c>
      <c r="G5465" t="s">
        <v>5300</v>
      </c>
    </row>
    <row r="5466" spans="1:7">
      <c r="A5466" t="s">
        <v>4130</v>
      </c>
      <c r="G5466" t="s">
        <v>5300</v>
      </c>
    </row>
    <row r="5467" spans="1:7">
      <c r="A5467" t="s">
        <v>5201</v>
      </c>
      <c r="G5467" t="s">
        <v>5300</v>
      </c>
    </row>
    <row r="5468" spans="1:7">
      <c r="A5468" t="s">
        <v>4868</v>
      </c>
      <c r="G5468" t="s">
        <v>5300</v>
      </c>
    </row>
    <row r="5469" spans="1:7">
      <c r="A5469" t="s">
        <v>4969</v>
      </c>
      <c r="G5469" t="s">
        <v>5301</v>
      </c>
    </row>
    <row r="5470" spans="1:7">
      <c r="A5470" t="s">
        <v>4632</v>
      </c>
      <c r="G5470" t="s">
        <v>5301</v>
      </c>
    </row>
    <row r="5471" spans="1:7">
      <c r="A5471" t="s">
        <v>5205</v>
      </c>
      <c r="B5471">
        <v>5064097</v>
      </c>
      <c r="G5471" t="s">
        <v>5301</v>
      </c>
    </row>
    <row r="5472" spans="1:7">
      <c r="A5472" t="s">
        <v>5214</v>
      </c>
      <c r="G5472" t="s">
        <v>5301</v>
      </c>
    </row>
    <row r="5473" spans="1:7">
      <c r="A5473" t="s">
        <v>4576</v>
      </c>
      <c r="G5473" t="s">
        <v>5301</v>
      </c>
    </row>
    <row r="5474" spans="1:7">
      <c r="A5474" t="s">
        <v>4378</v>
      </c>
      <c r="G5474" t="s">
        <v>5301</v>
      </c>
    </row>
    <row r="5475" spans="1:7">
      <c r="A5475" t="s">
        <v>4787</v>
      </c>
      <c r="G5475" t="s">
        <v>5301</v>
      </c>
    </row>
    <row r="5476" spans="1:7">
      <c r="A5476" t="s">
        <v>4354</v>
      </c>
      <c r="G5476" t="s">
        <v>5301</v>
      </c>
    </row>
    <row r="5477" spans="1:7">
      <c r="A5477" t="s">
        <v>4969</v>
      </c>
      <c r="B5477">
        <v>5099097</v>
      </c>
      <c r="G5477" t="s">
        <v>5301</v>
      </c>
    </row>
    <row r="5478" spans="1:7">
      <c r="A5478" t="s">
        <v>5302</v>
      </c>
      <c r="G5478" t="s">
        <v>5301</v>
      </c>
    </row>
    <row r="5479" spans="1:7">
      <c r="A5479" t="s">
        <v>4334</v>
      </c>
      <c r="G5479" t="s">
        <v>5301</v>
      </c>
    </row>
    <row r="5480" spans="1:7">
      <c r="A5480" t="s">
        <v>5126</v>
      </c>
      <c r="G5480" t="s">
        <v>5301</v>
      </c>
    </row>
    <row r="5481" spans="1:7">
      <c r="A5481" t="s">
        <v>4379</v>
      </c>
      <c r="G5481" t="s">
        <v>5301</v>
      </c>
    </row>
    <row r="5482" spans="1:7">
      <c r="A5482" t="s">
        <v>4866</v>
      </c>
      <c r="G5482" t="s">
        <v>5301</v>
      </c>
    </row>
    <row r="5483" spans="1:7">
      <c r="A5483" t="s">
        <v>5172</v>
      </c>
      <c r="G5483" t="s">
        <v>5301</v>
      </c>
    </row>
    <row r="5484" spans="1:7">
      <c r="A5484" t="s">
        <v>5175</v>
      </c>
      <c r="G5484" t="s">
        <v>5301</v>
      </c>
    </row>
    <row r="5485" spans="1:7">
      <c r="A5485" t="s">
        <v>5303</v>
      </c>
      <c r="G5485" t="s">
        <v>5301</v>
      </c>
    </row>
    <row r="5486" spans="1:7">
      <c r="A5486" t="s">
        <v>5033</v>
      </c>
      <c r="G5486" t="s">
        <v>5301</v>
      </c>
    </row>
    <row r="5487" spans="1:7">
      <c r="A5487" t="s">
        <v>5078</v>
      </c>
      <c r="G5487" t="s">
        <v>5301</v>
      </c>
    </row>
    <row r="5488" spans="1:7">
      <c r="A5488" t="s">
        <v>4958</v>
      </c>
      <c r="G5488" t="s">
        <v>5301</v>
      </c>
    </row>
    <row r="5489" spans="1:7">
      <c r="A5489" t="s">
        <v>5304</v>
      </c>
      <c r="G5489" t="s">
        <v>5301</v>
      </c>
    </row>
    <row r="5490" spans="1:7">
      <c r="A5490" t="s">
        <v>4870</v>
      </c>
      <c r="G5490" t="s">
        <v>5301</v>
      </c>
    </row>
    <row r="5491" spans="1:7">
      <c r="A5491" t="s">
        <v>5267</v>
      </c>
      <c r="G5491" t="s">
        <v>5301</v>
      </c>
    </row>
    <row r="5492" spans="1:7">
      <c r="A5492" t="s">
        <v>4480</v>
      </c>
      <c r="G5492" t="s">
        <v>5301</v>
      </c>
    </row>
    <row r="5493" spans="1:7">
      <c r="A5493" t="s">
        <v>5011</v>
      </c>
      <c r="B5493">
        <v>5098097</v>
      </c>
      <c r="G5493" t="s">
        <v>5301</v>
      </c>
    </row>
    <row r="5494" spans="1:7">
      <c r="A5494" t="s">
        <v>4824</v>
      </c>
      <c r="G5494" t="s">
        <v>5301</v>
      </c>
    </row>
    <row r="5495" spans="1:8">
      <c r="A5495" t="s">
        <v>5245</v>
      </c>
      <c r="G5495" t="s">
        <v>5301</v>
      </c>
      <c r="H5495">
        <v>4741097</v>
      </c>
    </row>
    <row r="5496" spans="1:7">
      <c r="A5496" t="s">
        <v>4432</v>
      </c>
      <c r="G5496" t="s">
        <v>5301</v>
      </c>
    </row>
    <row r="5497" spans="1:7">
      <c r="A5497" t="s">
        <v>4966</v>
      </c>
      <c r="G5497" t="s">
        <v>4451</v>
      </c>
    </row>
    <row r="5498" spans="1:7">
      <c r="A5498" t="s">
        <v>5285</v>
      </c>
      <c r="G5498" t="s">
        <v>5154</v>
      </c>
    </row>
    <row r="5499" spans="1:7">
      <c r="A5499" t="s">
        <v>5184</v>
      </c>
      <c r="B5499">
        <v>5096097</v>
      </c>
      <c r="G5499" t="s">
        <v>5198</v>
      </c>
    </row>
    <row r="5500" spans="1:8">
      <c r="A5500" t="s">
        <v>4290</v>
      </c>
      <c r="G5500" t="s">
        <v>4688</v>
      </c>
      <c r="H5500">
        <v>5473097</v>
      </c>
    </row>
    <row r="5501" spans="1:7">
      <c r="A5501" t="s">
        <v>4171</v>
      </c>
      <c r="G5501" t="s">
        <v>4688</v>
      </c>
    </row>
    <row r="5502" spans="1:7">
      <c r="A5502" t="s">
        <v>4082</v>
      </c>
      <c r="G5502" t="s">
        <v>4985</v>
      </c>
    </row>
    <row r="5503" spans="1:7">
      <c r="A5503" t="s">
        <v>4900</v>
      </c>
      <c r="G5503" t="s">
        <v>4985</v>
      </c>
    </row>
    <row r="5504" spans="1:7">
      <c r="A5504" t="s">
        <v>4088</v>
      </c>
      <c r="G5504" t="s">
        <v>4985</v>
      </c>
    </row>
    <row r="5505" spans="1:7">
      <c r="A5505" t="s">
        <v>5305</v>
      </c>
      <c r="G5505" t="s">
        <v>4985</v>
      </c>
    </row>
    <row r="5506" spans="1:8">
      <c r="A5506" t="s">
        <v>4625</v>
      </c>
      <c r="G5506" t="s">
        <v>4985</v>
      </c>
      <c r="H5506">
        <v>4870097</v>
      </c>
    </row>
    <row r="5507" spans="1:7">
      <c r="A5507" t="s">
        <v>4997</v>
      </c>
      <c r="G5507" t="s">
        <v>4985</v>
      </c>
    </row>
    <row r="5508" spans="1:7">
      <c r="A5508" t="s">
        <v>4091</v>
      </c>
      <c r="G5508" t="s">
        <v>4985</v>
      </c>
    </row>
    <row r="5509" spans="1:7">
      <c r="A5509" t="s">
        <v>4109</v>
      </c>
      <c r="G5509" t="s">
        <v>4985</v>
      </c>
    </row>
    <row r="5510" spans="1:7">
      <c r="A5510" t="s">
        <v>4952</v>
      </c>
      <c r="G5510" t="s">
        <v>4985</v>
      </c>
    </row>
    <row r="5511" spans="1:7">
      <c r="A5511" t="s">
        <v>4978</v>
      </c>
      <c r="G5511" t="s">
        <v>5306</v>
      </c>
    </row>
    <row r="5512" spans="1:7">
      <c r="A5512" t="s">
        <v>4454</v>
      </c>
      <c r="G5512" t="s">
        <v>5307</v>
      </c>
    </row>
    <row r="5513" spans="1:8">
      <c r="A5513" t="s">
        <v>4489</v>
      </c>
      <c r="G5513" t="s">
        <v>4885</v>
      </c>
      <c r="H5513">
        <v>5412097</v>
      </c>
    </row>
    <row r="5514" spans="1:8">
      <c r="A5514" t="s">
        <v>4148</v>
      </c>
      <c r="G5514" t="s">
        <v>4885</v>
      </c>
      <c r="H5514">
        <v>5426097</v>
      </c>
    </row>
    <row r="5515" spans="1:7">
      <c r="A5515" t="s">
        <v>5036</v>
      </c>
      <c r="G5515" t="s">
        <v>4875</v>
      </c>
    </row>
    <row r="5516" spans="1:7">
      <c r="A5516" t="s">
        <v>4418</v>
      </c>
      <c r="G5516" t="s">
        <v>5308</v>
      </c>
    </row>
    <row r="5517" spans="1:7">
      <c r="A5517" t="s">
        <v>4562</v>
      </c>
      <c r="G5517" t="s">
        <v>5309</v>
      </c>
    </row>
    <row r="5518" spans="1:7">
      <c r="A5518" t="s">
        <v>4287</v>
      </c>
      <c r="G5518" t="s">
        <v>5309</v>
      </c>
    </row>
    <row r="5519" spans="1:7">
      <c r="A5519" t="s">
        <v>4477</v>
      </c>
      <c r="G5519" t="s">
        <v>5309</v>
      </c>
    </row>
    <row r="5520" spans="1:7">
      <c r="A5520" t="s">
        <v>4085</v>
      </c>
      <c r="B5520">
        <v>5063097</v>
      </c>
      <c r="G5520" t="s">
        <v>4919</v>
      </c>
    </row>
    <row r="5521" spans="1:7">
      <c r="A5521" t="s">
        <v>4263</v>
      </c>
      <c r="G5521" t="s">
        <v>4919</v>
      </c>
    </row>
    <row r="5522" spans="1:7">
      <c r="A5522" t="s">
        <v>4571</v>
      </c>
      <c r="G5522" t="s">
        <v>4919</v>
      </c>
    </row>
    <row r="5523" spans="1:7">
      <c r="A5523" t="s">
        <v>5170</v>
      </c>
      <c r="G5523" t="s">
        <v>4919</v>
      </c>
    </row>
    <row r="5524" spans="1:7">
      <c r="A5524" t="s">
        <v>4959</v>
      </c>
      <c r="G5524" t="s">
        <v>4919</v>
      </c>
    </row>
    <row r="5525" spans="1:7">
      <c r="A5525" t="s">
        <v>5310</v>
      </c>
      <c r="G5525" t="s">
        <v>4919</v>
      </c>
    </row>
    <row r="5526" spans="1:8">
      <c r="A5526" t="s">
        <v>4126</v>
      </c>
      <c r="G5526" t="s">
        <v>4919</v>
      </c>
      <c r="H5526">
        <v>4938097</v>
      </c>
    </row>
    <row r="5527" spans="1:7">
      <c r="A5527" t="s">
        <v>4009</v>
      </c>
      <c r="G5527" t="s">
        <v>4919</v>
      </c>
    </row>
    <row r="5528" spans="1:7">
      <c r="A5528" t="s">
        <v>5180</v>
      </c>
      <c r="G5528" t="s">
        <v>4919</v>
      </c>
    </row>
    <row r="5529" spans="1:7">
      <c r="A5529" t="s">
        <v>4147</v>
      </c>
      <c r="G5529" t="s">
        <v>4919</v>
      </c>
    </row>
    <row r="5530" spans="1:7">
      <c r="A5530" t="s">
        <v>4112</v>
      </c>
      <c r="G5530" t="s">
        <v>4919</v>
      </c>
    </row>
    <row r="5531" spans="1:7">
      <c r="A5531" t="s">
        <v>4566</v>
      </c>
      <c r="G5531" t="s">
        <v>4762</v>
      </c>
    </row>
    <row r="5532" spans="1:7">
      <c r="A5532" t="s">
        <v>4870</v>
      </c>
      <c r="G5532" t="s">
        <v>5151</v>
      </c>
    </row>
    <row r="5533" spans="1:7">
      <c r="A5533" t="s">
        <v>4045</v>
      </c>
      <c r="G5533" t="s">
        <v>5151</v>
      </c>
    </row>
    <row r="5534" spans="1:7">
      <c r="A5534" t="s">
        <v>4930</v>
      </c>
      <c r="G5534" t="s">
        <v>4887</v>
      </c>
    </row>
    <row r="5535" spans="1:7">
      <c r="A5535" t="s">
        <v>4079</v>
      </c>
      <c r="G5535" t="s">
        <v>4887</v>
      </c>
    </row>
    <row r="5536" spans="1:7">
      <c r="A5536" t="s">
        <v>5311</v>
      </c>
      <c r="B5536">
        <v>5077097</v>
      </c>
      <c r="G5536" t="s">
        <v>5209</v>
      </c>
    </row>
    <row r="5537" spans="1:7">
      <c r="A5537" t="s">
        <v>5192</v>
      </c>
      <c r="G5537" t="s">
        <v>5209</v>
      </c>
    </row>
    <row r="5538" spans="1:7">
      <c r="A5538" t="s">
        <v>4730</v>
      </c>
      <c r="G5538" t="s">
        <v>5209</v>
      </c>
    </row>
    <row r="5539" spans="1:7">
      <c r="A5539" t="s">
        <v>5312</v>
      </c>
      <c r="G5539" t="s">
        <v>5209</v>
      </c>
    </row>
    <row r="5540" spans="1:7">
      <c r="A5540" t="s">
        <v>4560</v>
      </c>
      <c r="G5540" t="s">
        <v>5209</v>
      </c>
    </row>
    <row r="5541" spans="1:7">
      <c r="A5541" t="s">
        <v>4706</v>
      </c>
      <c r="G5541" t="s">
        <v>5209</v>
      </c>
    </row>
    <row r="5542" spans="1:7">
      <c r="A5542" t="s">
        <v>4234</v>
      </c>
      <c r="G5542" t="s">
        <v>5047</v>
      </c>
    </row>
    <row r="5543" spans="1:7">
      <c r="A5543" t="s">
        <v>5177</v>
      </c>
      <c r="G5543" t="s">
        <v>5047</v>
      </c>
    </row>
    <row r="5544" spans="1:7">
      <c r="A5544" t="s">
        <v>4911</v>
      </c>
      <c r="G5544" t="s">
        <v>5047</v>
      </c>
    </row>
    <row r="5545" spans="1:7">
      <c r="A5545" t="s">
        <v>4656</v>
      </c>
      <c r="G5545" t="s">
        <v>4295</v>
      </c>
    </row>
    <row r="5546" spans="1:7">
      <c r="A5546" t="s">
        <v>5313</v>
      </c>
      <c r="G5546" t="s">
        <v>4295</v>
      </c>
    </row>
    <row r="5547" spans="1:7">
      <c r="A5547" t="s">
        <v>4088</v>
      </c>
      <c r="G5547" t="s">
        <v>4564</v>
      </c>
    </row>
    <row r="5548" spans="1:7">
      <c r="A5548" t="s">
        <v>4335</v>
      </c>
      <c r="G5548" t="s">
        <v>4564</v>
      </c>
    </row>
    <row r="5549" spans="1:8">
      <c r="A5549" t="s">
        <v>4666</v>
      </c>
      <c r="G5549" t="s">
        <v>4564</v>
      </c>
      <c r="H5549">
        <v>5488097</v>
      </c>
    </row>
    <row r="5550" spans="1:7">
      <c r="A5550" t="s">
        <v>5314</v>
      </c>
      <c r="G5550" t="s">
        <v>4564</v>
      </c>
    </row>
    <row r="5551" spans="1:8">
      <c r="A5551" t="s">
        <v>4147</v>
      </c>
      <c r="B5551">
        <v>5060097</v>
      </c>
      <c r="G5551" t="s">
        <v>4564</v>
      </c>
      <c r="H5551">
        <v>5406097</v>
      </c>
    </row>
    <row r="5552" spans="1:7">
      <c r="A5552" t="s">
        <v>5036</v>
      </c>
      <c r="G5552" t="s">
        <v>4564</v>
      </c>
    </row>
    <row r="5553" spans="1:7">
      <c r="A5553" t="s">
        <v>4175</v>
      </c>
      <c r="G5553" t="s">
        <v>4564</v>
      </c>
    </row>
    <row r="5554" spans="1:7">
      <c r="A5554" t="s">
        <v>4980</v>
      </c>
      <c r="G5554" t="s">
        <v>4564</v>
      </c>
    </row>
    <row r="5555" spans="1:7">
      <c r="A5555" t="s">
        <v>4171</v>
      </c>
      <c r="G5555" t="s">
        <v>4564</v>
      </c>
    </row>
    <row r="5556" spans="1:7">
      <c r="A5556" t="s">
        <v>4538</v>
      </c>
      <c r="G5556" t="s">
        <v>4564</v>
      </c>
    </row>
    <row r="5557" spans="1:7">
      <c r="A5557" t="s">
        <v>4084</v>
      </c>
      <c r="G5557" t="s">
        <v>4564</v>
      </c>
    </row>
    <row r="5558" spans="1:7">
      <c r="A5558" t="s">
        <v>5315</v>
      </c>
      <c r="G5558" t="s">
        <v>4087</v>
      </c>
    </row>
    <row r="5559" spans="1:7">
      <c r="A5559" t="s">
        <v>5232</v>
      </c>
      <c r="G5559" t="s">
        <v>4087</v>
      </c>
    </row>
    <row r="5560" spans="1:7">
      <c r="A5560" t="s">
        <v>4824</v>
      </c>
      <c r="G5560" t="s">
        <v>4087</v>
      </c>
    </row>
    <row r="5561" spans="1:7">
      <c r="A5561" t="s">
        <v>4143</v>
      </c>
      <c r="G5561" t="s">
        <v>4087</v>
      </c>
    </row>
    <row r="5562" spans="1:7">
      <c r="A5562" t="s">
        <v>4079</v>
      </c>
      <c r="G5562" t="s">
        <v>4087</v>
      </c>
    </row>
    <row r="5563" spans="1:7">
      <c r="A5563" t="s">
        <v>4450</v>
      </c>
      <c r="G5563" t="s">
        <v>4087</v>
      </c>
    </row>
    <row r="5564" spans="1:7">
      <c r="A5564" t="s">
        <v>4998</v>
      </c>
      <c r="G5564" t="s">
        <v>4087</v>
      </c>
    </row>
    <row r="5565" spans="1:7">
      <c r="A5565" t="s">
        <v>4264</v>
      </c>
      <c r="B5565">
        <v>5059097</v>
      </c>
      <c r="G5565" t="s">
        <v>4087</v>
      </c>
    </row>
    <row r="5566" spans="1:7">
      <c r="A5566" t="s">
        <v>4085</v>
      </c>
      <c r="G5566" t="s">
        <v>5141</v>
      </c>
    </row>
    <row r="5567" spans="1:7">
      <c r="A5567" t="s">
        <v>5316</v>
      </c>
      <c r="G5567" t="s">
        <v>5141</v>
      </c>
    </row>
    <row r="5568" spans="1:7">
      <c r="A5568" t="s">
        <v>4719</v>
      </c>
      <c r="G5568" t="s">
        <v>5141</v>
      </c>
    </row>
    <row r="5569" spans="1:7">
      <c r="A5569" t="s">
        <v>4559</v>
      </c>
      <c r="G5569" t="s">
        <v>5141</v>
      </c>
    </row>
    <row r="5570" spans="1:7">
      <c r="A5570" t="s">
        <v>4712</v>
      </c>
      <c r="G5570" t="s">
        <v>4427</v>
      </c>
    </row>
    <row r="5571" spans="1:7">
      <c r="A5571" t="s">
        <v>5317</v>
      </c>
      <c r="G5571" t="s">
        <v>4427</v>
      </c>
    </row>
    <row r="5572" spans="1:8">
      <c r="A5572" t="s">
        <v>4871</v>
      </c>
      <c r="G5572" t="s">
        <v>4427</v>
      </c>
      <c r="H5572">
        <v>5522097</v>
      </c>
    </row>
    <row r="5573" spans="1:7">
      <c r="A5573" t="s">
        <v>5296</v>
      </c>
      <c r="G5573" t="s">
        <v>4427</v>
      </c>
    </row>
    <row r="5574" spans="1:7">
      <c r="A5574" t="s">
        <v>4091</v>
      </c>
      <c r="G5574" t="s">
        <v>4427</v>
      </c>
    </row>
    <row r="5575" spans="1:7">
      <c r="A5575" t="s">
        <v>4290</v>
      </c>
      <c r="G5575" t="s">
        <v>4427</v>
      </c>
    </row>
    <row r="5576" spans="1:8">
      <c r="A5576" t="s">
        <v>4113</v>
      </c>
      <c r="G5576" t="s">
        <v>4427</v>
      </c>
      <c r="H5576">
        <v>5514097</v>
      </c>
    </row>
    <row r="5577" spans="1:8">
      <c r="A5577" t="s">
        <v>4178</v>
      </c>
      <c r="B5577">
        <v>5058097</v>
      </c>
      <c r="G5577" t="s">
        <v>4427</v>
      </c>
      <c r="H5577">
        <v>5513097</v>
      </c>
    </row>
    <row r="5578" spans="1:7">
      <c r="A5578" t="s">
        <v>4930</v>
      </c>
      <c r="G5578" t="s">
        <v>5318</v>
      </c>
    </row>
    <row r="5579" spans="1:7">
      <c r="A5579" t="s">
        <v>4726</v>
      </c>
      <c r="G5579" t="s">
        <v>4209</v>
      </c>
    </row>
    <row r="5580" spans="1:7">
      <c r="A5580" t="s">
        <v>4978</v>
      </c>
      <c r="G5580" t="s">
        <v>4209</v>
      </c>
    </row>
    <row r="5581" spans="1:7">
      <c r="A5581" t="s">
        <v>5099</v>
      </c>
      <c r="G5581" t="s">
        <v>4209</v>
      </c>
    </row>
    <row r="5582" spans="1:7">
      <c r="A5582" t="s">
        <v>4234</v>
      </c>
      <c r="G5582" t="s">
        <v>4209</v>
      </c>
    </row>
    <row r="5583" spans="1:7">
      <c r="A5583" t="s">
        <v>4625</v>
      </c>
      <c r="G5583" t="s">
        <v>4209</v>
      </c>
    </row>
    <row r="5584" spans="1:7">
      <c r="A5584" t="s">
        <v>4525</v>
      </c>
      <c r="G5584" t="s">
        <v>4209</v>
      </c>
    </row>
    <row r="5585" spans="1:7">
      <c r="A5585" t="s">
        <v>4840</v>
      </c>
      <c r="G5585" t="s">
        <v>5319</v>
      </c>
    </row>
    <row r="5586" spans="1:7">
      <c r="A5586" t="s">
        <v>4879</v>
      </c>
      <c r="G5586" t="s">
        <v>4287</v>
      </c>
    </row>
    <row r="5587" spans="1:7">
      <c r="A5587" t="s">
        <v>4617</v>
      </c>
      <c r="G5587" t="s">
        <v>4287</v>
      </c>
    </row>
    <row r="5588" spans="1:7">
      <c r="A5588" t="s">
        <v>4481</v>
      </c>
      <c r="B5588">
        <v>5069097</v>
      </c>
      <c r="G5588" t="s">
        <v>4287</v>
      </c>
    </row>
    <row r="5589" spans="1:7">
      <c r="A5589" t="s">
        <v>4352</v>
      </c>
      <c r="G5589" t="s">
        <v>4287</v>
      </c>
    </row>
    <row r="5590" spans="1:7">
      <c r="A5590" t="s">
        <v>5150</v>
      </c>
      <c r="G5590" t="s">
        <v>4889</v>
      </c>
    </row>
    <row r="5591" spans="1:7">
      <c r="A5591" t="s">
        <v>4625</v>
      </c>
      <c r="G5591" t="s">
        <v>4980</v>
      </c>
    </row>
    <row r="5592" spans="1:7">
      <c r="A5592" t="s">
        <v>4338</v>
      </c>
      <c r="G5592" t="s">
        <v>4980</v>
      </c>
    </row>
    <row r="5593" spans="1:7">
      <c r="A5593" t="s">
        <v>5320</v>
      </c>
      <c r="G5593" t="s">
        <v>4980</v>
      </c>
    </row>
    <row r="5594" spans="1:7">
      <c r="A5594" t="s">
        <v>4772</v>
      </c>
      <c r="G5594" t="s">
        <v>4980</v>
      </c>
    </row>
    <row r="5595" spans="1:7">
      <c r="A5595" t="s">
        <v>4362</v>
      </c>
      <c r="G5595" t="s">
        <v>4980</v>
      </c>
    </row>
    <row r="5596" spans="1:7">
      <c r="A5596" t="s">
        <v>4985</v>
      </c>
      <c r="G5596" t="s">
        <v>4980</v>
      </c>
    </row>
    <row r="5597" spans="1:7">
      <c r="A5597" t="s">
        <v>4333</v>
      </c>
      <c r="G5597" t="s">
        <v>4980</v>
      </c>
    </row>
    <row r="5598" spans="1:7">
      <c r="A5598" t="s">
        <v>4336</v>
      </c>
      <c r="G5598" t="s">
        <v>4980</v>
      </c>
    </row>
    <row r="5599" spans="1:7">
      <c r="A5599" t="s">
        <v>5283</v>
      </c>
      <c r="G5599" t="s">
        <v>4980</v>
      </c>
    </row>
    <row r="5600" spans="1:7">
      <c r="A5600" t="s">
        <v>5321</v>
      </c>
      <c r="B5600">
        <v>5056097</v>
      </c>
      <c r="G5600" t="s">
        <v>4980</v>
      </c>
    </row>
    <row r="5601" spans="1:7">
      <c r="A5601" t="s">
        <v>4131</v>
      </c>
      <c r="B5601">
        <v>5064097</v>
      </c>
      <c r="G5601" t="s">
        <v>4980</v>
      </c>
    </row>
    <row r="5602" spans="1:7">
      <c r="A5602" t="s">
        <v>5322</v>
      </c>
      <c r="G5602" t="s">
        <v>5323</v>
      </c>
    </row>
    <row r="5603" spans="1:7">
      <c r="A5603" t="s">
        <v>4923</v>
      </c>
      <c r="G5603" t="s">
        <v>5323</v>
      </c>
    </row>
    <row r="5604" spans="1:7">
      <c r="A5604" t="s">
        <v>5324</v>
      </c>
      <c r="G5604" t="s">
        <v>5323</v>
      </c>
    </row>
    <row r="5605" spans="1:7">
      <c r="A5605" t="s">
        <v>4401</v>
      </c>
      <c r="G5605" t="s">
        <v>5325</v>
      </c>
    </row>
    <row r="5606" spans="1:7">
      <c r="A5606" t="s">
        <v>4930</v>
      </c>
      <c r="G5606" t="s">
        <v>5325</v>
      </c>
    </row>
    <row r="5607" spans="1:7">
      <c r="A5607" t="s">
        <v>4731</v>
      </c>
      <c r="G5607" t="s">
        <v>5325</v>
      </c>
    </row>
    <row r="5608" spans="1:7">
      <c r="A5608" t="s">
        <v>4669</v>
      </c>
      <c r="G5608" t="s">
        <v>5326</v>
      </c>
    </row>
    <row r="5609" spans="1:7">
      <c r="A5609" t="s">
        <v>4417</v>
      </c>
      <c r="G5609" t="s">
        <v>5327</v>
      </c>
    </row>
    <row r="5610" spans="1:7">
      <c r="A5610" t="s">
        <v>4158</v>
      </c>
      <c r="G5610" t="s">
        <v>5131</v>
      </c>
    </row>
    <row r="5611" spans="1:7">
      <c r="A5611" t="s">
        <v>5004</v>
      </c>
      <c r="G5611" t="s">
        <v>5131</v>
      </c>
    </row>
    <row r="5612" spans="1:7">
      <c r="A5612" t="s">
        <v>4190</v>
      </c>
      <c r="G5612" t="s">
        <v>5131</v>
      </c>
    </row>
    <row r="5613" spans="1:7">
      <c r="A5613" t="s">
        <v>4143</v>
      </c>
      <c r="G5613" t="s">
        <v>4033</v>
      </c>
    </row>
    <row r="5614" spans="1:7">
      <c r="A5614" t="s">
        <v>4176</v>
      </c>
      <c r="G5614" t="s">
        <v>5039</v>
      </c>
    </row>
    <row r="5615" spans="1:7">
      <c r="A5615" t="s">
        <v>5328</v>
      </c>
      <c r="B5615">
        <v>5055097</v>
      </c>
      <c r="G5615" t="s">
        <v>5039</v>
      </c>
    </row>
    <row r="5616" spans="1:7">
      <c r="A5616" t="s">
        <v>4085</v>
      </c>
      <c r="G5616" t="s">
        <v>5166</v>
      </c>
    </row>
    <row r="5617" spans="1:7">
      <c r="A5617" t="s">
        <v>4589</v>
      </c>
      <c r="G5617" t="s">
        <v>5166</v>
      </c>
    </row>
    <row r="5618" spans="1:7">
      <c r="A5618" t="s">
        <v>4069</v>
      </c>
      <c r="G5618" t="s">
        <v>5166</v>
      </c>
    </row>
    <row r="5619" spans="1:7">
      <c r="A5619" t="s">
        <v>4037</v>
      </c>
      <c r="G5619" t="s">
        <v>4694</v>
      </c>
    </row>
    <row r="5620" spans="1:7">
      <c r="A5620" t="s">
        <v>5138</v>
      </c>
      <c r="G5620" t="s">
        <v>4694</v>
      </c>
    </row>
    <row r="5621" spans="1:7">
      <c r="A5621" t="s">
        <v>5329</v>
      </c>
      <c r="G5621" t="s">
        <v>4747</v>
      </c>
    </row>
    <row r="5622" spans="1:7">
      <c r="A5622" t="s">
        <v>4117</v>
      </c>
      <c r="G5622" t="s">
        <v>4747</v>
      </c>
    </row>
    <row r="5623" spans="1:7">
      <c r="A5623" t="s">
        <v>4450</v>
      </c>
      <c r="G5623" t="s">
        <v>4804</v>
      </c>
    </row>
    <row r="5624" spans="1:7">
      <c r="A5624" t="s">
        <v>5015</v>
      </c>
      <c r="G5624" t="s">
        <v>4804</v>
      </c>
    </row>
    <row r="5625" spans="1:7">
      <c r="A5625" t="s">
        <v>5141</v>
      </c>
      <c r="G5625" t="s">
        <v>4804</v>
      </c>
    </row>
    <row r="5626" spans="1:7">
      <c r="A5626" t="s">
        <v>5006</v>
      </c>
      <c r="G5626" t="s">
        <v>4804</v>
      </c>
    </row>
    <row r="5627" spans="1:7">
      <c r="A5627" t="s">
        <v>5330</v>
      </c>
      <c r="G5627" t="s">
        <v>5164</v>
      </c>
    </row>
    <row r="5628" spans="1:7">
      <c r="A5628" t="s">
        <v>4084</v>
      </c>
      <c r="B5628">
        <v>5049097</v>
      </c>
      <c r="G5628" t="s">
        <v>4503</v>
      </c>
    </row>
    <row r="5629" spans="1:7">
      <c r="A5629" t="s">
        <v>4276</v>
      </c>
      <c r="G5629" t="s">
        <v>5331</v>
      </c>
    </row>
    <row r="5630" spans="1:7">
      <c r="A5630" t="s">
        <v>4978</v>
      </c>
      <c r="G5630" t="s">
        <v>5331</v>
      </c>
    </row>
    <row r="5631" spans="1:7">
      <c r="A5631" t="s">
        <v>5332</v>
      </c>
      <c r="G5631" t="s">
        <v>5331</v>
      </c>
    </row>
    <row r="5632" spans="1:8">
      <c r="A5632" t="s">
        <v>5333</v>
      </c>
      <c r="G5632" t="s">
        <v>5334</v>
      </c>
      <c r="H5632">
        <v>5000097</v>
      </c>
    </row>
    <row r="5633" spans="1:7">
      <c r="A5633" t="s">
        <v>5208</v>
      </c>
      <c r="B5633">
        <v>5043097</v>
      </c>
      <c r="G5633" t="s">
        <v>4606</v>
      </c>
    </row>
    <row r="5634" spans="1:7">
      <c r="A5634" t="s">
        <v>4156</v>
      </c>
      <c r="G5634" t="s">
        <v>4606</v>
      </c>
    </row>
    <row r="5635" spans="1:7">
      <c r="A5635" t="s">
        <v>4109</v>
      </c>
      <c r="G5635" t="s">
        <v>4606</v>
      </c>
    </row>
    <row r="5636" spans="1:7">
      <c r="A5636" t="s">
        <v>4799</v>
      </c>
      <c r="G5636" t="s">
        <v>4606</v>
      </c>
    </row>
    <row r="5637" spans="1:7">
      <c r="A5637" t="s">
        <v>4742</v>
      </c>
      <c r="G5637" t="s">
        <v>4606</v>
      </c>
    </row>
    <row r="5638" spans="1:7">
      <c r="A5638" t="s">
        <v>4159</v>
      </c>
      <c r="G5638" t="s">
        <v>4606</v>
      </c>
    </row>
    <row r="5639" spans="1:7">
      <c r="A5639" t="s">
        <v>4136</v>
      </c>
      <c r="G5639" t="s">
        <v>4606</v>
      </c>
    </row>
    <row r="5640" spans="1:7">
      <c r="A5640" t="s">
        <v>4656</v>
      </c>
      <c r="G5640" t="s">
        <v>4606</v>
      </c>
    </row>
    <row r="5641" spans="1:7">
      <c r="A5641" t="s">
        <v>4659</v>
      </c>
      <c r="G5641" t="s">
        <v>4606</v>
      </c>
    </row>
    <row r="5642" spans="1:7">
      <c r="A5642" t="s">
        <v>4091</v>
      </c>
      <c r="G5642" t="s">
        <v>4606</v>
      </c>
    </row>
    <row r="5643" spans="1:7">
      <c r="A5643" t="s">
        <v>5288</v>
      </c>
      <c r="G5643" t="s">
        <v>4606</v>
      </c>
    </row>
    <row r="5644" spans="1:7">
      <c r="A5644" t="s">
        <v>5139</v>
      </c>
      <c r="G5644" t="s">
        <v>4606</v>
      </c>
    </row>
    <row r="5645" spans="1:7">
      <c r="A5645" t="s">
        <v>5335</v>
      </c>
      <c r="G5645" t="s">
        <v>4606</v>
      </c>
    </row>
    <row r="5646" spans="1:7">
      <c r="A5646" t="s">
        <v>4076</v>
      </c>
      <c r="G5646" t="s">
        <v>4606</v>
      </c>
    </row>
    <row r="5647" spans="1:7">
      <c r="A5647" t="s">
        <v>4808</v>
      </c>
      <c r="G5647" t="s">
        <v>4606</v>
      </c>
    </row>
    <row r="5648" spans="1:7">
      <c r="A5648" t="s">
        <v>5336</v>
      </c>
      <c r="G5648" t="s">
        <v>4606</v>
      </c>
    </row>
    <row r="5649" spans="1:7">
      <c r="A5649" t="s">
        <v>5337</v>
      </c>
      <c r="G5649" t="s">
        <v>4606</v>
      </c>
    </row>
    <row r="5650" spans="1:7">
      <c r="A5650" t="s">
        <v>5002</v>
      </c>
      <c r="B5650">
        <v>5063097</v>
      </c>
      <c r="G5650" t="s">
        <v>4606</v>
      </c>
    </row>
    <row r="5651" spans="1:7">
      <c r="A5651" t="s">
        <v>4147</v>
      </c>
      <c r="B5651">
        <v>5042097</v>
      </c>
      <c r="G5651" t="s">
        <v>4621</v>
      </c>
    </row>
    <row r="5652" spans="1:7">
      <c r="A5652" t="s">
        <v>5180</v>
      </c>
      <c r="G5652" t="s">
        <v>4621</v>
      </c>
    </row>
    <row r="5653" spans="1:7">
      <c r="A5653" t="s">
        <v>4415</v>
      </c>
      <c r="G5653" t="s">
        <v>4645</v>
      </c>
    </row>
    <row r="5654" spans="1:7">
      <c r="A5654" t="s">
        <v>4401</v>
      </c>
      <c r="G5654" t="s">
        <v>4645</v>
      </c>
    </row>
    <row r="5655" spans="1:8">
      <c r="A5655" t="s">
        <v>4720</v>
      </c>
      <c r="G5655" t="s">
        <v>4645</v>
      </c>
      <c r="H5655">
        <v>5038097</v>
      </c>
    </row>
    <row r="5656" spans="1:7">
      <c r="A5656" t="s">
        <v>4978</v>
      </c>
      <c r="G5656" t="s">
        <v>4645</v>
      </c>
    </row>
    <row r="5657" spans="1:7">
      <c r="A5657" t="s">
        <v>4824</v>
      </c>
      <c r="G5657" t="s">
        <v>4645</v>
      </c>
    </row>
    <row r="5658" spans="1:8">
      <c r="A5658" t="s">
        <v>4091</v>
      </c>
      <c r="G5658" t="s">
        <v>4645</v>
      </c>
      <c r="H5658">
        <v>4862097</v>
      </c>
    </row>
    <row r="5659" spans="1:7">
      <c r="A5659" t="s">
        <v>4084</v>
      </c>
      <c r="G5659" t="s">
        <v>5338</v>
      </c>
    </row>
    <row r="5660" spans="1:7">
      <c r="A5660" t="s">
        <v>4898</v>
      </c>
      <c r="G5660" t="s">
        <v>5338</v>
      </c>
    </row>
    <row r="5661" spans="1:7">
      <c r="A5661" t="s">
        <v>4286</v>
      </c>
      <c r="G5661" t="s">
        <v>5338</v>
      </c>
    </row>
    <row r="5662" spans="1:7">
      <c r="A5662" t="s">
        <v>4175</v>
      </c>
      <c r="G5662" t="s">
        <v>5221</v>
      </c>
    </row>
    <row r="5663" spans="1:7">
      <c r="A5663" t="s">
        <v>4136</v>
      </c>
      <c r="G5663" t="s">
        <v>4449</v>
      </c>
    </row>
    <row r="5664" spans="1:7">
      <c r="A5664" t="s">
        <v>4633</v>
      </c>
      <c r="B5664">
        <v>5041097</v>
      </c>
      <c r="G5664" t="s">
        <v>4026</v>
      </c>
    </row>
    <row r="5665" spans="1:7">
      <c r="A5665" t="s">
        <v>5075</v>
      </c>
      <c r="G5665" t="s">
        <v>4026</v>
      </c>
    </row>
    <row r="5666" spans="1:7">
      <c r="A5666" t="s">
        <v>5272</v>
      </c>
      <c r="G5666" t="s">
        <v>4026</v>
      </c>
    </row>
    <row r="5667" spans="1:7">
      <c r="A5667" t="s">
        <v>4828</v>
      </c>
      <c r="G5667" t="s">
        <v>4026</v>
      </c>
    </row>
    <row r="5668" spans="1:7">
      <c r="A5668" t="s">
        <v>4548</v>
      </c>
      <c r="G5668" t="s">
        <v>5142</v>
      </c>
    </row>
    <row r="5669" spans="1:7">
      <c r="A5669" t="s">
        <v>4173</v>
      </c>
      <c r="G5669" t="s">
        <v>5142</v>
      </c>
    </row>
    <row r="5670" spans="1:7">
      <c r="A5670" t="s">
        <v>4982</v>
      </c>
      <c r="G5670" t="s">
        <v>5142</v>
      </c>
    </row>
    <row r="5671" spans="1:7">
      <c r="A5671" t="s">
        <v>4171</v>
      </c>
      <c r="G5671" t="s">
        <v>4886</v>
      </c>
    </row>
    <row r="5672" spans="1:7">
      <c r="A5672" t="s">
        <v>4620</v>
      </c>
      <c r="G5672" t="s">
        <v>4387</v>
      </c>
    </row>
    <row r="5673" spans="1:7">
      <c r="A5673" t="s">
        <v>4153</v>
      </c>
      <c r="G5673" t="s">
        <v>4387</v>
      </c>
    </row>
    <row r="5674" spans="1:7">
      <c r="A5674" t="s">
        <v>4290</v>
      </c>
      <c r="G5674" t="s">
        <v>4387</v>
      </c>
    </row>
    <row r="5675" spans="1:7">
      <c r="A5675" t="s">
        <v>4477</v>
      </c>
      <c r="G5675" t="s">
        <v>4387</v>
      </c>
    </row>
    <row r="5676" spans="1:7">
      <c r="A5676" t="s">
        <v>4211</v>
      </c>
      <c r="G5676" t="s">
        <v>4387</v>
      </c>
    </row>
    <row r="5677" spans="1:7">
      <c r="A5677" t="s">
        <v>4571</v>
      </c>
      <c r="G5677" t="s">
        <v>4387</v>
      </c>
    </row>
    <row r="5678" spans="1:7">
      <c r="A5678" t="s">
        <v>4132</v>
      </c>
      <c r="G5678" t="s">
        <v>4387</v>
      </c>
    </row>
    <row r="5679" spans="1:7">
      <c r="A5679" t="s">
        <v>4825</v>
      </c>
      <c r="B5679">
        <v>5040097</v>
      </c>
      <c r="G5679" t="s">
        <v>4387</v>
      </c>
    </row>
    <row r="5680" spans="1:7">
      <c r="A5680" t="s">
        <v>4085</v>
      </c>
      <c r="G5680" t="s">
        <v>4387</v>
      </c>
    </row>
    <row r="5681" spans="1:7">
      <c r="A5681" t="s">
        <v>4363</v>
      </c>
      <c r="B5681">
        <v>5060097</v>
      </c>
      <c r="G5681" t="s">
        <v>4387</v>
      </c>
    </row>
    <row r="5682" spans="1:7">
      <c r="A5682" t="s">
        <v>5303</v>
      </c>
      <c r="G5682" t="s">
        <v>4387</v>
      </c>
    </row>
    <row r="5683" spans="1:7">
      <c r="A5683" t="s">
        <v>5339</v>
      </c>
      <c r="G5683" t="s">
        <v>4387</v>
      </c>
    </row>
    <row r="5684" spans="1:7">
      <c r="A5684" t="s">
        <v>4356</v>
      </c>
      <c r="G5684" t="s">
        <v>4387</v>
      </c>
    </row>
    <row r="5685" spans="1:7">
      <c r="A5685" t="s">
        <v>4480</v>
      </c>
      <c r="G5685" t="s">
        <v>4387</v>
      </c>
    </row>
    <row r="5686" spans="1:7">
      <c r="A5686" t="s">
        <v>5267</v>
      </c>
      <c r="G5686" t="s">
        <v>4387</v>
      </c>
    </row>
    <row r="5687" spans="1:7">
      <c r="A5687" t="s">
        <v>5126</v>
      </c>
      <c r="G5687" t="s">
        <v>4387</v>
      </c>
    </row>
    <row r="5688" spans="1:7">
      <c r="A5688" t="s">
        <v>5340</v>
      </c>
      <c r="G5688" t="s">
        <v>4387</v>
      </c>
    </row>
    <row r="5689" spans="1:7">
      <c r="A5689" t="s">
        <v>5175</v>
      </c>
      <c r="G5689" t="s">
        <v>4387</v>
      </c>
    </row>
    <row r="5690" spans="1:7">
      <c r="A5690" t="s">
        <v>4354</v>
      </c>
      <c r="G5690" t="s">
        <v>4387</v>
      </c>
    </row>
    <row r="5691" spans="1:7">
      <c r="A5691" t="s">
        <v>4958</v>
      </c>
      <c r="G5691" t="s">
        <v>4387</v>
      </c>
    </row>
    <row r="5692" spans="1:7">
      <c r="A5692" t="s">
        <v>5302</v>
      </c>
      <c r="G5692" t="s">
        <v>4387</v>
      </c>
    </row>
    <row r="5693" spans="1:7">
      <c r="A5693" t="s">
        <v>4358</v>
      </c>
      <c r="G5693" t="s">
        <v>4387</v>
      </c>
    </row>
    <row r="5694" spans="1:7">
      <c r="A5694" t="s">
        <v>4239</v>
      </c>
      <c r="B5694">
        <v>5039097</v>
      </c>
      <c r="G5694" t="s">
        <v>4387</v>
      </c>
    </row>
    <row r="5695" spans="1:7">
      <c r="A5695" t="s">
        <v>4363</v>
      </c>
      <c r="B5695">
        <v>5059097</v>
      </c>
      <c r="G5695" t="s">
        <v>4387</v>
      </c>
    </row>
    <row r="5696" spans="1:7">
      <c r="A5696" t="s">
        <v>4480</v>
      </c>
      <c r="G5696" t="s">
        <v>4387</v>
      </c>
    </row>
    <row r="5697" spans="1:7">
      <c r="A5697" t="s">
        <v>5340</v>
      </c>
      <c r="G5697" t="s">
        <v>4387</v>
      </c>
    </row>
    <row r="5698" spans="1:7">
      <c r="A5698" t="s">
        <v>5303</v>
      </c>
      <c r="G5698" t="s">
        <v>4387</v>
      </c>
    </row>
    <row r="5699" spans="1:7">
      <c r="A5699" t="s">
        <v>5126</v>
      </c>
      <c r="G5699" t="s">
        <v>4387</v>
      </c>
    </row>
    <row r="5700" spans="1:7">
      <c r="A5700" t="s">
        <v>4958</v>
      </c>
      <c r="G5700" t="s">
        <v>4387</v>
      </c>
    </row>
    <row r="5701" spans="1:8">
      <c r="A5701" t="s">
        <v>5339</v>
      </c>
      <c r="G5701" t="s">
        <v>4387</v>
      </c>
      <c r="H5701">
        <v>4723097</v>
      </c>
    </row>
    <row r="5702" spans="1:7">
      <c r="A5702" t="s">
        <v>4358</v>
      </c>
      <c r="G5702" t="s">
        <v>4432</v>
      </c>
    </row>
    <row r="5703" spans="1:7">
      <c r="A5703" t="s">
        <v>5175</v>
      </c>
      <c r="G5703" t="s">
        <v>4432</v>
      </c>
    </row>
    <row r="5704" spans="1:7">
      <c r="A5704" t="s">
        <v>5302</v>
      </c>
      <c r="G5704" t="s">
        <v>4432</v>
      </c>
    </row>
    <row r="5705" spans="1:7">
      <c r="A5705" t="s">
        <v>4356</v>
      </c>
      <c r="G5705" t="s">
        <v>4432</v>
      </c>
    </row>
    <row r="5706" spans="1:8">
      <c r="A5706" t="s">
        <v>4354</v>
      </c>
      <c r="G5706" t="s">
        <v>4432</v>
      </c>
      <c r="H5706">
        <v>5504097</v>
      </c>
    </row>
    <row r="5707" spans="1:7">
      <c r="A5707" t="s">
        <v>5157</v>
      </c>
      <c r="B5707">
        <v>5058097</v>
      </c>
      <c r="G5707" t="s">
        <v>4432</v>
      </c>
    </row>
    <row r="5708" spans="1:7">
      <c r="A5708" t="s">
        <v>4645</v>
      </c>
      <c r="B5708">
        <v>5038097</v>
      </c>
      <c r="G5708" t="s">
        <v>4432</v>
      </c>
    </row>
    <row r="5709" spans="1:7">
      <c r="A5709" t="s">
        <v>5163</v>
      </c>
      <c r="G5709" t="s">
        <v>4432</v>
      </c>
    </row>
    <row r="5710" spans="1:7">
      <c r="A5710" t="s">
        <v>5341</v>
      </c>
      <c r="G5710" t="s">
        <v>4432</v>
      </c>
    </row>
    <row r="5711" spans="1:7">
      <c r="A5711" t="s">
        <v>4599</v>
      </c>
      <c r="G5711" t="s">
        <v>4432</v>
      </c>
    </row>
    <row r="5712" spans="1:7">
      <c r="A5712" t="s">
        <v>5342</v>
      </c>
      <c r="G5712" t="s">
        <v>4432</v>
      </c>
    </row>
    <row r="5713" spans="1:8">
      <c r="A5713" t="s">
        <v>5291</v>
      </c>
      <c r="G5713" t="s">
        <v>4432</v>
      </c>
      <c r="H5713">
        <v>4676097</v>
      </c>
    </row>
    <row r="5714" spans="1:7">
      <c r="A5714" t="s">
        <v>4026</v>
      </c>
      <c r="G5714" t="s">
        <v>4969</v>
      </c>
    </row>
    <row r="5715" spans="1:7">
      <c r="A5715" t="s">
        <v>5161</v>
      </c>
      <c r="G5715" t="s">
        <v>4969</v>
      </c>
    </row>
    <row r="5716" spans="1:7">
      <c r="A5716" t="s">
        <v>4679</v>
      </c>
      <c r="G5716" t="s">
        <v>4969</v>
      </c>
    </row>
    <row r="5717" spans="1:7">
      <c r="A5717" t="s">
        <v>4604</v>
      </c>
      <c r="B5717">
        <v>5036097</v>
      </c>
      <c r="G5717" t="s">
        <v>4969</v>
      </c>
    </row>
    <row r="5718" spans="1:7">
      <c r="A5718" t="s">
        <v>5343</v>
      </c>
      <c r="G5718" t="s">
        <v>4969</v>
      </c>
    </row>
    <row r="5719" spans="1:7">
      <c r="A5719" t="s">
        <v>5344</v>
      </c>
      <c r="G5719" t="s">
        <v>4969</v>
      </c>
    </row>
    <row r="5720" spans="1:7">
      <c r="A5720" t="s">
        <v>4646</v>
      </c>
      <c r="G5720" t="s">
        <v>4969</v>
      </c>
    </row>
    <row r="5721" spans="1:7">
      <c r="A5721" t="s">
        <v>5166</v>
      </c>
      <c r="G5721" t="s">
        <v>4969</v>
      </c>
    </row>
    <row r="5722" spans="1:7">
      <c r="A5722" t="s">
        <v>4824</v>
      </c>
      <c r="G5722" t="s">
        <v>4969</v>
      </c>
    </row>
    <row r="5723" spans="1:8">
      <c r="A5723" t="s">
        <v>4065</v>
      </c>
      <c r="G5723" t="s">
        <v>4969</v>
      </c>
      <c r="H5723">
        <v>5099097</v>
      </c>
    </row>
    <row r="5724" spans="1:7">
      <c r="A5724" t="s">
        <v>4194</v>
      </c>
      <c r="G5724" t="s">
        <v>4969</v>
      </c>
    </row>
    <row r="5725" spans="1:7">
      <c r="A5725" t="s">
        <v>5203</v>
      </c>
      <c r="G5725" t="s">
        <v>4969</v>
      </c>
    </row>
    <row r="5726" spans="1:7">
      <c r="A5726" t="s">
        <v>4830</v>
      </c>
      <c r="G5726" t="s">
        <v>4969</v>
      </c>
    </row>
    <row r="5727" spans="1:7">
      <c r="A5727" t="s">
        <v>4038</v>
      </c>
      <c r="G5727" t="s">
        <v>4969</v>
      </c>
    </row>
    <row r="5728" spans="1:7">
      <c r="A5728" t="s">
        <v>4959</v>
      </c>
      <c r="G5728" t="s">
        <v>4969</v>
      </c>
    </row>
    <row r="5729" spans="1:7">
      <c r="A5729" t="s">
        <v>5345</v>
      </c>
      <c r="G5729" t="s">
        <v>5124</v>
      </c>
    </row>
    <row r="5730" spans="1:7">
      <c r="A5730" t="s">
        <v>4354</v>
      </c>
      <c r="B5730">
        <v>5056097</v>
      </c>
      <c r="G5730" t="s">
        <v>5124</v>
      </c>
    </row>
    <row r="5731" spans="1:7">
      <c r="A5731" t="s">
        <v>4130</v>
      </c>
      <c r="G5731" t="s">
        <v>5124</v>
      </c>
    </row>
    <row r="5732" spans="1:7">
      <c r="A5732" t="s">
        <v>4363</v>
      </c>
      <c r="G5732" t="s">
        <v>5124</v>
      </c>
    </row>
    <row r="5733" spans="1:7">
      <c r="A5733" t="s">
        <v>4340</v>
      </c>
      <c r="B5733">
        <v>5034097</v>
      </c>
      <c r="G5733" t="s">
        <v>4563</v>
      </c>
    </row>
    <row r="5734" spans="1:7">
      <c r="A5734" t="s">
        <v>4336</v>
      </c>
      <c r="G5734" t="s">
        <v>4563</v>
      </c>
    </row>
    <row r="5735" spans="1:7">
      <c r="A5735" t="s">
        <v>4230</v>
      </c>
      <c r="G5735" t="s">
        <v>4563</v>
      </c>
    </row>
    <row r="5736" spans="1:7">
      <c r="A5736" t="s">
        <v>4352</v>
      </c>
      <c r="G5736" t="s">
        <v>4563</v>
      </c>
    </row>
    <row r="5737" spans="1:7">
      <c r="A5737" t="s">
        <v>5346</v>
      </c>
      <c r="G5737" t="s">
        <v>4563</v>
      </c>
    </row>
    <row r="5738" spans="1:7">
      <c r="A5738" t="s">
        <v>4338</v>
      </c>
      <c r="G5738" t="s">
        <v>4563</v>
      </c>
    </row>
    <row r="5739" spans="1:7">
      <c r="A5739" t="s">
        <v>5347</v>
      </c>
      <c r="G5739" t="s">
        <v>4563</v>
      </c>
    </row>
    <row r="5740" spans="1:7">
      <c r="A5740" t="s">
        <v>4356</v>
      </c>
      <c r="G5740" t="s">
        <v>4563</v>
      </c>
    </row>
    <row r="5741" spans="1:7">
      <c r="A5741" t="s">
        <v>4358</v>
      </c>
      <c r="G5741" t="s">
        <v>4563</v>
      </c>
    </row>
    <row r="5742" spans="1:7">
      <c r="A5742" t="s">
        <v>4963</v>
      </c>
      <c r="G5742" t="s">
        <v>4563</v>
      </c>
    </row>
    <row r="5743" spans="1:7">
      <c r="A5743" t="s">
        <v>4576</v>
      </c>
      <c r="G5743" t="s">
        <v>4563</v>
      </c>
    </row>
    <row r="5744" spans="1:7">
      <c r="A5744" t="s">
        <v>4787</v>
      </c>
      <c r="G5744" t="s">
        <v>4563</v>
      </c>
    </row>
    <row r="5745" spans="1:7">
      <c r="A5745" t="s">
        <v>4354</v>
      </c>
      <c r="B5745">
        <v>5055097</v>
      </c>
      <c r="G5745" t="s">
        <v>4563</v>
      </c>
    </row>
    <row r="5746" spans="1:7">
      <c r="A5746" t="s">
        <v>4130</v>
      </c>
      <c r="B5746">
        <v>5032097</v>
      </c>
      <c r="G5746" t="s">
        <v>4563</v>
      </c>
    </row>
    <row r="5747" spans="1:7">
      <c r="A5747" t="s">
        <v>4787</v>
      </c>
      <c r="G5747" t="s">
        <v>4563</v>
      </c>
    </row>
    <row r="5748" spans="1:7">
      <c r="A5748" t="s">
        <v>4963</v>
      </c>
      <c r="G5748" t="s">
        <v>4563</v>
      </c>
    </row>
    <row r="5749" spans="1:7">
      <c r="A5749" t="s">
        <v>4358</v>
      </c>
      <c r="G5749" t="s">
        <v>5232</v>
      </c>
    </row>
    <row r="5750" spans="1:7">
      <c r="A5750" t="s">
        <v>5346</v>
      </c>
      <c r="G5750" t="s">
        <v>5232</v>
      </c>
    </row>
    <row r="5751" spans="1:7">
      <c r="A5751" t="s">
        <v>4340</v>
      </c>
      <c r="G5751" t="s">
        <v>5232</v>
      </c>
    </row>
    <row r="5752" spans="1:7">
      <c r="A5752" t="s">
        <v>4230</v>
      </c>
      <c r="G5752" t="s">
        <v>5232</v>
      </c>
    </row>
    <row r="5753" spans="1:7">
      <c r="A5753" t="s">
        <v>4338</v>
      </c>
      <c r="G5753" t="s">
        <v>5232</v>
      </c>
    </row>
    <row r="5754" spans="1:7">
      <c r="A5754" t="s">
        <v>4576</v>
      </c>
      <c r="G5754" t="s">
        <v>5232</v>
      </c>
    </row>
    <row r="5755" spans="1:7">
      <c r="A5755" t="s">
        <v>4336</v>
      </c>
      <c r="G5755" t="s">
        <v>5348</v>
      </c>
    </row>
    <row r="5756" spans="1:7">
      <c r="A5756" t="s">
        <v>4356</v>
      </c>
      <c r="G5756" t="s">
        <v>5348</v>
      </c>
    </row>
    <row r="5757" spans="1:7">
      <c r="A5757" t="s">
        <v>4363</v>
      </c>
      <c r="G5757" t="s">
        <v>5348</v>
      </c>
    </row>
    <row r="5758" spans="1:7">
      <c r="A5758" t="s">
        <v>5162</v>
      </c>
      <c r="B5758">
        <v>5049097</v>
      </c>
      <c r="G5758" t="s">
        <v>5348</v>
      </c>
    </row>
    <row r="5759" spans="1:7">
      <c r="A5759" t="s">
        <v>4544</v>
      </c>
      <c r="G5759" t="s">
        <v>4952</v>
      </c>
    </row>
    <row r="5760" spans="1:7">
      <c r="A5760" t="s">
        <v>4959</v>
      </c>
      <c r="G5760" t="s">
        <v>4952</v>
      </c>
    </row>
    <row r="5761" spans="1:7">
      <c r="A5761" t="s">
        <v>5349</v>
      </c>
      <c r="G5761" t="s">
        <v>4952</v>
      </c>
    </row>
    <row r="5762" spans="1:7">
      <c r="A5762" t="s">
        <v>5350</v>
      </c>
      <c r="G5762" t="s">
        <v>4952</v>
      </c>
    </row>
    <row r="5763" spans="1:7">
      <c r="A5763" t="s">
        <v>4382</v>
      </c>
      <c r="B5763">
        <v>5043097</v>
      </c>
      <c r="G5763" t="s">
        <v>4952</v>
      </c>
    </row>
    <row r="5764" spans="1:7">
      <c r="A5764" t="s">
        <v>4821</v>
      </c>
      <c r="G5764" t="s">
        <v>4952</v>
      </c>
    </row>
    <row r="5765" spans="1:7">
      <c r="A5765" t="s">
        <v>4354</v>
      </c>
      <c r="G5765" t="s">
        <v>4952</v>
      </c>
    </row>
    <row r="5766" spans="1:7">
      <c r="A5766" t="s">
        <v>4388</v>
      </c>
      <c r="G5766" t="s">
        <v>4952</v>
      </c>
    </row>
    <row r="5767" spans="1:7">
      <c r="A5767" t="s">
        <v>4336</v>
      </c>
      <c r="G5767" t="s">
        <v>4789</v>
      </c>
    </row>
    <row r="5768" spans="1:7">
      <c r="A5768" t="s">
        <v>4914</v>
      </c>
      <c r="G5768" t="s">
        <v>3977</v>
      </c>
    </row>
    <row r="5769" spans="1:7">
      <c r="A5769" t="s">
        <v>4377</v>
      </c>
      <c r="G5769" t="s">
        <v>3977</v>
      </c>
    </row>
    <row r="5770" spans="1:7">
      <c r="A5770" t="s">
        <v>4379</v>
      </c>
      <c r="G5770" t="s">
        <v>3977</v>
      </c>
    </row>
    <row r="5771" spans="1:7">
      <c r="A5771" t="s">
        <v>5351</v>
      </c>
      <c r="G5771" t="s">
        <v>5352</v>
      </c>
    </row>
    <row r="5772" spans="1:7">
      <c r="A5772" t="s">
        <v>4868</v>
      </c>
      <c r="G5772" t="s">
        <v>4570</v>
      </c>
    </row>
    <row r="5773" spans="1:7">
      <c r="A5773" t="s">
        <v>5301</v>
      </c>
      <c r="G5773" t="s">
        <v>4570</v>
      </c>
    </row>
    <row r="5774" spans="1:7">
      <c r="A5774" t="s">
        <v>4958</v>
      </c>
      <c r="G5774" t="s">
        <v>4570</v>
      </c>
    </row>
    <row r="5775" spans="1:8">
      <c r="A5775" t="s">
        <v>4076</v>
      </c>
      <c r="G5775" t="s">
        <v>4570</v>
      </c>
      <c r="H5775">
        <v>5397097</v>
      </c>
    </row>
    <row r="5776" spans="1:7">
      <c r="A5776" t="s">
        <v>4907</v>
      </c>
      <c r="G5776" t="s">
        <v>4570</v>
      </c>
    </row>
    <row r="5777" spans="1:7">
      <c r="A5777" t="s">
        <v>4347</v>
      </c>
      <c r="G5777" t="s">
        <v>4570</v>
      </c>
    </row>
    <row r="5778" spans="1:7">
      <c r="A5778" t="s">
        <v>4381</v>
      </c>
      <c r="G5778" t="s">
        <v>4570</v>
      </c>
    </row>
    <row r="5779" spans="1:7">
      <c r="A5779" t="s">
        <v>4378</v>
      </c>
      <c r="G5779" t="s">
        <v>4570</v>
      </c>
    </row>
    <row r="5780" spans="1:7">
      <c r="A5780" t="s">
        <v>4345</v>
      </c>
      <c r="G5780" t="s">
        <v>4570</v>
      </c>
    </row>
    <row r="5781" spans="1:7">
      <c r="A5781" t="s">
        <v>4382</v>
      </c>
      <c r="B5781">
        <v>5042097</v>
      </c>
      <c r="G5781" t="s">
        <v>4570</v>
      </c>
    </row>
    <row r="5782" spans="1:7">
      <c r="A5782" t="s">
        <v>4388</v>
      </c>
      <c r="G5782" t="s">
        <v>4570</v>
      </c>
    </row>
    <row r="5783" spans="1:7">
      <c r="A5783" t="s">
        <v>4378</v>
      </c>
      <c r="G5783" t="s">
        <v>4570</v>
      </c>
    </row>
    <row r="5784" spans="1:7">
      <c r="A5784" t="s">
        <v>4336</v>
      </c>
      <c r="G5784" t="s">
        <v>4570</v>
      </c>
    </row>
    <row r="5785" spans="1:7">
      <c r="A5785" t="s">
        <v>4377</v>
      </c>
      <c r="G5785" t="s">
        <v>4570</v>
      </c>
    </row>
    <row r="5786" spans="1:7">
      <c r="A5786" t="s">
        <v>5351</v>
      </c>
      <c r="G5786" t="s">
        <v>5117</v>
      </c>
    </row>
    <row r="5787" spans="1:7">
      <c r="A5787" t="s">
        <v>4821</v>
      </c>
      <c r="G5787" t="s">
        <v>5117</v>
      </c>
    </row>
    <row r="5788" spans="1:7">
      <c r="A5788" t="s">
        <v>5301</v>
      </c>
      <c r="G5788" t="s">
        <v>4761</v>
      </c>
    </row>
    <row r="5789" spans="1:8">
      <c r="A5789" t="s">
        <v>4345</v>
      </c>
      <c r="G5789" t="s">
        <v>4761</v>
      </c>
      <c r="H5789">
        <v>5234097</v>
      </c>
    </row>
    <row r="5790" spans="1:7">
      <c r="A5790" t="s">
        <v>4900</v>
      </c>
      <c r="G5790" t="s">
        <v>4433</v>
      </c>
    </row>
    <row r="5791" spans="1:7">
      <c r="A5791" t="s">
        <v>4907</v>
      </c>
      <c r="G5791" t="s">
        <v>4433</v>
      </c>
    </row>
    <row r="5792" spans="1:7">
      <c r="A5792" t="s">
        <v>4381</v>
      </c>
      <c r="G5792" t="s">
        <v>4205</v>
      </c>
    </row>
    <row r="5793" spans="1:7">
      <c r="A5793" t="s">
        <v>4384</v>
      </c>
      <c r="G5793" t="s">
        <v>4205</v>
      </c>
    </row>
    <row r="5794" spans="1:7">
      <c r="A5794" t="s">
        <v>4378</v>
      </c>
      <c r="B5794">
        <v>5041097</v>
      </c>
      <c r="G5794" t="s">
        <v>4205</v>
      </c>
    </row>
    <row r="5795" spans="1:7">
      <c r="A5795" t="s">
        <v>4361</v>
      </c>
      <c r="G5795" t="s">
        <v>4205</v>
      </c>
    </row>
    <row r="5796" spans="1:7">
      <c r="A5796" t="s">
        <v>4388</v>
      </c>
      <c r="G5796" t="s">
        <v>4205</v>
      </c>
    </row>
    <row r="5797" spans="1:8">
      <c r="A5797" t="s">
        <v>4336</v>
      </c>
      <c r="G5797" t="s">
        <v>4205</v>
      </c>
      <c r="H5797">
        <v>5493097</v>
      </c>
    </row>
    <row r="5798" spans="1:7">
      <c r="A5798" t="s">
        <v>4382</v>
      </c>
      <c r="G5798" t="s">
        <v>4205</v>
      </c>
    </row>
    <row r="5799" spans="1:7">
      <c r="A5799" t="s">
        <v>4377</v>
      </c>
      <c r="G5799" t="s">
        <v>4205</v>
      </c>
    </row>
    <row r="5800" spans="1:8">
      <c r="A5800" t="s">
        <v>4379</v>
      </c>
      <c r="G5800" t="s">
        <v>4205</v>
      </c>
      <c r="H5800">
        <v>5444097</v>
      </c>
    </row>
    <row r="5801" spans="1:7">
      <c r="A5801" t="s">
        <v>4483</v>
      </c>
      <c r="B5801">
        <v>5030097</v>
      </c>
      <c r="G5801" t="s">
        <v>4205</v>
      </c>
    </row>
    <row r="5802" spans="1:7">
      <c r="A5802" t="s">
        <v>4345</v>
      </c>
      <c r="G5802" t="s">
        <v>4205</v>
      </c>
    </row>
    <row r="5803" spans="1:7">
      <c r="A5803" t="s">
        <v>4384</v>
      </c>
      <c r="G5803" t="s">
        <v>4205</v>
      </c>
    </row>
    <row r="5804" spans="1:7">
      <c r="A5804" t="s">
        <v>4907</v>
      </c>
      <c r="G5804" t="s">
        <v>4205</v>
      </c>
    </row>
    <row r="5805" spans="1:7">
      <c r="A5805" t="s">
        <v>5301</v>
      </c>
      <c r="G5805" t="s">
        <v>4205</v>
      </c>
    </row>
    <row r="5806" spans="1:7">
      <c r="A5806" t="s">
        <v>4381</v>
      </c>
      <c r="G5806" t="s">
        <v>4205</v>
      </c>
    </row>
    <row r="5807" spans="1:7">
      <c r="A5807" t="s">
        <v>4821</v>
      </c>
      <c r="G5807" t="s">
        <v>4205</v>
      </c>
    </row>
    <row r="5808" spans="1:7">
      <c r="A5808" t="s">
        <v>5351</v>
      </c>
      <c r="G5808" t="s">
        <v>4205</v>
      </c>
    </row>
    <row r="5809" spans="1:7">
      <c r="A5809" t="s">
        <v>4377</v>
      </c>
      <c r="B5809">
        <v>5040097</v>
      </c>
      <c r="G5809" t="s">
        <v>4205</v>
      </c>
    </row>
    <row r="5810" spans="1:7">
      <c r="A5810" t="s">
        <v>4336</v>
      </c>
      <c r="G5810" t="s">
        <v>5070</v>
      </c>
    </row>
    <row r="5811" spans="1:7">
      <c r="A5811" t="s">
        <v>4382</v>
      </c>
      <c r="G5811" t="s">
        <v>5070</v>
      </c>
    </row>
    <row r="5812" spans="1:7">
      <c r="A5812" t="s">
        <v>4378</v>
      </c>
      <c r="G5812" t="s">
        <v>5353</v>
      </c>
    </row>
    <row r="5813" spans="1:7">
      <c r="A5813" t="s">
        <v>4388</v>
      </c>
      <c r="G5813" t="s">
        <v>4903</v>
      </c>
    </row>
    <row r="5814" spans="1:7">
      <c r="A5814" t="s">
        <v>4354</v>
      </c>
      <c r="G5814" t="s">
        <v>4903</v>
      </c>
    </row>
    <row r="5815" spans="1:7">
      <c r="A5815" t="s">
        <v>4384</v>
      </c>
      <c r="G5815" t="s">
        <v>4903</v>
      </c>
    </row>
    <row r="5816" spans="1:7">
      <c r="A5816" t="s">
        <v>4364</v>
      </c>
      <c r="G5816" t="s">
        <v>5127</v>
      </c>
    </row>
    <row r="5817" spans="1:7">
      <c r="A5817" t="s">
        <v>5301</v>
      </c>
      <c r="G5817" t="s">
        <v>5354</v>
      </c>
    </row>
    <row r="5818" spans="1:7">
      <c r="A5818" t="s">
        <v>4381</v>
      </c>
      <c r="G5818" t="s">
        <v>5354</v>
      </c>
    </row>
    <row r="5819" spans="1:7">
      <c r="A5819" t="s">
        <v>4767</v>
      </c>
      <c r="G5819" t="s">
        <v>5200</v>
      </c>
    </row>
    <row r="5820" spans="1:8">
      <c r="A5820" t="s">
        <v>4907</v>
      </c>
      <c r="G5820" t="s">
        <v>4294</v>
      </c>
      <c r="H5820">
        <v>5563097</v>
      </c>
    </row>
    <row r="5821" spans="1:7">
      <c r="A5821" t="s">
        <v>5351</v>
      </c>
      <c r="G5821" t="s">
        <v>4294</v>
      </c>
    </row>
    <row r="5822" spans="1:7">
      <c r="A5822" t="s">
        <v>4821</v>
      </c>
      <c r="G5822" t="s">
        <v>4294</v>
      </c>
    </row>
    <row r="5823" spans="1:7">
      <c r="A5823" t="s">
        <v>4345</v>
      </c>
      <c r="G5823" t="s">
        <v>4294</v>
      </c>
    </row>
    <row r="5824" spans="1:7">
      <c r="A5824" t="s">
        <v>4377</v>
      </c>
      <c r="B5824">
        <v>5039097</v>
      </c>
      <c r="G5824" t="s">
        <v>4294</v>
      </c>
    </row>
    <row r="5825" spans="1:7">
      <c r="A5825" t="s">
        <v>4388</v>
      </c>
      <c r="G5825" t="s">
        <v>5305</v>
      </c>
    </row>
    <row r="5826" spans="1:7">
      <c r="A5826" t="s">
        <v>4361</v>
      </c>
      <c r="G5826" t="s">
        <v>5305</v>
      </c>
    </row>
    <row r="5827" spans="1:7">
      <c r="A5827" t="s">
        <v>4336</v>
      </c>
      <c r="G5827" t="s">
        <v>5355</v>
      </c>
    </row>
    <row r="5828" spans="1:7">
      <c r="A5828" t="s">
        <v>4382</v>
      </c>
      <c r="G5828" t="s">
        <v>4505</v>
      </c>
    </row>
    <row r="5829" spans="1:7">
      <c r="A5829" t="s">
        <v>4345</v>
      </c>
      <c r="G5829" t="s">
        <v>5267</v>
      </c>
    </row>
    <row r="5830" spans="1:7">
      <c r="A5830" t="s">
        <v>5301</v>
      </c>
      <c r="G5830" t="s">
        <v>5267</v>
      </c>
    </row>
    <row r="5831" spans="1:7">
      <c r="A5831" t="s">
        <v>4483</v>
      </c>
      <c r="G5831" t="s">
        <v>5267</v>
      </c>
    </row>
    <row r="5832" spans="1:7">
      <c r="A5832" t="s">
        <v>4384</v>
      </c>
      <c r="G5832" t="s">
        <v>5267</v>
      </c>
    </row>
    <row r="5833" spans="1:7">
      <c r="A5833" t="s">
        <v>4907</v>
      </c>
      <c r="G5833" t="s">
        <v>4565</v>
      </c>
    </row>
    <row r="5834" spans="1:7">
      <c r="A5834" t="s">
        <v>5351</v>
      </c>
      <c r="G5834" t="s">
        <v>4565</v>
      </c>
    </row>
    <row r="5835" spans="1:7">
      <c r="A5835" t="s">
        <v>4767</v>
      </c>
      <c r="G5835" t="s">
        <v>4565</v>
      </c>
    </row>
    <row r="5836" spans="1:7">
      <c r="A5836" t="s">
        <v>4378</v>
      </c>
      <c r="G5836" t="s">
        <v>4702</v>
      </c>
    </row>
    <row r="5837" spans="1:8">
      <c r="A5837" t="s">
        <v>4381</v>
      </c>
      <c r="G5837" t="s">
        <v>4702</v>
      </c>
      <c r="H5837">
        <v>5443097</v>
      </c>
    </row>
    <row r="5838" spans="1:7">
      <c r="A5838" t="s">
        <v>4767</v>
      </c>
      <c r="B5838">
        <v>5038097</v>
      </c>
      <c r="G5838" t="s">
        <v>5217</v>
      </c>
    </row>
    <row r="5839" spans="1:8">
      <c r="A5839" t="s">
        <v>4625</v>
      </c>
      <c r="G5839" t="s">
        <v>5254</v>
      </c>
      <c r="H5839">
        <v>5159097</v>
      </c>
    </row>
    <row r="5840" spans="1:7">
      <c r="A5840" t="s">
        <v>5017</v>
      </c>
      <c r="G5840" t="s">
        <v>5254</v>
      </c>
    </row>
    <row r="5841" spans="1:7">
      <c r="A5841" t="s">
        <v>4264</v>
      </c>
      <c r="G5841" t="s">
        <v>4974</v>
      </c>
    </row>
    <row r="5842" spans="1:7">
      <c r="A5842" t="s">
        <v>4439</v>
      </c>
      <c r="G5842" t="s">
        <v>5356</v>
      </c>
    </row>
    <row r="5843" spans="1:7">
      <c r="A5843" t="s">
        <v>5357</v>
      </c>
      <c r="G5843" t="s">
        <v>4858</v>
      </c>
    </row>
    <row r="5844" spans="1:7">
      <c r="A5844" t="s">
        <v>4109</v>
      </c>
      <c r="G5844" t="s">
        <v>4858</v>
      </c>
    </row>
    <row r="5845" spans="1:8">
      <c r="A5845" t="s">
        <v>4521</v>
      </c>
      <c r="G5845" t="s">
        <v>5358</v>
      </c>
      <c r="H5845">
        <v>4939097</v>
      </c>
    </row>
    <row r="5846" spans="1:7">
      <c r="A5846" t="s">
        <v>4079</v>
      </c>
      <c r="G5846" t="s">
        <v>5358</v>
      </c>
    </row>
    <row r="5847" spans="1:8">
      <c r="A5847" t="s">
        <v>5211</v>
      </c>
      <c r="B5847">
        <v>5036097</v>
      </c>
      <c r="G5847" t="s">
        <v>4323</v>
      </c>
      <c r="H5847">
        <v>5531097</v>
      </c>
    </row>
    <row r="5848" spans="1:7">
      <c r="A5848" t="s">
        <v>5162</v>
      </c>
      <c r="G5848" t="s">
        <v>4520</v>
      </c>
    </row>
    <row r="5849" spans="1:7">
      <c r="A5849" t="s">
        <v>5002</v>
      </c>
      <c r="G5849" t="s">
        <v>4520</v>
      </c>
    </row>
    <row r="5850" spans="1:7">
      <c r="A5850" t="s">
        <v>4544</v>
      </c>
      <c r="B5850">
        <v>5029097</v>
      </c>
      <c r="G5850" t="s">
        <v>4520</v>
      </c>
    </row>
    <row r="5851" spans="1:7">
      <c r="A5851" t="s">
        <v>4459</v>
      </c>
      <c r="G5851" t="s">
        <v>4520</v>
      </c>
    </row>
    <row r="5852" spans="1:7">
      <c r="A5852" t="s">
        <v>4048</v>
      </c>
      <c r="G5852" t="s">
        <v>4520</v>
      </c>
    </row>
    <row r="5853" spans="1:7">
      <c r="A5853" t="s">
        <v>4082</v>
      </c>
      <c r="G5853" t="s">
        <v>4520</v>
      </c>
    </row>
    <row r="5854" spans="1:7">
      <c r="A5854" t="s">
        <v>4562</v>
      </c>
      <c r="G5854" t="s">
        <v>4520</v>
      </c>
    </row>
    <row r="5855" spans="1:7">
      <c r="A5855" t="s">
        <v>4084</v>
      </c>
      <c r="G5855" t="s">
        <v>4520</v>
      </c>
    </row>
    <row r="5856" spans="1:7">
      <c r="A5856" t="s">
        <v>4276</v>
      </c>
      <c r="G5856" t="s">
        <v>4539</v>
      </c>
    </row>
    <row r="5857" spans="1:7">
      <c r="A5857" t="s">
        <v>4293</v>
      </c>
      <c r="B5857">
        <v>5027097</v>
      </c>
      <c r="G5857" t="s">
        <v>4539</v>
      </c>
    </row>
    <row r="5858" spans="1:7">
      <c r="A5858" t="s">
        <v>4085</v>
      </c>
      <c r="G5858" t="s">
        <v>4539</v>
      </c>
    </row>
    <row r="5859" spans="1:7">
      <c r="A5859" t="s">
        <v>4441</v>
      </c>
      <c r="G5859" t="s">
        <v>4539</v>
      </c>
    </row>
    <row r="5860" spans="1:7">
      <c r="A5860" t="s">
        <v>4460</v>
      </c>
      <c r="G5860" t="s">
        <v>4539</v>
      </c>
    </row>
    <row r="5861" spans="1:7">
      <c r="A5861" t="s">
        <v>4752</v>
      </c>
      <c r="G5861" t="s">
        <v>4539</v>
      </c>
    </row>
    <row r="5862" spans="1:7">
      <c r="A5862" t="s">
        <v>5294</v>
      </c>
      <c r="G5862" t="s">
        <v>4539</v>
      </c>
    </row>
    <row r="5863" spans="1:7">
      <c r="A5863" t="s">
        <v>5359</v>
      </c>
      <c r="B5863">
        <v>5034097</v>
      </c>
      <c r="G5863" t="s">
        <v>4928</v>
      </c>
    </row>
    <row r="5864" spans="1:7">
      <c r="A5864" t="s">
        <v>4562</v>
      </c>
      <c r="G5864" t="s">
        <v>4928</v>
      </c>
    </row>
    <row r="5865" spans="1:7">
      <c r="A5865" t="s">
        <v>5360</v>
      </c>
      <c r="G5865" t="s">
        <v>4928</v>
      </c>
    </row>
    <row r="5866" spans="1:7">
      <c r="A5866" t="s">
        <v>5143</v>
      </c>
      <c r="G5866" t="s">
        <v>4928</v>
      </c>
    </row>
    <row r="5867" spans="1:7">
      <c r="A5867" t="s">
        <v>5361</v>
      </c>
      <c r="G5867" t="s">
        <v>4800</v>
      </c>
    </row>
    <row r="5868" spans="1:7">
      <c r="A5868" t="s">
        <v>5185</v>
      </c>
      <c r="G5868" t="s">
        <v>4800</v>
      </c>
    </row>
    <row r="5869" spans="1:7">
      <c r="A5869" t="s">
        <v>4898</v>
      </c>
      <c r="G5869" t="s">
        <v>4800</v>
      </c>
    </row>
    <row r="5870" spans="1:7">
      <c r="A5870" t="s">
        <v>4085</v>
      </c>
      <c r="G5870" t="s">
        <v>4800</v>
      </c>
    </row>
    <row r="5871" spans="1:7">
      <c r="A5871" t="s">
        <v>5362</v>
      </c>
      <c r="G5871" t="s">
        <v>4800</v>
      </c>
    </row>
    <row r="5872" spans="1:7">
      <c r="A5872" t="s">
        <v>4613</v>
      </c>
      <c r="G5872" t="s">
        <v>4800</v>
      </c>
    </row>
    <row r="5873" spans="1:7">
      <c r="A5873" t="s">
        <v>5145</v>
      </c>
      <c r="G5873" t="s">
        <v>5363</v>
      </c>
    </row>
    <row r="5874" spans="1:7">
      <c r="A5874" t="s">
        <v>4131</v>
      </c>
      <c r="G5874" t="s">
        <v>5363</v>
      </c>
    </row>
    <row r="5875" spans="1:7">
      <c r="A5875" t="s">
        <v>5088</v>
      </c>
      <c r="G5875" t="s">
        <v>5364</v>
      </c>
    </row>
    <row r="5876" spans="1:7">
      <c r="A5876" t="s">
        <v>4656</v>
      </c>
      <c r="B5876">
        <v>5032097</v>
      </c>
      <c r="G5876" t="s">
        <v>4984</v>
      </c>
    </row>
    <row r="5877" spans="1:7">
      <c r="A5877" t="s">
        <v>5233</v>
      </c>
      <c r="G5877" t="s">
        <v>4984</v>
      </c>
    </row>
    <row r="5878" spans="1:7">
      <c r="A5878" t="s">
        <v>5222</v>
      </c>
      <c r="G5878" t="s">
        <v>4061</v>
      </c>
    </row>
    <row r="5879" spans="1:7">
      <c r="A5879" t="s">
        <v>5365</v>
      </c>
      <c r="B5879">
        <v>5023097</v>
      </c>
      <c r="G5879" t="s">
        <v>4061</v>
      </c>
    </row>
    <row r="5880" spans="1:7">
      <c r="A5880" t="s">
        <v>4285</v>
      </c>
      <c r="G5880" t="s">
        <v>4765</v>
      </c>
    </row>
    <row r="5881" spans="1:8">
      <c r="A5881" t="s">
        <v>4795</v>
      </c>
      <c r="G5881" t="s">
        <v>4765</v>
      </c>
      <c r="H5881">
        <v>5456097</v>
      </c>
    </row>
    <row r="5882" spans="1:7">
      <c r="A5882" t="s">
        <v>4959</v>
      </c>
      <c r="G5882" t="s">
        <v>4765</v>
      </c>
    </row>
    <row r="5883" spans="1:7">
      <c r="A5883" t="s">
        <v>4663</v>
      </c>
      <c r="G5883" t="s">
        <v>4765</v>
      </c>
    </row>
    <row r="5884" spans="1:7">
      <c r="A5884" t="s">
        <v>4160</v>
      </c>
      <c r="G5884" t="s">
        <v>4959</v>
      </c>
    </row>
    <row r="5885" spans="1:7">
      <c r="A5885" t="s">
        <v>5366</v>
      </c>
      <c r="G5885" t="s">
        <v>4959</v>
      </c>
    </row>
    <row r="5886" spans="1:7">
      <c r="A5886" t="s">
        <v>4666</v>
      </c>
      <c r="G5886" t="s">
        <v>4959</v>
      </c>
    </row>
    <row r="5887" spans="1:7">
      <c r="A5887" t="s">
        <v>4143</v>
      </c>
      <c r="G5887" t="s">
        <v>4959</v>
      </c>
    </row>
    <row r="5888" spans="1:7">
      <c r="A5888" t="s">
        <v>4276</v>
      </c>
      <c r="G5888" t="s">
        <v>4959</v>
      </c>
    </row>
    <row r="5889" spans="1:7">
      <c r="A5889" t="s">
        <v>4659</v>
      </c>
      <c r="G5889" t="s">
        <v>4959</v>
      </c>
    </row>
    <row r="5890" spans="1:7">
      <c r="A5890" t="s">
        <v>5234</v>
      </c>
      <c r="G5890" t="s">
        <v>4959</v>
      </c>
    </row>
    <row r="5891" spans="1:7">
      <c r="A5891" t="s">
        <v>4562</v>
      </c>
      <c r="G5891" t="s">
        <v>4959</v>
      </c>
    </row>
    <row r="5892" spans="1:7">
      <c r="A5892" t="s">
        <v>4131</v>
      </c>
      <c r="G5892" t="s">
        <v>4959</v>
      </c>
    </row>
    <row r="5893" spans="1:7">
      <c r="A5893" t="s">
        <v>4291</v>
      </c>
      <c r="G5893" t="s">
        <v>4959</v>
      </c>
    </row>
    <row r="5894" spans="1:7">
      <c r="A5894" t="s">
        <v>5015</v>
      </c>
      <c r="G5894" t="s">
        <v>4959</v>
      </c>
    </row>
    <row r="5895" spans="1:7">
      <c r="A5895" t="s">
        <v>5049</v>
      </c>
      <c r="G5895" t="s">
        <v>4959</v>
      </c>
    </row>
    <row r="5896" spans="1:8">
      <c r="A5896" t="s">
        <v>4921</v>
      </c>
      <c r="G5896" t="s">
        <v>4959</v>
      </c>
      <c r="H5896">
        <v>5232097</v>
      </c>
    </row>
    <row r="5897" spans="1:7">
      <c r="A5897" t="s">
        <v>5367</v>
      </c>
      <c r="G5897" t="s">
        <v>4959</v>
      </c>
    </row>
    <row r="5898" spans="1:7">
      <c r="A5898" t="s">
        <v>5368</v>
      </c>
      <c r="G5898" t="s">
        <v>4959</v>
      </c>
    </row>
    <row r="5899" spans="1:7">
      <c r="A5899" t="s">
        <v>4999</v>
      </c>
      <c r="G5899" t="s">
        <v>4959</v>
      </c>
    </row>
    <row r="5900" spans="1:7">
      <c r="A5900" t="s">
        <v>5322</v>
      </c>
      <c r="G5900" t="s">
        <v>4959</v>
      </c>
    </row>
    <row r="5901" spans="1:7">
      <c r="A5901" t="s">
        <v>5333</v>
      </c>
      <c r="G5901" t="s">
        <v>4959</v>
      </c>
    </row>
    <row r="5902" spans="1:7">
      <c r="A5902" t="s">
        <v>4534</v>
      </c>
      <c r="G5902" t="s">
        <v>4959</v>
      </c>
    </row>
    <row r="5903" spans="1:7">
      <c r="A5903" t="s">
        <v>4097</v>
      </c>
      <c r="G5903" t="s">
        <v>4959</v>
      </c>
    </row>
    <row r="5904" spans="1:7">
      <c r="A5904" t="s">
        <v>4623</v>
      </c>
      <c r="G5904" t="s">
        <v>4959</v>
      </c>
    </row>
    <row r="5905" spans="1:7">
      <c r="A5905" t="s">
        <v>5362</v>
      </c>
      <c r="G5905" t="s">
        <v>4959</v>
      </c>
    </row>
    <row r="5906" spans="1:7">
      <c r="A5906" t="s">
        <v>5369</v>
      </c>
      <c r="G5906" t="s">
        <v>4959</v>
      </c>
    </row>
    <row r="5907" spans="1:7">
      <c r="A5907" t="s">
        <v>4117</v>
      </c>
      <c r="G5907" t="s">
        <v>4959</v>
      </c>
    </row>
    <row r="5908" spans="1:8">
      <c r="A5908" t="s">
        <v>5315</v>
      </c>
      <c r="G5908" t="s">
        <v>4959</v>
      </c>
      <c r="H5908">
        <v>5096097</v>
      </c>
    </row>
    <row r="5909" spans="1:7">
      <c r="A5909" t="s">
        <v>4232</v>
      </c>
      <c r="G5909" t="s">
        <v>4959</v>
      </c>
    </row>
    <row r="5910" spans="1:7">
      <c r="A5910" t="s">
        <v>5045</v>
      </c>
      <c r="G5910" t="s">
        <v>4959</v>
      </c>
    </row>
    <row r="5911" spans="1:7">
      <c r="A5911" t="s">
        <v>5370</v>
      </c>
      <c r="G5911" t="s">
        <v>4959</v>
      </c>
    </row>
    <row r="5912" spans="1:7">
      <c r="A5912" t="s">
        <v>4657</v>
      </c>
      <c r="G5912" t="s">
        <v>4959</v>
      </c>
    </row>
    <row r="5913" spans="1:7">
      <c r="A5913" t="s">
        <v>5371</v>
      </c>
      <c r="G5913" t="s">
        <v>4959</v>
      </c>
    </row>
    <row r="5914" spans="1:7">
      <c r="A5914" t="s">
        <v>4998</v>
      </c>
      <c r="G5914" t="s">
        <v>4959</v>
      </c>
    </row>
    <row r="5915" spans="1:7">
      <c r="A5915" t="s">
        <v>5372</v>
      </c>
      <c r="G5915" t="s">
        <v>4959</v>
      </c>
    </row>
    <row r="5916" spans="1:7">
      <c r="A5916" t="s">
        <v>5373</v>
      </c>
      <c r="B5916">
        <v>5015097</v>
      </c>
      <c r="G5916" t="s">
        <v>4959</v>
      </c>
    </row>
    <row r="5917" spans="1:7">
      <c r="A5917" t="s">
        <v>5374</v>
      </c>
      <c r="G5917" t="s">
        <v>4959</v>
      </c>
    </row>
    <row r="5918" spans="1:7">
      <c r="A5918" t="s">
        <v>4147</v>
      </c>
      <c r="G5918" t="s">
        <v>4959</v>
      </c>
    </row>
    <row r="5919" spans="1:7">
      <c r="A5919" t="s">
        <v>4092</v>
      </c>
      <c r="G5919" t="s">
        <v>4959</v>
      </c>
    </row>
    <row r="5920" spans="1:7">
      <c r="A5920" t="s">
        <v>5375</v>
      </c>
      <c r="G5920" t="s">
        <v>4959</v>
      </c>
    </row>
    <row r="5921" spans="1:7">
      <c r="A5921" t="s">
        <v>4949</v>
      </c>
      <c r="G5921" t="s">
        <v>4959</v>
      </c>
    </row>
    <row r="5922" spans="1:7">
      <c r="A5922" t="s">
        <v>5053</v>
      </c>
      <c r="G5922" t="s">
        <v>4959</v>
      </c>
    </row>
    <row r="5923" spans="1:7">
      <c r="A5923" t="s">
        <v>4128</v>
      </c>
      <c r="G5923" t="s">
        <v>4959</v>
      </c>
    </row>
    <row r="5924" spans="1:7">
      <c r="A5924" t="s">
        <v>5138</v>
      </c>
      <c r="G5924" t="s">
        <v>4959</v>
      </c>
    </row>
    <row r="5925" spans="1:7">
      <c r="A5925" t="s">
        <v>4153</v>
      </c>
      <c r="G5925" t="s">
        <v>4959</v>
      </c>
    </row>
    <row r="5926" spans="1:7">
      <c r="A5926" t="s">
        <v>5336</v>
      </c>
      <c r="G5926" t="s">
        <v>4959</v>
      </c>
    </row>
    <row r="5927" spans="1:7">
      <c r="A5927" t="s">
        <v>4613</v>
      </c>
      <c r="G5927" t="s">
        <v>4959</v>
      </c>
    </row>
    <row r="5928" spans="1:7">
      <c r="A5928" t="s">
        <v>5376</v>
      </c>
      <c r="G5928" t="s">
        <v>4959</v>
      </c>
    </row>
    <row r="5929" spans="1:7">
      <c r="A5929" t="s">
        <v>4085</v>
      </c>
      <c r="G5929" t="s">
        <v>4959</v>
      </c>
    </row>
    <row r="5930" spans="1:7">
      <c r="A5930" t="s">
        <v>5056</v>
      </c>
      <c r="G5930" t="s">
        <v>4959</v>
      </c>
    </row>
    <row r="5931" spans="1:7">
      <c r="A5931" t="s">
        <v>4568</v>
      </c>
      <c r="B5931">
        <v>5030097</v>
      </c>
      <c r="G5931" t="s">
        <v>4959</v>
      </c>
    </row>
    <row r="5932" spans="1:7">
      <c r="A5932" t="s">
        <v>4976</v>
      </c>
      <c r="B5932">
        <v>5014097</v>
      </c>
      <c r="G5932" t="s">
        <v>5208</v>
      </c>
    </row>
    <row r="5933" spans="1:7">
      <c r="A5933" t="s">
        <v>4938</v>
      </c>
      <c r="G5933" t="s">
        <v>5208</v>
      </c>
    </row>
    <row r="5934" spans="1:7">
      <c r="A5934" t="s">
        <v>5377</v>
      </c>
      <c r="G5934" t="s">
        <v>5208</v>
      </c>
    </row>
    <row r="5935" spans="1:7">
      <c r="A5935" t="s">
        <v>4372</v>
      </c>
      <c r="G5935" t="s">
        <v>5208</v>
      </c>
    </row>
    <row r="5936" spans="1:8">
      <c r="A5936" t="s">
        <v>4052</v>
      </c>
      <c r="G5936" t="s">
        <v>5208</v>
      </c>
      <c r="H5936">
        <v>5043097</v>
      </c>
    </row>
    <row r="5937" spans="1:7">
      <c r="A5937" t="s">
        <v>4147</v>
      </c>
      <c r="G5937" t="s">
        <v>5208</v>
      </c>
    </row>
    <row r="5938" spans="1:7">
      <c r="A5938" t="s">
        <v>4179</v>
      </c>
      <c r="G5938" t="s">
        <v>5208</v>
      </c>
    </row>
    <row r="5939" spans="1:7">
      <c r="A5939" t="s">
        <v>4143</v>
      </c>
      <c r="G5939" t="s">
        <v>5208</v>
      </c>
    </row>
    <row r="5940" spans="1:8">
      <c r="A5940" t="s">
        <v>5004</v>
      </c>
      <c r="G5940" t="s">
        <v>5208</v>
      </c>
      <c r="H5940">
        <v>4941097</v>
      </c>
    </row>
    <row r="5941" spans="1:7">
      <c r="A5941" t="s">
        <v>4905</v>
      </c>
      <c r="G5941" t="s">
        <v>5208</v>
      </c>
    </row>
    <row r="5942" spans="1:7">
      <c r="A5942" t="s">
        <v>4417</v>
      </c>
      <c r="G5942" t="s">
        <v>5208</v>
      </c>
    </row>
    <row r="5943" spans="1:7">
      <c r="A5943" t="s">
        <v>4190</v>
      </c>
      <c r="G5943" t="s">
        <v>5208</v>
      </c>
    </row>
    <row r="5944" spans="1:7">
      <c r="A5944" t="s">
        <v>5228</v>
      </c>
      <c r="G5944" t="s">
        <v>5208</v>
      </c>
    </row>
    <row r="5945" spans="1:7">
      <c r="A5945" t="s">
        <v>5138</v>
      </c>
      <c r="G5945" t="s">
        <v>4279</v>
      </c>
    </row>
    <row r="5946" spans="1:7">
      <c r="A5946" t="s">
        <v>5328</v>
      </c>
      <c r="G5946" t="s">
        <v>4279</v>
      </c>
    </row>
    <row r="5947" spans="1:7">
      <c r="A5947" t="s">
        <v>5015</v>
      </c>
      <c r="G5947" t="s">
        <v>4279</v>
      </c>
    </row>
    <row r="5948" spans="1:7">
      <c r="A5948" t="s">
        <v>5187</v>
      </c>
      <c r="G5948" t="s">
        <v>4279</v>
      </c>
    </row>
    <row r="5949" spans="1:7">
      <c r="A5949" t="s">
        <v>4455</v>
      </c>
      <c r="G5949" t="s">
        <v>4279</v>
      </c>
    </row>
    <row r="5950" spans="1:7">
      <c r="A5950" t="s">
        <v>5378</v>
      </c>
      <c r="G5950" t="s">
        <v>4279</v>
      </c>
    </row>
    <row r="5951" spans="1:7">
      <c r="A5951" t="s">
        <v>4369</v>
      </c>
      <c r="G5951" t="s">
        <v>4723</v>
      </c>
    </row>
    <row r="5952" spans="1:7">
      <c r="A5952" t="s">
        <v>4085</v>
      </c>
      <c r="G5952" t="s">
        <v>4723</v>
      </c>
    </row>
    <row r="5953" spans="1:7">
      <c r="A5953" t="s">
        <v>5329</v>
      </c>
      <c r="B5953">
        <v>5013097</v>
      </c>
      <c r="G5953" t="s">
        <v>4723</v>
      </c>
    </row>
    <row r="5954" spans="1:7">
      <c r="A5954" t="s">
        <v>4117</v>
      </c>
      <c r="G5954" t="s">
        <v>4723</v>
      </c>
    </row>
    <row r="5955" spans="1:7">
      <c r="A5955" t="s">
        <v>4900</v>
      </c>
      <c r="G5955" t="s">
        <v>4723</v>
      </c>
    </row>
    <row r="5956" spans="1:7">
      <c r="A5956" t="s">
        <v>4589</v>
      </c>
      <c r="G5956" t="s">
        <v>5344</v>
      </c>
    </row>
    <row r="5957" spans="1:7">
      <c r="A5957" t="s">
        <v>4178</v>
      </c>
      <c r="G5957" t="s">
        <v>5048</v>
      </c>
    </row>
    <row r="5958" spans="1:7">
      <c r="A5958" t="s">
        <v>4136</v>
      </c>
      <c r="G5958" t="s">
        <v>5140</v>
      </c>
    </row>
    <row r="5959" spans="1:7">
      <c r="A5959" t="s">
        <v>4084</v>
      </c>
      <c r="G5959" t="s">
        <v>5140</v>
      </c>
    </row>
    <row r="5960" spans="1:7">
      <c r="A5960" t="s">
        <v>4276</v>
      </c>
      <c r="G5960" t="s">
        <v>5140</v>
      </c>
    </row>
    <row r="5961" spans="1:7">
      <c r="A5961" t="s">
        <v>4799</v>
      </c>
      <c r="G5961" t="s">
        <v>5140</v>
      </c>
    </row>
    <row r="5962" spans="1:7">
      <c r="A5962" t="s">
        <v>4978</v>
      </c>
      <c r="G5962" t="s">
        <v>5140</v>
      </c>
    </row>
    <row r="5963" spans="1:7">
      <c r="A5963" t="s">
        <v>4188</v>
      </c>
      <c r="G5963" t="s">
        <v>5140</v>
      </c>
    </row>
    <row r="5964" spans="1:7">
      <c r="A5964" t="s">
        <v>4703</v>
      </c>
      <c r="G5964" t="s">
        <v>4416</v>
      </c>
    </row>
    <row r="5965" spans="1:7">
      <c r="A5965" t="s">
        <v>4736</v>
      </c>
      <c r="G5965" t="s">
        <v>4416</v>
      </c>
    </row>
    <row r="5966" spans="1:7">
      <c r="A5966" t="s">
        <v>4560</v>
      </c>
      <c r="G5966" t="s">
        <v>5129</v>
      </c>
    </row>
    <row r="5967" spans="1:8">
      <c r="A5967" t="s">
        <v>5208</v>
      </c>
      <c r="G5967" t="s">
        <v>4267</v>
      </c>
      <c r="H5967">
        <v>5584097</v>
      </c>
    </row>
    <row r="5968" spans="1:7">
      <c r="A5968" t="s">
        <v>5074</v>
      </c>
      <c r="G5968" t="s">
        <v>5379</v>
      </c>
    </row>
    <row r="5969" spans="1:7">
      <c r="A5969" t="s">
        <v>4656</v>
      </c>
      <c r="G5969" t="s">
        <v>5379</v>
      </c>
    </row>
    <row r="5970" spans="1:7">
      <c r="A5970" t="s">
        <v>5188</v>
      </c>
      <c r="G5970" t="s">
        <v>5380</v>
      </c>
    </row>
    <row r="5971" spans="1:7">
      <c r="A5971" t="s">
        <v>4109</v>
      </c>
      <c r="G5971" t="s">
        <v>5380</v>
      </c>
    </row>
    <row r="5972" spans="1:7">
      <c r="A5972" t="s">
        <v>4098</v>
      </c>
      <c r="G5972" t="s">
        <v>4055</v>
      </c>
    </row>
    <row r="5973" spans="1:7">
      <c r="A5973" t="s">
        <v>4092</v>
      </c>
      <c r="G5973" t="s">
        <v>4055</v>
      </c>
    </row>
    <row r="5974" spans="1:7">
      <c r="A5974" t="s">
        <v>4712</v>
      </c>
      <c r="G5974" t="s">
        <v>4055</v>
      </c>
    </row>
    <row r="5975" spans="1:7">
      <c r="A5975" t="s">
        <v>4076</v>
      </c>
      <c r="G5975" t="s">
        <v>4055</v>
      </c>
    </row>
    <row r="5976" spans="1:7">
      <c r="A5976" t="s">
        <v>4131</v>
      </c>
      <c r="G5976" t="s">
        <v>4055</v>
      </c>
    </row>
    <row r="5977" spans="1:7">
      <c r="A5977" t="s">
        <v>4808</v>
      </c>
      <c r="B5977">
        <v>5012097</v>
      </c>
      <c r="G5977" t="s">
        <v>4055</v>
      </c>
    </row>
    <row r="5978" spans="1:7">
      <c r="A5978" t="s">
        <v>4659</v>
      </c>
      <c r="G5978" t="s">
        <v>4055</v>
      </c>
    </row>
    <row r="5979" spans="1:7">
      <c r="A5979" t="s">
        <v>4132</v>
      </c>
      <c r="G5979" t="s">
        <v>4055</v>
      </c>
    </row>
    <row r="5980" spans="1:7">
      <c r="A5980" t="s">
        <v>5237</v>
      </c>
      <c r="B5980">
        <v>5029097</v>
      </c>
      <c r="G5980" t="s">
        <v>4055</v>
      </c>
    </row>
    <row r="5981" spans="1:7">
      <c r="A5981" t="s">
        <v>4215</v>
      </c>
      <c r="G5981" t="s">
        <v>4055</v>
      </c>
    </row>
    <row r="5982" spans="1:7">
      <c r="A5982" t="s">
        <v>4230</v>
      </c>
      <c r="G5982" t="s">
        <v>4055</v>
      </c>
    </row>
    <row r="5983" spans="1:7">
      <c r="A5983" t="s">
        <v>5362</v>
      </c>
      <c r="G5983" t="s">
        <v>4055</v>
      </c>
    </row>
    <row r="5984" spans="1:7">
      <c r="A5984" t="s">
        <v>4120</v>
      </c>
      <c r="G5984" t="s">
        <v>4055</v>
      </c>
    </row>
    <row r="5985" spans="1:7">
      <c r="A5985" t="s">
        <v>4659</v>
      </c>
      <c r="G5985" t="s">
        <v>4055</v>
      </c>
    </row>
    <row r="5986" spans="1:7">
      <c r="A5986" t="s">
        <v>4085</v>
      </c>
      <c r="G5986" t="s">
        <v>4055</v>
      </c>
    </row>
    <row r="5987" spans="1:7">
      <c r="A5987" t="s">
        <v>4239</v>
      </c>
      <c r="B5987">
        <v>5027097</v>
      </c>
      <c r="G5987" t="s">
        <v>4055</v>
      </c>
    </row>
    <row r="5988" spans="1:7">
      <c r="A5988" t="s">
        <v>4652</v>
      </c>
      <c r="G5988" t="s">
        <v>4055</v>
      </c>
    </row>
    <row r="5989" spans="1:7">
      <c r="A5989" t="s">
        <v>4620</v>
      </c>
      <c r="G5989" t="s">
        <v>4055</v>
      </c>
    </row>
    <row r="5990" spans="1:7">
      <c r="A5990" t="s">
        <v>4477</v>
      </c>
      <c r="G5990" t="s">
        <v>4055</v>
      </c>
    </row>
    <row r="5991" spans="1:7">
      <c r="A5991" t="s">
        <v>5036</v>
      </c>
      <c r="G5991" t="s">
        <v>4055</v>
      </c>
    </row>
    <row r="5992" spans="1:7">
      <c r="A5992" t="s">
        <v>4500</v>
      </c>
      <c r="G5992" t="s">
        <v>4055</v>
      </c>
    </row>
    <row r="5993" spans="1:7">
      <c r="A5993" t="s">
        <v>4211</v>
      </c>
      <c r="G5993" t="s">
        <v>4055</v>
      </c>
    </row>
    <row r="5994" spans="1:7">
      <c r="A5994" t="s">
        <v>4824</v>
      </c>
      <c r="G5994" t="s">
        <v>4055</v>
      </c>
    </row>
    <row r="5995" spans="1:7">
      <c r="A5995" t="s">
        <v>4290</v>
      </c>
      <c r="G5995" t="s">
        <v>4055</v>
      </c>
    </row>
    <row r="5996" spans="1:7">
      <c r="A5996" t="s">
        <v>4161</v>
      </c>
      <c r="G5996" t="s">
        <v>4055</v>
      </c>
    </row>
    <row r="5997" spans="1:7">
      <c r="A5997" t="s">
        <v>5224</v>
      </c>
      <c r="B5997">
        <v>5010097</v>
      </c>
      <c r="G5997" t="s">
        <v>4055</v>
      </c>
    </row>
    <row r="5998" spans="1:7">
      <c r="A5998" t="s">
        <v>4978</v>
      </c>
      <c r="G5998" t="s">
        <v>4055</v>
      </c>
    </row>
    <row r="5999" spans="1:7">
      <c r="A5999" t="s">
        <v>4736</v>
      </c>
      <c r="G5999" t="s">
        <v>4055</v>
      </c>
    </row>
    <row r="6000" spans="1:7">
      <c r="A6000" t="s">
        <v>4091</v>
      </c>
      <c r="G6000" t="s">
        <v>4055</v>
      </c>
    </row>
    <row r="6001" spans="1:7">
      <c r="A6001" t="s">
        <v>4996</v>
      </c>
      <c r="G6001" t="s">
        <v>4055</v>
      </c>
    </row>
    <row r="6002" spans="1:7">
      <c r="A6002" t="s">
        <v>4617</v>
      </c>
      <c r="G6002" t="s">
        <v>4055</v>
      </c>
    </row>
    <row r="6003" spans="1:7">
      <c r="A6003" t="s">
        <v>4162</v>
      </c>
      <c r="G6003" t="s">
        <v>4055</v>
      </c>
    </row>
    <row r="6004" spans="1:7">
      <c r="A6004" t="s">
        <v>4173</v>
      </c>
      <c r="G6004" t="s">
        <v>4055</v>
      </c>
    </row>
    <row r="6005" spans="1:7">
      <c r="A6005" t="s">
        <v>4633</v>
      </c>
      <c r="G6005" t="s">
        <v>4055</v>
      </c>
    </row>
    <row r="6006" spans="1:7">
      <c r="A6006" t="s">
        <v>4266</v>
      </c>
      <c r="G6006" t="s">
        <v>4055</v>
      </c>
    </row>
    <row r="6007" spans="1:7">
      <c r="A6007" t="s">
        <v>5272</v>
      </c>
      <c r="G6007" t="s">
        <v>4055</v>
      </c>
    </row>
    <row r="6008" spans="1:7">
      <c r="A6008" t="s">
        <v>5047</v>
      </c>
      <c r="G6008" t="s">
        <v>4055</v>
      </c>
    </row>
    <row r="6009" spans="1:7">
      <c r="A6009" t="s">
        <v>5002</v>
      </c>
      <c r="B6009">
        <v>5023097</v>
      </c>
      <c r="G6009" t="s">
        <v>4055</v>
      </c>
    </row>
    <row r="6010" spans="1:7">
      <c r="A6010" t="s">
        <v>4313</v>
      </c>
      <c r="G6010" t="s">
        <v>4055</v>
      </c>
    </row>
    <row r="6011" spans="1:7">
      <c r="A6011" t="s">
        <v>4224</v>
      </c>
      <c r="G6011" t="s">
        <v>4055</v>
      </c>
    </row>
    <row r="6012" spans="1:7">
      <c r="A6012" t="s">
        <v>4289</v>
      </c>
      <c r="G6012" t="s">
        <v>4055</v>
      </c>
    </row>
    <row r="6013" spans="1:7">
      <c r="A6013" t="s">
        <v>4324</v>
      </c>
      <c r="G6013" t="s">
        <v>4055</v>
      </c>
    </row>
    <row r="6014" spans="1:7">
      <c r="A6014" t="s">
        <v>4211</v>
      </c>
      <c r="G6014" t="s">
        <v>4055</v>
      </c>
    </row>
    <row r="6015" spans="1:7">
      <c r="A6015" t="s">
        <v>5112</v>
      </c>
      <c r="G6015" t="s">
        <v>4055</v>
      </c>
    </row>
    <row r="6016" spans="1:7">
      <c r="A6016" t="s">
        <v>5229</v>
      </c>
      <c r="G6016" t="s">
        <v>4055</v>
      </c>
    </row>
    <row r="6017" spans="1:7">
      <c r="A6017" t="s">
        <v>4459</v>
      </c>
      <c r="G6017" t="s">
        <v>5220</v>
      </c>
    </row>
    <row r="6018" spans="1:7">
      <c r="A6018" t="s">
        <v>5379</v>
      </c>
      <c r="G6018" t="s">
        <v>4888</v>
      </c>
    </row>
    <row r="6019" spans="1:7">
      <c r="A6019" t="s">
        <v>5242</v>
      </c>
      <c r="G6019" t="s">
        <v>5274</v>
      </c>
    </row>
    <row r="6020" spans="1:7">
      <c r="A6020" t="s">
        <v>4805</v>
      </c>
      <c r="G6020" t="s">
        <v>4997</v>
      </c>
    </row>
    <row r="6021" spans="1:7">
      <c r="A6021" t="s">
        <v>3976</v>
      </c>
      <c r="G6021" t="s">
        <v>4997</v>
      </c>
    </row>
    <row r="6022" spans="1:7">
      <c r="A6022" t="s">
        <v>4006</v>
      </c>
      <c r="G6022" t="s">
        <v>4997</v>
      </c>
    </row>
    <row r="6023" spans="1:7">
      <c r="A6023" t="s">
        <v>4724</v>
      </c>
      <c r="G6023" t="s">
        <v>4997</v>
      </c>
    </row>
    <row r="6024" spans="1:7">
      <c r="A6024" t="s">
        <v>4301</v>
      </c>
      <c r="G6024" t="s">
        <v>4997</v>
      </c>
    </row>
    <row r="6025" spans="1:7">
      <c r="A6025" t="s">
        <v>4034</v>
      </c>
      <c r="G6025" t="s">
        <v>4997</v>
      </c>
    </row>
    <row r="6026" spans="1:7">
      <c r="A6026" t="s">
        <v>4052</v>
      </c>
      <c r="G6026" t="s">
        <v>4997</v>
      </c>
    </row>
    <row r="6027" spans="1:7">
      <c r="A6027" t="s">
        <v>5245</v>
      </c>
      <c r="G6027" t="s">
        <v>4997</v>
      </c>
    </row>
    <row r="6028" spans="1:7">
      <c r="A6028" t="s">
        <v>5381</v>
      </c>
      <c r="G6028" t="s">
        <v>4997</v>
      </c>
    </row>
    <row r="6029" spans="1:7">
      <c r="A6029" t="s">
        <v>4591</v>
      </c>
      <c r="G6029" t="s">
        <v>4997</v>
      </c>
    </row>
    <row r="6030" spans="1:7">
      <c r="A6030" t="s">
        <v>4215</v>
      </c>
      <c r="G6030" t="s">
        <v>4997</v>
      </c>
    </row>
    <row r="6031" spans="1:7">
      <c r="A6031" t="s">
        <v>4413</v>
      </c>
      <c r="G6031" t="s">
        <v>4233</v>
      </c>
    </row>
    <row r="6032" spans="1:7">
      <c r="A6032" t="s">
        <v>4055</v>
      </c>
      <c r="G6032" t="s">
        <v>4233</v>
      </c>
    </row>
    <row r="6033" spans="1:7">
      <c r="A6033" t="s">
        <v>4305</v>
      </c>
      <c r="G6033" t="s">
        <v>4233</v>
      </c>
    </row>
    <row r="6034" spans="1:7">
      <c r="A6034" t="s">
        <v>4147</v>
      </c>
      <c r="G6034" t="s">
        <v>4233</v>
      </c>
    </row>
    <row r="6035" spans="1:7">
      <c r="A6035" t="s">
        <v>5181</v>
      </c>
      <c r="G6035" t="s">
        <v>4233</v>
      </c>
    </row>
    <row r="6036" spans="1:7">
      <c r="A6036" t="s">
        <v>4645</v>
      </c>
      <c r="G6036" t="s">
        <v>4233</v>
      </c>
    </row>
    <row r="6037" spans="1:7">
      <c r="A6037" t="s">
        <v>4304</v>
      </c>
      <c r="G6037" t="s">
        <v>4233</v>
      </c>
    </row>
    <row r="6038" spans="1:8">
      <c r="A6038" t="s">
        <v>4295</v>
      </c>
      <c r="G6038" t="s">
        <v>4233</v>
      </c>
      <c r="H6038">
        <v>5446097</v>
      </c>
    </row>
    <row r="6039" spans="1:7">
      <c r="A6039" t="s">
        <v>5382</v>
      </c>
      <c r="G6039" t="s">
        <v>4233</v>
      </c>
    </row>
    <row r="6040" spans="1:7">
      <c r="A6040" t="s">
        <v>4959</v>
      </c>
      <c r="G6040" t="s">
        <v>4233</v>
      </c>
    </row>
    <row r="6041" spans="1:7">
      <c r="A6041" t="s">
        <v>5334</v>
      </c>
      <c r="B6041">
        <v>5000097</v>
      </c>
      <c r="G6041" t="s">
        <v>4233</v>
      </c>
    </row>
    <row r="6042" spans="1:7">
      <c r="A6042" t="s">
        <v>4817</v>
      </c>
      <c r="G6042" t="s">
        <v>4233</v>
      </c>
    </row>
    <row r="6043" spans="1:7">
      <c r="A6043" t="s">
        <v>4593</v>
      </c>
      <c r="G6043" t="s">
        <v>4233</v>
      </c>
    </row>
    <row r="6044" spans="1:7">
      <c r="A6044" t="s">
        <v>4824</v>
      </c>
      <c r="G6044" t="s">
        <v>4233</v>
      </c>
    </row>
    <row r="6045" spans="1:7">
      <c r="A6045" t="s">
        <v>5225</v>
      </c>
      <c r="G6045" t="s">
        <v>4233</v>
      </c>
    </row>
    <row r="6046" spans="1:7">
      <c r="A6046" t="s">
        <v>4411</v>
      </c>
      <c r="B6046">
        <v>5015097</v>
      </c>
      <c r="G6046" t="s">
        <v>4233</v>
      </c>
    </row>
    <row r="6047" spans="1:7">
      <c r="A6047" t="s">
        <v>4465</v>
      </c>
      <c r="G6047" t="s">
        <v>4233</v>
      </c>
    </row>
    <row r="6048" spans="1:8">
      <c r="A6048" t="s">
        <v>5254</v>
      </c>
      <c r="G6048" t="s">
        <v>4233</v>
      </c>
      <c r="H6048">
        <v>5397097</v>
      </c>
    </row>
    <row r="6049" spans="1:8">
      <c r="A6049" t="s">
        <v>5383</v>
      </c>
      <c r="G6049" t="s">
        <v>4233</v>
      </c>
      <c r="H6049">
        <v>5404097</v>
      </c>
    </row>
    <row r="6050" spans="1:7">
      <c r="A6050" t="s">
        <v>4785</v>
      </c>
      <c r="G6050" t="s">
        <v>4233</v>
      </c>
    </row>
    <row r="6051" spans="1:7">
      <c r="A6051" t="s">
        <v>5306</v>
      </c>
      <c r="G6051" t="s">
        <v>4233</v>
      </c>
    </row>
    <row r="6052" spans="1:7">
      <c r="A6052" t="s">
        <v>4467</v>
      </c>
      <c r="G6052" t="s">
        <v>4233</v>
      </c>
    </row>
    <row r="6053" spans="1:7">
      <c r="A6053" t="s">
        <v>5152</v>
      </c>
      <c r="G6053" t="s">
        <v>4233</v>
      </c>
    </row>
    <row r="6054" spans="1:7">
      <c r="A6054" t="s">
        <v>4659</v>
      </c>
      <c r="G6054" t="s">
        <v>4233</v>
      </c>
    </row>
    <row r="6055" spans="1:7">
      <c r="A6055" t="s">
        <v>5356</v>
      </c>
      <c r="G6055" t="s">
        <v>4233</v>
      </c>
    </row>
    <row r="6056" spans="1:7">
      <c r="A6056" t="s">
        <v>4813</v>
      </c>
      <c r="G6056" t="s">
        <v>4233</v>
      </c>
    </row>
    <row r="6057" spans="1:7">
      <c r="A6057" t="s">
        <v>4755</v>
      </c>
      <c r="G6057" t="s">
        <v>4233</v>
      </c>
    </row>
    <row r="6058" spans="1:7">
      <c r="A6058" t="s">
        <v>5384</v>
      </c>
      <c r="G6058" t="s">
        <v>4233</v>
      </c>
    </row>
    <row r="6059" spans="1:7">
      <c r="A6059" t="s">
        <v>4782</v>
      </c>
      <c r="G6059" t="s">
        <v>4233</v>
      </c>
    </row>
    <row r="6060" spans="1:7">
      <c r="A6060" t="s">
        <v>4307</v>
      </c>
      <c r="G6060" t="s">
        <v>4233</v>
      </c>
    </row>
    <row r="6061" spans="1:7">
      <c r="A6061" t="s">
        <v>5294</v>
      </c>
      <c r="G6061" t="s">
        <v>4233</v>
      </c>
    </row>
    <row r="6062" spans="1:7">
      <c r="A6062" t="s">
        <v>4334</v>
      </c>
      <c r="B6062">
        <v>5014097</v>
      </c>
      <c r="G6062" t="s">
        <v>4233</v>
      </c>
    </row>
    <row r="6063" spans="1:7">
      <c r="A6063" t="s">
        <v>4363</v>
      </c>
      <c r="G6063" t="s">
        <v>4233</v>
      </c>
    </row>
    <row r="6064" spans="1:7">
      <c r="A6064" t="s">
        <v>4382</v>
      </c>
      <c r="G6064" t="s">
        <v>4233</v>
      </c>
    </row>
    <row r="6065" spans="1:7">
      <c r="A6065" t="s">
        <v>5351</v>
      </c>
      <c r="G6065" t="s">
        <v>4233</v>
      </c>
    </row>
    <row r="6066" spans="1:7">
      <c r="A6066" t="s">
        <v>4342</v>
      </c>
      <c r="G6066" t="s">
        <v>4233</v>
      </c>
    </row>
    <row r="6067" spans="1:7">
      <c r="A6067" t="s">
        <v>4969</v>
      </c>
      <c r="G6067" t="s">
        <v>4133</v>
      </c>
    </row>
    <row r="6068" spans="1:7">
      <c r="A6068" t="s">
        <v>4576</v>
      </c>
      <c r="G6068" t="s">
        <v>5385</v>
      </c>
    </row>
    <row r="6069" spans="1:7">
      <c r="A6069" t="s">
        <v>4377</v>
      </c>
      <c r="G6069" t="s">
        <v>5385</v>
      </c>
    </row>
    <row r="6070" spans="1:7">
      <c r="A6070" t="s">
        <v>5386</v>
      </c>
      <c r="G6070" t="s">
        <v>5385</v>
      </c>
    </row>
    <row r="6071" spans="1:7">
      <c r="A6071" t="s">
        <v>4356</v>
      </c>
      <c r="G6071" t="s">
        <v>4003</v>
      </c>
    </row>
    <row r="6072" spans="1:7">
      <c r="A6072" t="s">
        <v>5387</v>
      </c>
      <c r="G6072" t="s">
        <v>4003</v>
      </c>
    </row>
    <row r="6073" spans="1:7">
      <c r="A6073" t="s">
        <v>4358</v>
      </c>
      <c r="G6073" t="s">
        <v>4712</v>
      </c>
    </row>
    <row r="6074" spans="1:7">
      <c r="A6074" t="s">
        <v>5388</v>
      </c>
      <c r="G6074" t="s">
        <v>4712</v>
      </c>
    </row>
    <row r="6075" spans="1:7">
      <c r="A6075" t="s">
        <v>4575</v>
      </c>
      <c r="G6075" t="s">
        <v>4712</v>
      </c>
    </row>
    <row r="6076" spans="1:7">
      <c r="A6076" t="s">
        <v>4336</v>
      </c>
      <c r="G6076" t="s">
        <v>4712</v>
      </c>
    </row>
    <row r="6077" spans="1:7">
      <c r="A6077" t="s">
        <v>4354</v>
      </c>
      <c r="G6077" t="s">
        <v>4712</v>
      </c>
    </row>
    <row r="6078" spans="1:7">
      <c r="A6078" t="s">
        <v>4340</v>
      </c>
      <c r="G6078" t="s">
        <v>4712</v>
      </c>
    </row>
    <row r="6079" spans="1:7">
      <c r="A6079" t="s">
        <v>4632</v>
      </c>
      <c r="G6079" t="s">
        <v>4712</v>
      </c>
    </row>
    <row r="6080" spans="1:7">
      <c r="A6080" t="s">
        <v>4574</v>
      </c>
      <c r="G6080" t="s">
        <v>4712</v>
      </c>
    </row>
    <row r="6081" spans="1:7">
      <c r="A6081" t="s">
        <v>5389</v>
      </c>
      <c r="G6081" t="s">
        <v>4712</v>
      </c>
    </row>
    <row r="6082" spans="1:7">
      <c r="A6082" t="s">
        <v>5186</v>
      </c>
      <c r="G6082" t="s">
        <v>4712</v>
      </c>
    </row>
    <row r="6083" spans="1:7">
      <c r="A6083" t="s">
        <v>4358</v>
      </c>
      <c r="B6083">
        <v>5013097</v>
      </c>
      <c r="G6083" t="s">
        <v>4712</v>
      </c>
    </row>
    <row r="6084" spans="1:7">
      <c r="A6084" t="s">
        <v>5386</v>
      </c>
      <c r="G6084" t="s">
        <v>5390</v>
      </c>
    </row>
    <row r="6085" spans="1:7">
      <c r="A6085" t="s">
        <v>4354</v>
      </c>
      <c r="G6085" t="s">
        <v>5391</v>
      </c>
    </row>
    <row r="6086" spans="1:7">
      <c r="A6086" t="s">
        <v>4334</v>
      </c>
      <c r="B6086">
        <v>4999097</v>
      </c>
      <c r="G6086" t="s">
        <v>5391</v>
      </c>
    </row>
    <row r="6087" spans="1:7">
      <c r="A6087" t="s">
        <v>5392</v>
      </c>
      <c r="G6087" t="s">
        <v>4799</v>
      </c>
    </row>
    <row r="6088" spans="1:7">
      <c r="A6088" t="s">
        <v>5393</v>
      </c>
      <c r="G6088" t="s">
        <v>4799</v>
      </c>
    </row>
    <row r="6089" spans="1:7">
      <c r="A6089" t="s">
        <v>5389</v>
      </c>
      <c r="G6089" t="s">
        <v>4799</v>
      </c>
    </row>
    <row r="6090" spans="1:7">
      <c r="A6090" t="s">
        <v>5394</v>
      </c>
      <c r="G6090" t="s">
        <v>4799</v>
      </c>
    </row>
    <row r="6091" spans="1:7">
      <c r="A6091" t="s">
        <v>4379</v>
      </c>
      <c r="G6091" t="s">
        <v>4799</v>
      </c>
    </row>
    <row r="6092" spans="1:7">
      <c r="A6092" t="s">
        <v>4363</v>
      </c>
      <c r="G6092" t="s">
        <v>4799</v>
      </c>
    </row>
    <row r="6093" spans="1:7">
      <c r="A6093" t="s">
        <v>5351</v>
      </c>
      <c r="G6093" t="s">
        <v>4799</v>
      </c>
    </row>
    <row r="6094" spans="1:7">
      <c r="A6094" t="s">
        <v>4382</v>
      </c>
      <c r="G6094" t="s">
        <v>4799</v>
      </c>
    </row>
    <row r="6095" spans="1:7">
      <c r="A6095" t="s">
        <v>4342</v>
      </c>
      <c r="G6095" t="s">
        <v>4799</v>
      </c>
    </row>
    <row r="6096" spans="1:7">
      <c r="A6096" t="s">
        <v>4969</v>
      </c>
      <c r="G6096" t="s">
        <v>4799</v>
      </c>
    </row>
    <row r="6097" spans="1:7">
      <c r="A6097" t="s">
        <v>5387</v>
      </c>
      <c r="G6097" t="s">
        <v>4799</v>
      </c>
    </row>
    <row r="6098" spans="1:7">
      <c r="A6098" t="s">
        <v>5388</v>
      </c>
      <c r="G6098" t="s">
        <v>4799</v>
      </c>
    </row>
    <row r="6099" spans="1:7">
      <c r="A6099" t="s">
        <v>4356</v>
      </c>
      <c r="G6099" t="s">
        <v>4799</v>
      </c>
    </row>
    <row r="6100" spans="1:7">
      <c r="A6100" t="s">
        <v>4377</v>
      </c>
      <c r="G6100" t="s">
        <v>4799</v>
      </c>
    </row>
    <row r="6101" spans="1:7">
      <c r="A6101" t="s">
        <v>4576</v>
      </c>
      <c r="G6101" t="s">
        <v>4799</v>
      </c>
    </row>
    <row r="6102" spans="1:7">
      <c r="A6102" t="s">
        <v>4336</v>
      </c>
      <c r="G6102" t="s">
        <v>4799</v>
      </c>
    </row>
    <row r="6103" spans="1:7">
      <c r="A6103" t="s">
        <v>4340</v>
      </c>
      <c r="G6103" t="s">
        <v>4799</v>
      </c>
    </row>
    <row r="6104" spans="1:7">
      <c r="A6104" t="s">
        <v>4575</v>
      </c>
      <c r="G6104" t="s">
        <v>4799</v>
      </c>
    </row>
    <row r="6105" spans="1:7">
      <c r="A6105" t="s">
        <v>4574</v>
      </c>
      <c r="G6105" t="s">
        <v>4799</v>
      </c>
    </row>
    <row r="6106" spans="1:7">
      <c r="A6106" t="s">
        <v>4632</v>
      </c>
      <c r="G6106" t="s">
        <v>4799</v>
      </c>
    </row>
    <row r="6107" spans="1:7">
      <c r="A6107" t="s">
        <v>4334</v>
      </c>
      <c r="B6107">
        <v>5012097</v>
      </c>
      <c r="G6107" t="s">
        <v>4799</v>
      </c>
    </row>
    <row r="6108" spans="1:7">
      <c r="A6108" t="s">
        <v>5386</v>
      </c>
      <c r="G6108" t="s">
        <v>4799</v>
      </c>
    </row>
    <row r="6109" spans="1:7">
      <c r="A6109" t="s">
        <v>5387</v>
      </c>
      <c r="G6109" t="s">
        <v>4799</v>
      </c>
    </row>
    <row r="6110" spans="1:7">
      <c r="A6110" t="s">
        <v>5392</v>
      </c>
      <c r="G6110" t="s">
        <v>4799</v>
      </c>
    </row>
    <row r="6111" spans="1:7">
      <c r="A6111" t="s">
        <v>5389</v>
      </c>
      <c r="G6111" t="s">
        <v>5102</v>
      </c>
    </row>
    <row r="6112" spans="1:7">
      <c r="A6112" t="s">
        <v>5351</v>
      </c>
      <c r="G6112" t="s">
        <v>4375</v>
      </c>
    </row>
    <row r="6113" spans="1:7">
      <c r="A6113" t="s">
        <v>4342</v>
      </c>
      <c r="G6113" t="s">
        <v>4375</v>
      </c>
    </row>
    <row r="6114" spans="1:7">
      <c r="A6114" t="s">
        <v>4382</v>
      </c>
      <c r="G6114" t="s">
        <v>4375</v>
      </c>
    </row>
    <row r="6115" spans="1:7">
      <c r="A6115" t="s">
        <v>4969</v>
      </c>
      <c r="G6115" t="s">
        <v>4375</v>
      </c>
    </row>
    <row r="6116" spans="1:7">
      <c r="A6116" t="s">
        <v>4576</v>
      </c>
      <c r="G6116" t="s">
        <v>4375</v>
      </c>
    </row>
    <row r="6117" spans="1:7">
      <c r="A6117" t="s">
        <v>4363</v>
      </c>
      <c r="G6117" t="s">
        <v>4375</v>
      </c>
    </row>
    <row r="6118" spans="1:7">
      <c r="A6118" t="s">
        <v>5388</v>
      </c>
      <c r="G6118" t="s">
        <v>4375</v>
      </c>
    </row>
    <row r="6119" spans="1:7">
      <c r="A6119" t="s">
        <v>4358</v>
      </c>
      <c r="G6119" t="s">
        <v>4375</v>
      </c>
    </row>
    <row r="6120" spans="1:7">
      <c r="A6120" t="s">
        <v>4575</v>
      </c>
      <c r="G6120" t="s">
        <v>4375</v>
      </c>
    </row>
    <row r="6121" spans="1:7">
      <c r="A6121" t="s">
        <v>4336</v>
      </c>
      <c r="G6121" t="s">
        <v>4375</v>
      </c>
    </row>
    <row r="6122" spans="1:7">
      <c r="A6122" t="s">
        <v>4354</v>
      </c>
      <c r="G6122" t="s">
        <v>4375</v>
      </c>
    </row>
    <row r="6123" spans="1:7">
      <c r="A6123" t="s">
        <v>4356</v>
      </c>
      <c r="G6123" t="s">
        <v>4375</v>
      </c>
    </row>
    <row r="6124" spans="1:7">
      <c r="A6124" t="s">
        <v>4340</v>
      </c>
      <c r="G6124" t="s">
        <v>4462</v>
      </c>
    </row>
    <row r="6125" spans="1:7">
      <c r="A6125" t="s">
        <v>4377</v>
      </c>
      <c r="G6125" t="s">
        <v>5098</v>
      </c>
    </row>
    <row r="6126" spans="1:7">
      <c r="A6126" t="s">
        <v>4632</v>
      </c>
      <c r="B6126">
        <v>4997097</v>
      </c>
      <c r="G6126" t="s">
        <v>4605</v>
      </c>
    </row>
    <row r="6127" spans="1:7">
      <c r="A6127" t="s">
        <v>4867</v>
      </c>
      <c r="B6127">
        <v>5010097</v>
      </c>
      <c r="G6127" t="s">
        <v>4153</v>
      </c>
    </row>
    <row r="6128" spans="1:7">
      <c r="A6128" t="s">
        <v>4578</v>
      </c>
      <c r="G6128" t="s">
        <v>4153</v>
      </c>
    </row>
    <row r="6129" spans="1:7">
      <c r="A6129" t="s">
        <v>4515</v>
      </c>
      <c r="G6129" t="s">
        <v>4153</v>
      </c>
    </row>
    <row r="6130" spans="1:7">
      <c r="A6130" t="s">
        <v>4148</v>
      </c>
      <c r="G6130" t="s">
        <v>4153</v>
      </c>
    </row>
    <row r="6131" spans="1:7">
      <c r="A6131" t="s">
        <v>4778</v>
      </c>
      <c r="G6131" t="s">
        <v>4153</v>
      </c>
    </row>
    <row r="6132" spans="1:7">
      <c r="A6132" t="s">
        <v>5180</v>
      </c>
      <c r="G6132" t="s">
        <v>4153</v>
      </c>
    </row>
    <row r="6133" spans="1:7">
      <c r="A6133" t="s">
        <v>4980</v>
      </c>
      <c r="G6133" t="s">
        <v>4153</v>
      </c>
    </row>
    <row r="6134" spans="1:7">
      <c r="A6134" t="s">
        <v>4132</v>
      </c>
      <c r="G6134" t="s">
        <v>4153</v>
      </c>
    </row>
    <row r="6135" spans="1:7">
      <c r="A6135" t="s">
        <v>4085</v>
      </c>
      <c r="G6135" t="s">
        <v>4153</v>
      </c>
    </row>
    <row r="6136" spans="1:7">
      <c r="A6136" t="s">
        <v>4798</v>
      </c>
      <c r="G6136" t="s">
        <v>4153</v>
      </c>
    </row>
    <row r="6137" spans="1:7">
      <c r="A6137" t="s">
        <v>4062</v>
      </c>
      <c r="B6137">
        <v>4981097</v>
      </c>
      <c r="G6137" t="s">
        <v>4153</v>
      </c>
    </row>
    <row r="6138" spans="1:7">
      <c r="A6138" t="s">
        <v>5009</v>
      </c>
      <c r="G6138" t="s">
        <v>4153</v>
      </c>
    </row>
    <row r="6139" spans="1:7">
      <c r="A6139" t="s">
        <v>4659</v>
      </c>
      <c r="G6139" t="s">
        <v>4153</v>
      </c>
    </row>
    <row r="6140" spans="1:7">
      <c r="A6140" t="s">
        <v>4124</v>
      </c>
      <c r="G6140" t="s">
        <v>4153</v>
      </c>
    </row>
    <row r="6141" spans="1:7">
      <c r="A6141" t="s">
        <v>4704</v>
      </c>
      <c r="G6141" t="s">
        <v>4153</v>
      </c>
    </row>
    <row r="6142" spans="1:7">
      <c r="A6142" t="s">
        <v>4517</v>
      </c>
      <c r="G6142" t="s">
        <v>4153</v>
      </c>
    </row>
    <row r="6143" spans="1:7">
      <c r="A6143" t="s">
        <v>4088</v>
      </c>
      <c r="G6143" t="s">
        <v>4153</v>
      </c>
    </row>
    <row r="6144" spans="1:7">
      <c r="A6144" t="s">
        <v>4092</v>
      </c>
      <c r="G6144" t="s">
        <v>4153</v>
      </c>
    </row>
    <row r="6145" spans="1:7">
      <c r="A6145" t="s">
        <v>4115</v>
      </c>
      <c r="G6145" t="s">
        <v>4153</v>
      </c>
    </row>
    <row r="6146" spans="1:7">
      <c r="A6146" t="s">
        <v>4236</v>
      </c>
      <c r="G6146" t="s">
        <v>4153</v>
      </c>
    </row>
    <row r="6147" spans="1:7">
      <c r="A6147" t="s">
        <v>4773</v>
      </c>
      <c r="G6147" t="s">
        <v>4153</v>
      </c>
    </row>
    <row r="6148" spans="1:7">
      <c r="A6148" t="s">
        <v>4097</v>
      </c>
      <c r="G6148" t="s">
        <v>4153</v>
      </c>
    </row>
    <row r="6149" spans="1:7">
      <c r="A6149" t="s">
        <v>5395</v>
      </c>
      <c r="G6149" t="s">
        <v>4153</v>
      </c>
    </row>
    <row r="6150" spans="1:7">
      <c r="A6150" t="s">
        <v>4910</v>
      </c>
      <c r="G6150" t="s">
        <v>4153</v>
      </c>
    </row>
    <row r="6151" spans="1:7">
      <c r="A6151" t="s">
        <v>4296</v>
      </c>
      <c r="G6151" t="s">
        <v>4153</v>
      </c>
    </row>
    <row r="6152" spans="1:7">
      <c r="A6152" t="s">
        <v>4989</v>
      </c>
      <c r="G6152" t="s">
        <v>4153</v>
      </c>
    </row>
    <row r="6153" spans="1:7">
      <c r="A6153" t="s">
        <v>4898</v>
      </c>
      <c r="G6153" t="s">
        <v>4153</v>
      </c>
    </row>
    <row r="6154" spans="1:7">
      <c r="A6154" t="s">
        <v>4233</v>
      </c>
      <c r="G6154" t="s">
        <v>4153</v>
      </c>
    </row>
    <row r="6155" spans="1:7">
      <c r="A6155" t="s">
        <v>4819</v>
      </c>
      <c r="G6155" t="s">
        <v>4153</v>
      </c>
    </row>
    <row r="6156" spans="1:7">
      <c r="A6156" t="s">
        <v>4147</v>
      </c>
      <c r="G6156" t="s">
        <v>4153</v>
      </c>
    </row>
    <row r="6157" spans="1:7">
      <c r="A6157" t="s">
        <v>4994</v>
      </c>
      <c r="G6157" t="s">
        <v>4153</v>
      </c>
    </row>
    <row r="6158" spans="1:7">
      <c r="A6158" t="s">
        <v>4439</v>
      </c>
      <c r="G6158" t="s">
        <v>4153</v>
      </c>
    </row>
    <row r="6159" spans="1:7">
      <c r="A6159" t="s">
        <v>5323</v>
      </c>
      <c r="G6159" t="s">
        <v>4153</v>
      </c>
    </row>
    <row r="6160" spans="1:7">
      <c r="A6160" t="s">
        <v>5045</v>
      </c>
      <c r="B6160">
        <v>4980097</v>
      </c>
      <c r="G6160" t="s">
        <v>4153</v>
      </c>
    </row>
    <row r="6161" spans="1:7">
      <c r="A6161" t="s">
        <v>4571</v>
      </c>
      <c r="G6161" t="s">
        <v>4153</v>
      </c>
    </row>
    <row r="6162" spans="1:7">
      <c r="A6162" t="s">
        <v>4528</v>
      </c>
      <c r="G6162" t="s">
        <v>4153</v>
      </c>
    </row>
    <row r="6163" spans="1:7">
      <c r="A6163" t="s">
        <v>4090</v>
      </c>
      <c r="G6163" t="s">
        <v>4153</v>
      </c>
    </row>
    <row r="6164" spans="1:7">
      <c r="A6164" t="s">
        <v>4561</v>
      </c>
      <c r="G6164" t="s">
        <v>4153</v>
      </c>
    </row>
    <row r="6165" spans="1:7">
      <c r="A6165" t="s">
        <v>4234</v>
      </c>
      <c r="G6165" t="s">
        <v>4153</v>
      </c>
    </row>
    <row r="6166" spans="1:7">
      <c r="A6166" t="s">
        <v>4160</v>
      </c>
      <c r="G6166" t="s">
        <v>4153</v>
      </c>
    </row>
    <row r="6167" spans="1:7">
      <c r="A6167" t="s">
        <v>4244</v>
      </c>
      <c r="G6167" t="s">
        <v>4153</v>
      </c>
    </row>
    <row r="6168" spans="1:7">
      <c r="A6168" t="s">
        <v>4155</v>
      </c>
      <c r="G6168" t="s">
        <v>4153</v>
      </c>
    </row>
    <row r="6169" spans="1:7">
      <c r="A6169" t="s">
        <v>4454</v>
      </c>
      <c r="G6169" t="s">
        <v>4153</v>
      </c>
    </row>
    <row r="6170" spans="1:7">
      <c r="A6170" t="s">
        <v>5071</v>
      </c>
      <c r="G6170" t="s">
        <v>4751</v>
      </c>
    </row>
    <row r="6171" spans="1:7">
      <c r="A6171" t="s">
        <v>4879</v>
      </c>
      <c r="B6171">
        <v>5000097</v>
      </c>
      <c r="G6171" t="s">
        <v>4753</v>
      </c>
    </row>
    <row r="6172" spans="1:8">
      <c r="A6172" t="s">
        <v>4180</v>
      </c>
      <c r="G6172" t="s">
        <v>5396</v>
      </c>
      <c r="H6172">
        <v>4932097</v>
      </c>
    </row>
    <row r="6173" spans="1:7">
      <c r="A6173" t="s">
        <v>4724</v>
      </c>
      <c r="G6173" t="s">
        <v>5396</v>
      </c>
    </row>
    <row r="6174" spans="1:7">
      <c r="A6174" t="s">
        <v>4189</v>
      </c>
      <c r="G6174" t="s">
        <v>5396</v>
      </c>
    </row>
    <row r="6175" spans="1:7">
      <c r="A6175" t="s">
        <v>4055</v>
      </c>
      <c r="G6175" t="s">
        <v>4796</v>
      </c>
    </row>
    <row r="6176" spans="1:8">
      <c r="A6176" t="s">
        <v>4173</v>
      </c>
      <c r="G6176" t="s">
        <v>5397</v>
      </c>
      <c r="H6176">
        <v>4956097</v>
      </c>
    </row>
    <row r="6177" spans="1:7">
      <c r="A6177" t="s">
        <v>4689</v>
      </c>
      <c r="G6177" t="s">
        <v>5397</v>
      </c>
    </row>
    <row r="6178" spans="1:7">
      <c r="A6178" t="s">
        <v>4153</v>
      </c>
      <c r="G6178" t="s">
        <v>4229</v>
      </c>
    </row>
    <row r="6179" spans="1:7">
      <c r="A6179" t="s">
        <v>4097</v>
      </c>
      <c r="B6179">
        <v>4977097</v>
      </c>
      <c r="G6179" t="s">
        <v>4509</v>
      </c>
    </row>
    <row r="6180" spans="1:7">
      <c r="A6180" t="s">
        <v>4112</v>
      </c>
      <c r="G6180" t="s">
        <v>5293</v>
      </c>
    </row>
    <row r="6181" spans="1:7">
      <c r="A6181" t="s">
        <v>4901</v>
      </c>
      <c r="G6181" t="s">
        <v>5293</v>
      </c>
    </row>
    <row r="6182" spans="1:7">
      <c r="A6182" t="s">
        <v>4171</v>
      </c>
      <c r="G6182" t="s">
        <v>5398</v>
      </c>
    </row>
    <row r="6183" spans="1:7">
      <c r="A6183" t="s">
        <v>4166</v>
      </c>
      <c r="G6183" t="s">
        <v>4434</v>
      </c>
    </row>
    <row r="6184" spans="1:7">
      <c r="A6184" t="s">
        <v>5399</v>
      </c>
      <c r="G6184" t="s">
        <v>4434</v>
      </c>
    </row>
    <row r="6185" spans="1:7">
      <c r="A6185" t="s">
        <v>5090</v>
      </c>
      <c r="G6185" t="s">
        <v>4434</v>
      </c>
    </row>
    <row r="6186" spans="1:7">
      <c r="A6186" t="s">
        <v>4287</v>
      </c>
      <c r="G6186" t="s">
        <v>4434</v>
      </c>
    </row>
    <row r="6187" spans="1:7">
      <c r="A6187" t="s">
        <v>5036</v>
      </c>
      <c r="G6187" t="s">
        <v>4434</v>
      </c>
    </row>
    <row r="6188" spans="1:7">
      <c r="A6188" t="s">
        <v>4132</v>
      </c>
      <c r="G6188" t="s">
        <v>4434</v>
      </c>
    </row>
    <row r="6189" spans="1:7">
      <c r="A6189" t="s">
        <v>4211</v>
      </c>
      <c r="G6189" t="s">
        <v>4244</v>
      </c>
    </row>
    <row r="6190" spans="1:7">
      <c r="A6190" t="s">
        <v>4079</v>
      </c>
      <c r="G6190" t="s">
        <v>4244</v>
      </c>
    </row>
    <row r="6191" spans="1:7">
      <c r="A6191" t="s">
        <v>4454</v>
      </c>
      <c r="G6191" t="s">
        <v>4244</v>
      </c>
    </row>
    <row r="6192" spans="1:7">
      <c r="A6192" t="s">
        <v>4559</v>
      </c>
      <c r="G6192" t="s">
        <v>4244</v>
      </c>
    </row>
    <row r="6193" spans="1:7">
      <c r="A6193" t="s">
        <v>4368</v>
      </c>
      <c r="G6193" t="s">
        <v>4244</v>
      </c>
    </row>
    <row r="6194" spans="1:7">
      <c r="A6194" t="s">
        <v>4996</v>
      </c>
      <c r="G6194" t="s">
        <v>4244</v>
      </c>
    </row>
    <row r="6195" spans="1:7">
      <c r="A6195" t="s">
        <v>4092</v>
      </c>
      <c r="G6195" t="s">
        <v>4244</v>
      </c>
    </row>
    <row r="6196" spans="1:7">
      <c r="A6196" t="s">
        <v>4234</v>
      </c>
      <c r="G6196" t="s">
        <v>4244</v>
      </c>
    </row>
    <row r="6197" spans="1:7">
      <c r="A6197" t="s">
        <v>5272</v>
      </c>
      <c r="B6197">
        <v>4975097</v>
      </c>
      <c r="G6197" t="s">
        <v>4244</v>
      </c>
    </row>
    <row r="6198" spans="1:7">
      <c r="A6198" t="s">
        <v>4239</v>
      </c>
      <c r="G6198" t="s">
        <v>4244</v>
      </c>
    </row>
    <row r="6199" spans="1:7">
      <c r="A6199" t="s">
        <v>4450</v>
      </c>
      <c r="G6199" t="s">
        <v>5400</v>
      </c>
    </row>
    <row r="6200" spans="1:7">
      <c r="A6200" t="s">
        <v>4705</v>
      </c>
      <c r="G6200" t="s">
        <v>5400</v>
      </c>
    </row>
    <row r="6201" spans="1:7">
      <c r="A6201" t="s">
        <v>4088</v>
      </c>
      <c r="G6201" t="s">
        <v>5400</v>
      </c>
    </row>
    <row r="6202" spans="1:7">
      <c r="A6202" t="s">
        <v>4157</v>
      </c>
      <c r="G6202" t="s">
        <v>5400</v>
      </c>
    </row>
    <row r="6203" spans="1:7">
      <c r="A6203" t="s">
        <v>5401</v>
      </c>
      <c r="G6203" t="s">
        <v>4883</v>
      </c>
    </row>
    <row r="6204" spans="1:8">
      <c r="A6204" t="s">
        <v>4439</v>
      </c>
      <c r="G6204" t="s">
        <v>4883</v>
      </c>
      <c r="H6204">
        <v>5194097</v>
      </c>
    </row>
    <row r="6205" spans="1:7">
      <c r="A6205" t="s">
        <v>5045</v>
      </c>
      <c r="G6205" t="s">
        <v>4883</v>
      </c>
    </row>
    <row r="6206" spans="1:7">
      <c r="A6206" t="s">
        <v>4085</v>
      </c>
      <c r="G6206" t="s">
        <v>4883</v>
      </c>
    </row>
    <row r="6207" spans="1:7">
      <c r="A6207" t="s">
        <v>4162</v>
      </c>
      <c r="G6207" t="s">
        <v>5083</v>
      </c>
    </row>
    <row r="6208" spans="1:7">
      <c r="A6208" t="s">
        <v>4581</v>
      </c>
      <c r="G6208" t="s">
        <v>4825</v>
      </c>
    </row>
    <row r="6209" spans="1:7">
      <c r="A6209" t="s">
        <v>4624</v>
      </c>
      <c r="G6209" t="s">
        <v>4825</v>
      </c>
    </row>
    <row r="6210" spans="1:7">
      <c r="A6210" t="s">
        <v>4147</v>
      </c>
      <c r="G6210" t="s">
        <v>4825</v>
      </c>
    </row>
    <row r="6211" spans="1:7">
      <c r="A6211" t="s">
        <v>4959</v>
      </c>
      <c r="G6211" t="s">
        <v>4825</v>
      </c>
    </row>
    <row r="6212" spans="1:8">
      <c r="A6212" t="s">
        <v>4115</v>
      </c>
      <c r="G6212" t="s">
        <v>4825</v>
      </c>
      <c r="H6212">
        <v>5040097</v>
      </c>
    </row>
    <row r="6213" spans="1:7">
      <c r="A6213" t="s">
        <v>4867</v>
      </c>
      <c r="G6213" t="s">
        <v>4825</v>
      </c>
    </row>
    <row r="6214" spans="1:7">
      <c r="A6214" t="s">
        <v>4084</v>
      </c>
      <c r="G6214" t="s">
        <v>5036</v>
      </c>
    </row>
    <row r="6215" spans="1:7">
      <c r="A6215" t="s">
        <v>4113</v>
      </c>
      <c r="G6215" t="s">
        <v>5036</v>
      </c>
    </row>
    <row r="6216" spans="1:8">
      <c r="A6216" t="s">
        <v>4084</v>
      </c>
      <c r="B6216">
        <v>4999097</v>
      </c>
      <c r="G6216" t="s">
        <v>5036</v>
      </c>
      <c r="H6216">
        <v>5233097</v>
      </c>
    </row>
    <row r="6217" spans="1:7">
      <c r="A6217" t="s">
        <v>4153</v>
      </c>
      <c r="G6217" t="s">
        <v>5036</v>
      </c>
    </row>
    <row r="6218" spans="1:7">
      <c r="A6218" t="s">
        <v>4290</v>
      </c>
      <c r="G6218" t="s">
        <v>5036</v>
      </c>
    </row>
    <row r="6219" spans="1:7">
      <c r="A6219" t="s">
        <v>4454</v>
      </c>
      <c r="G6219" t="s">
        <v>5036</v>
      </c>
    </row>
    <row r="6220" spans="1:7">
      <c r="A6220" t="s">
        <v>4239</v>
      </c>
      <c r="G6220" t="s">
        <v>5036</v>
      </c>
    </row>
    <row r="6221" spans="1:7">
      <c r="A6221" t="s">
        <v>5090</v>
      </c>
      <c r="G6221" t="s">
        <v>5036</v>
      </c>
    </row>
    <row r="6222" spans="1:7">
      <c r="A6222" t="s">
        <v>4180</v>
      </c>
      <c r="G6222" t="s">
        <v>5036</v>
      </c>
    </row>
    <row r="6223" spans="1:7">
      <c r="A6223" t="s">
        <v>4189</v>
      </c>
      <c r="G6223" t="s">
        <v>5036</v>
      </c>
    </row>
    <row r="6224" spans="1:7">
      <c r="A6224" t="s">
        <v>5401</v>
      </c>
      <c r="G6224" t="s">
        <v>5036</v>
      </c>
    </row>
    <row r="6225" spans="1:7">
      <c r="A6225" t="s">
        <v>4115</v>
      </c>
      <c r="G6225" t="s">
        <v>5036</v>
      </c>
    </row>
    <row r="6226" spans="1:7">
      <c r="A6226" t="s">
        <v>5399</v>
      </c>
      <c r="G6226" t="s">
        <v>5036</v>
      </c>
    </row>
    <row r="6227" spans="1:7">
      <c r="A6227" t="s">
        <v>3980</v>
      </c>
      <c r="G6227" t="s">
        <v>5036</v>
      </c>
    </row>
    <row r="6228" spans="1:7">
      <c r="A6228" t="s">
        <v>4079</v>
      </c>
      <c r="G6228" t="s">
        <v>5036</v>
      </c>
    </row>
    <row r="6229" spans="1:8">
      <c r="A6229" t="s">
        <v>4055</v>
      </c>
      <c r="G6229" t="s">
        <v>5036</v>
      </c>
      <c r="H6229">
        <v>4922097</v>
      </c>
    </row>
    <row r="6230" spans="1:7">
      <c r="A6230" t="s">
        <v>4474</v>
      </c>
      <c r="G6230" t="s">
        <v>4151</v>
      </c>
    </row>
    <row r="6231" spans="1:7">
      <c r="A6231" t="s">
        <v>4166</v>
      </c>
      <c r="G6231" t="s">
        <v>4170</v>
      </c>
    </row>
    <row r="6232" spans="1:7">
      <c r="A6232" t="s">
        <v>4480</v>
      </c>
      <c r="G6232" t="s">
        <v>4170</v>
      </c>
    </row>
    <row r="6233" spans="1:7">
      <c r="A6233" t="s">
        <v>4211</v>
      </c>
      <c r="G6233" t="s">
        <v>4170</v>
      </c>
    </row>
    <row r="6234" spans="1:7">
      <c r="A6234" t="s">
        <v>4092</v>
      </c>
      <c r="G6234" t="s">
        <v>4170</v>
      </c>
    </row>
    <row r="6235" spans="1:7">
      <c r="A6235" t="s">
        <v>4287</v>
      </c>
      <c r="G6235" t="s">
        <v>4170</v>
      </c>
    </row>
    <row r="6236" spans="1:7">
      <c r="A6236" t="s">
        <v>4996</v>
      </c>
      <c r="G6236" t="s">
        <v>4170</v>
      </c>
    </row>
    <row r="6237" spans="1:7">
      <c r="A6237" t="s">
        <v>4173</v>
      </c>
      <c r="G6237" t="s">
        <v>4170</v>
      </c>
    </row>
    <row r="6238" spans="1:7">
      <c r="A6238" t="s">
        <v>4724</v>
      </c>
      <c r="G6238" t="s">
        <v>4170</v>
      </c>
    </row>
    <row r="6239" spans="1:7">
      <c r="A6239" t="s">
        <v>5272</v>
      </c>
      <c r="G6239" t="s">
        <v>4170</v>
      </c>
    </row>
    <row r="6240" spans="1:7">
      <c r="A6240" t="s">
        <v>4234</v>
      </c>
      <c r="G6240" t="s">
        <v>4170</v>
      </c>
    </row>
    <row r="6241" spans="1:7">
      <c r="A6241" t="s">
        <v>4097</v>
      </c>
      <c r="G6241" t="s">
        <v>4170</v>
      </c>
    </row>
    <row r="6242" spans="1:7">
      <c r="A6242" t="s">
        <v>4705</v>
      </c>
      <c r="G6242" t="s">
        <v>4170</v>
      </c>
    </row>
    <row r="6243" spans="1:7">
      <c r="A6243" t="s">
        <v>4581</v>
      </c>
      <c r="G6243" t="s">
        <v>4170</v>
      </c>
    </row>
    <row r="6244" spans="1:7">
      <c r="A6244" t="s">
        <v>4891</v>
      </c>
      <c r="G6244" t="s">
        <v>4170</v>
      </c>
    </row>
    <row r="6245" spans="1:7">
      <c r="A6245" t="s">
        <v>4439</v>
      </c>
      <c r="G6245" t="s">
        <v>4170</v>
      </c>
    </row>
    <row r="6246" spans="1:7">
      <c r="A6246" t="s">
        <v>4088</v>
      </c>
      <c r="G6246" t="s">
        <v>5026</v>
      </c>
    </row>
    <row r="6247" spans="1:7">
      <c r="A6247" t="s">
        <v>4162</v>
      </c>
      <c r="G6247" t="s">
        <v>5026</v>
      </c>
    </row>
    <row r="6248" spans="1:7">
      <c r="A6248" t="s">
        <v>5338</v>
      </c>
      <c r="G6248" t="s">
        <v>5026</v>
      </c>
    </row>
    <row r="6249" spans="1:7">
      <c r="A6249" t="s">
        <v>4215</v>
      </c>
      <c r="G6249" t="s">
        <v>4454</v>
      </c>
    </row>
    <row r="6250" spans="1:7">
      <c r="A6250" t="s">
        <v>5186</v>
      </c>
      <c r="G6250" t="s">
        <v>4454</v>
      </c>
    </row>
    <row r="6251" spans="1:7">
      <c r="A6251" t="s">
        <v>4192</v>
      </c>
      <c r="G6251" t="s">
        <v>4454</v>
      </c>
    </row>
    <row r="6252" spans="1:7">
      <c r="A6252" t="s">
        <v>4625</v>
      </c>
      <c r="G6252" t="s">
        <v>4454</v>
      </c>
    </row>
    <row r="6253" spans="1:7">
      <c r="A6253" t="s">
        <v>4959</v>
      </c>
      <c r="G6253" t="s">
        <v>4454</v>
      </c>
    </row>
    <row r="6254" spans="1:7">
      <c r="A6254" t="s">
        <v>4132</v>
      </c>
      <c r="G6254" t="s">
        <v>4454</v>
      </c>
    </row>
    <row r="6255" spans="1:7">
      <c r="A6255" t="s">
        <v>4112</v>
      </c>
      <c r="G6255" t="s">
        <v>4454</v>
      </c>
    </row>
    <row r="6256" spans="1:7">
      <c r="A6256" t="s">
        <v>5384</v>
      </c>
      <c r="B6256">
        <v>4997097</v>
      </c>
      <c r="G6256" t="s">
        <v>4454</v>
      </c>
    </row>
    <row r="6257" spans="1:7">
      <c r="A6257" t="s">
        <v>4276</v>
      </c>
      <c r="G6257" t="s">
        <v>4454</v>
      </c>
    </row>
    <row r="6258" spans="1:7">
      <c r="A6258" t="s">
        <v>5402</v>
      </c>
      <c r="G6258" t="s">
        <v>4454</v>
      </c>
    </row>
    <row r="6259" spans="1:7">
      <c r="A6259" t="s">
        <v>5403</v>
      </c>
      <c r="G6259" t="s">
        <v>4454</v>
      </c>
    </row>
    <row r="6260" spans="1:7">
      <c r="A6260" t="s">
        <v>4085</v>
      </c>
      <c r="G6260" t="s">
        <v>4454</v>
      </c>
    </row>
    <row r="6261" spans="1:8">
      <c r="A6261" t="s">
        <v>4645</v>
      </c>
      <c r="G6261" t="s">
        <v>4454</v>
      </c>
      <c r="H6261">
        <v>5378097</v>
      </c>
    </row>
    <row r="6262" spans="1:7">
      <c r="A6262" t="s">
        <v>4028</v>
      </c>
      <c r="G6262" t="s">
        <v>4454</v>
      </c>
    </row>
    <row r="6263" spans="1:7">
      <c r="A6263" t="s">
        <v>4643</v>
      </c>
      <c r="G6263" t="s">
        <v>4454</v>
      </c>
    </row>
    <row r="6264" spans="1:7">
      <c r="A6264" t="s">
        <v>4791</v>
      </c>
      <c r="G6264" t="s">
        <v>4454</v>
      </c>
    </row>
    <row r="6265" spans="1:7">
      <c r="A6265" t="s">
        <v>4659</v>
      </c>
      <c r="G6265" t="s">
        <v>4454</v>
      </c>
    </row>
    <row r="6266" spans="1:7">
      <c r="A6266" t="s">
        <v>5152</v>
      </c>
      <c r="G6266" t="s">
        <v>4454</v>
      </c>
    </row>
    <row r="6267" spans="1:7">
      <c r="A6267" t="s">
        <v>4568</v>
      </c>
      <c r="B6267">
        <v>4981097</v>
      </c>
      <c r="G6267" t="s">
        <v>4454</v>
      </c>
    </row>
    <row r="6268" spans="1:8">
      <c r="A6268" t="s">
        <v>4092</v>
      </c>
      <c r="G6268" t="s">
        <v>4454</v>
      </c>
      <c r="H6268">
        <v>5263097</v>
      </c>
    </row>
    <row r="6269" spans="1:7">
      <c r="A6269" t="s">
        <v>5399</v>
      </c>
      <c r="G6269" t="s">
        <v>4454</v>
      </c>
    </row>
    <row r="6270" spans="1:7">
      <c r="A6270" t="s">
        <v>4109</v>
      </c>
      <c r="G6270" t="s">
        <v>4454</v>
      </c>
    </row>
    <row r="6271" spans="1:7">
      <c r="A6271" t="s">
        <v>5228</v>
      </c>
      <c r="G6271" t="s">
        <v>4454</v>
      </c>
    </row>
    <row r="6272" spans="1:7">
      <c r="A6272" t="s">
        <v>4736</v>
      </c>
      <c r="G6272" t="s">
        <v>4454</v>
      </c>
    </row>
    <row r="6273" spans="1:7">
      <c r="A6273" t="s">
        <v>4147</v>
      </c>
      <c r="G6273" t="s">
        <v>4454</v>
      </c>
    </row>
    <row r="6274" spans="1:7">
      <c r="A6274" t="s">
        <v>4088</v>
      </c>
      <c r="G6274" t="s">
        <v>4454</v>
      </c>
    </row>
    <row r="6275" spans="1:7">
      <c r="A6275" t="s">
        <v>4112</v>
      </c>
      <c r="G6275" t="s">
        <v>4454</v>
      </c>
    </row>
    <row r="6276" spans="1:7">
      <c r="A6276" t="s">
        <v>5190</v>
      </c>
      <c r="G6276" t="s">
        <v>4454</v>
      </c>
    </row>
    <row r="6277" spans="1:7">
      <c r="A6277" t="s">
        <v>4239</v>
      </c>
      <c r="G6277" t="s">
        <v>4454</v>
      </c>
    </row>
    <row r="6278" spans="1:7">
      <c r="A6278" t="s">
        <v>4211</v>
      </c>
      <c r="G6278" t="s">
        <v>4454</v>
      </c>
    </row>
    <row r="6279" spans="1:7">
      <c r="A6279" t="s">
        <v>5272</v>
      </c>
      <c r="B6279">
        <v>4974097</v>
      </c>
      <c r="G6279" t="s">
        <v>4454</v>
      </c>
    </row>
    <row r="6280" spans="1:7">
      <c r="A6280" t="s">
        <v>4264</v>
      </c>
      <c r="G6280" t="s">
        <v>4454</v>
      </c>
    </row>
    <row r="6281" spans="1:7">
      <c r="A6281" t="s">
        <v>5189</v>
      </c>
      <c r="G6281" t="s">
        <v>4454</v>
      </c>
    </row>
    <row r="6282" spans="1:7">
      <c r="A6282" t="s">
        <v>4153</v>
      </c>
      <c r="G6282" t="s">
        <v>4454</v>
      </c>
    </row>
    <row r="6283" spans="1:7">
      <c r="A6283" t="s">
        <v>5348</v>
      </c>
      <c r="G6283" t="s">
        <v>4454</v>
      </c>
    </row>
    <row r="6284" spans="1:7">
      <c r="A6284" t="s">
        <v>4617</v>
      </c>
      <c r="G6284" t="s">
        <v>4454</v>
      </c>
    </row>
    <row r="6285" spans="1:7">
      <c r="A6285" t="s">
        <v>4625</v>
      </c>
      <c r="G6285" t="s">
        <v>4454</v>
      </c>
    </row>
    <row r="6286" spans="1:7">
      <c r="A6286" t="s">
        <v>4959</v>
      </c>
      <c r="G6286" t="s">
        <v>4454</v>
      </c>
    </row>
    <row r="6287" spans="1:7">
      <c r="A6287" t="s">
        <v>4115</v>
      </c>
      <c r="G6287" t="s">
        <v>4454</v>
      </c>
    </row>
    <row r="6288" spans="1:7">
      <c r="A6288" t="s">
        <v>4374</v>
      </c>
      <c r="G6288" t="s">
        <v>4454</v>
      </c>
    </row>
    <row r="6289" spans="1:7">
      <c r="A6289" t="s">
        <v>4653</v>
      </c>
      <c r="G6289" t="s">
        <v>5314</v>
      </c>
    </row>
    <row r="6290" spans="1:7">
      <c r="A6290" t="s">
        <v>5399</v>
      </c>
      <c r="B6290">
        <v>4980097</v>
      </c>
      <c r="G6290" t="s">
        <v>5404</v>
      </c>
    </row>
    <row r="6291" spans="1:7">
      <c r="A6291" t="s">
        <v>4092</v>
      </c>
      <c r="G6291" t="s">
        <v>5336</v>
      </c>
    </row>
    <row r="6292" spans="1:7">
      <c r="A6292" t="s">
        <v>4568</v>
      </c>
      <c r="G6292" t="s">
        <v>5336</v>
      </c>
    </row>
    <row r="6293" spans="1:7">
      <c r="A6293" t="s">
        <v>5228</v>
      </c>
      <c r="G6293" t="s">
        <v>5336</v>
      </c>
    </row>
    <row r="6294" spans="1:7">
      <c r="A6294" t="s">
        <v>4115</v>
      </c>
      <c r="G6294" t="s">
        <v>5336</v>
      </c>
    </row>
    <row r="6295" spans="1:7">
      <c r="A6295" t="s">
        <v>4109</v>
      </c>
      <c r="G6295" t="s">
        <v>5336</v>
      </c>
    </row>
    <row r="6296" spans="1:7">
      <c r="A6296" t="s">
        <v>5326</v>
      </c>
      <c r="G6296" t="s">
        <v>5336</v>
      </c>
    </row>
    <row r="6297" spans="1:7">
      <c r="A6297" t="s">
        <v>4088</v>
      </c>
      <c r="G6297" t="s">
        <v>5336</v>
      </c>
    </row>
    <row r="6298" spans="1:8">
      <c r="A6298" t="s">
        <v>4374</v>
      </c>
      <c r="G6298" t="s">
        <v>5336</v>
      </c>
      <c r="H6298">
        <v>4910097</v>
      </c>
    </row>
    <row r="6299" spans="1:7">
      <c r="A6299" t="s">
        <v>4153</v>
      </c>
      <c r="G6299" t="s">
        <v>5336</v>
      </c>
    </row>
    <row r="6300" spans="1:7">
      <c r="A6300" t="s">
        <v>5190</v>
      </c>
      <c r="G6300" t="s">
        <v>5261</v>
      </c>
    </row>
    <row r="6301" spans="1:7">
      <c r="A6301" t="s">
        <v>4264</v>
      </c>
      <c r="G6301" t="s">
        <v>5057</v>
      </c>
    </row>
    <row r="6302" spans="1:7">
      <c r="A6302" t="s">
        <v>5348</v>
      </c>
      <c r="G6302" t="s">
        <v>4286</v>
      </c>
    </row>
    <row r="6303" spans="1:7">
      <c r="A6303" t="s">
        <v>5189</v>
      </c>
      <c r="G6303" t="s">
        <v>4286</v>
      </c>
    </row>
    <row r="6304" spans="1:7">
      <c r="A6304" t="s">
        <v>4617</v>
      </c>
      <c r="G6304" t="s">
        <v>4286</v>
      </c>
    </row>
    <row r="6305" spans="1:7">
      <c r="A6305" t="s">
        <v>4239</v>
      </c>
      <c r="G6305" t="s">
        <v>4286</v>
      </c>
    </row>
    <row r="6306" spans="1:7">
      <c r="A6306" t="s">
        <v>4959</v>
      </c>
      <c r="G6306" t="s">
        <v>4286</v>
      </c>
    </row>
    <row r="6307" spans="1:7">
      <c r="A6307" t="s">
        <v>4211</v>
      </c>
      <c r="G6307" t="s">
        <v>4286</v>
      </c>
    </row>
    <row r="6308" spans="1:7">
      <c r="A6308" t="s">
        <v>4147</v>
      </c>
      <c r="G6308" t="s">
        <v>4286</v>
      </c>
    </row>
    <row r="6309" spans="1:7">
      <c r="A6309" t="s">
        <v>4130</v>
      </c>
      <c r="B6309">
        <v>4977097</v>
      </c>
      <c r="G6309" t="s">
        <v>4286</v>
      </c>
    </row>
    <row r="6310" spans="1:7">
      <c r="A6310" t="s">
        <v>5405</v>
      </c>
      <c r="G6310" t="s">
        <v>4286</v>
      </c>
    </row>
    <row r="6311" spans="1:7">
      <c r="A6311" t="s">
        <v>5174</v>
      </c>
      <c r="G6311" t="s">
        <v>4286</v>
      </c>
    </row>
    <row r="6312" spans="1:7">
      <c r="A6312" t="s">
        <v>4422</v>
      </c>
      <c r="G6312" t="s">
        <v>4286</v>
      </c>
    </row>
    <row r="6313" spans="1:7">
      <c r="A6313" t="s">
        <v>4959</v>
      </c>
      <c r="G6313" t="s">
        <v>4286</v>
      </c>
    </row>
    <row r="6314" spans="1:7">
      <c r="A6314" t="s">
        <v>5406</v>
      </c>
      <c r="G6314" t="s">
        <v>4286</v>
      </c>
    </row>
    <row r="6315" spans="1:7">
      <c r="A6315" t="s">
        <v>4103</v>
      </c>
      <c r="G6315" t="s">
        <v>4286</v>
      </c>
    </row>
    <row r="6316" spans="1:7">
      <c r="A6316" t="s">
        <v>4364</v>
      </c>
      <c r="G6316" t="s">
        <v>4286</v>
      </c>
    </row>
    <row r="6317" spans="1:7">
      <c r="A6317" t="s">
        <v>5026</v>
      </c>
      <c r="G6317" t="s">
        <v>4286</v>
      </c>
    </row>
    <row r="6318" spans="1:7">
      <c r="A6318" t="s">
        <v>4136</v>
      </c>
      <c r="G6318" t="s">
        <v>4620</v>
      </c>
    </row>
    <row r="6319" spans="1:7">
      <c r="A6319" t="s">
        <v>4351</v>
      </c>
      <c r="G6319" t="s">
        <v>4620</v>
      </c>
    </row>
    <row r="6320" spans="1:8">
      <c r="A6320" t="s">
        <v>4377</v>
      </c>
      <c r="G6320" t="s">
        <v>4620</v>
      </c>
      <c r="H6320">
        <v>5463097</v>
      </c>
    </row>
    <row r="6321" spans="1:7">
      <c r="A6321" t="s">
        <v>4356</v>
      </c>
      <c r="G6321" t="s">
        <v>4620</v>
      </c>
    </row>
    <row r="6322" spans="1:7">
      <c r="A6322" t="s">
        <v>5407</v>
      </c>
      <c r="G6322" t="s">
        <v>4620</v>
      </c>
    </row>
    <row r="6323" spans="1:7">
      <c r="A6323" t="s">
        <v>4343</v>
      </c>
      <c r="G6323" t="s">
        <v>4620</v>
      </c>
    </row>
    <row r="6324" spans="1:7">
      <c r="A6324" t="s">
        <v>5408</v>
      </c>
      <c r="G6324" t="s">
        <v>4620</v>
      </c>
    </row>
    <row r="6325" spans="1:7">
      <c r="A6325" t="s">
        <v>4084</v>
      </c>
      <c r="G6325" t="s">
        <v>4620</v>
      </c>
    </row>
    <row r="6326" spans="1:7">
      <c r="A6326" t="s">
        <v>4481</v>
      </c>
      <c r="G6326" t="s">
        <v>4620</v>
      </c>
    </row>
    <row r="6327" spans="1:7">
      <c r="A6327" t="s">
        <v>5019</v>
      </c>
      <c r="B6327">
        <v>4975097</v>
      </c>
      <c r="G6327" t="s">
        <v>4620</v>
      </c>
    </row>
    <row r="6328" spans="1:7">
      <c r="A6328" t="s">
        <v>5409</v>
      </c>
      <c r="G6328" t="s">
        <v>4620</v>
      </c>
    </row>
    <row r="6329" spans="1:7">
      <c r="A6329" t="s">
        <v>5410</v>
      </c>
      <c r="G6329" t="s">
        <v>4620</v>
      </c>
    </row>
    <row r="6330" spans="1:7">
      <c r="A6330" t="s">
        <v>5411</v>
      </c>
      <c r="G6330" t="s">
        <v>4620</v>
      </c>
    </row>
    <row r="6331" spans="1:7">
      <c r="A6331" t="s">
        <v>5315</v>
      </c>
      <c r="G6331" t="s">
        <v>4620</v>
      </c>
    </row>
    <row r="6332" spans="1:7">
      <c r="A6332" t="s">
        <v>4731</v>
      </c>
      <c r="G6332" t="s">
        <v>4620</v>
      </c>
    </row>
    <row r="6333" spans="1:7">
      <c r="A6333" t="s">
        <v>5311</v>
      </c>
      <c r="G6333" t="s">
        <v>4620</v>
      </c>
    </row>
    <row r="6334" spans="1:7">
      <c r="A6334" t="s">
        <v>5234</v>
      </c>
      <c r="G6334" t="s">
        <v>4620</v>
      </c>
    </row>
    <row r="6335" spans="1:7">
      <c r="A6335" t="s">
        <v>4881</v>
      </c>
      <c r="G6335" t="s">
        <v>4620</v>
      </c>
    </row>
    <row r="6336" spans="1:7">
      <c r="A6336" t="s">
        <v>5222</v>
      </c>
      <c r="G6336" t="s">
        <v>4620</v>
      </c>
    </row>
    <row r="6337" spans="1:7">
      <c r="A6337" t="s">
        <v>5412</v>
      </c>
      <c r="G6337" t="s">
        <v>4620</v>
      </c>
    </row>
    <row r="6338" spans="1:7">
      <c r="A6338" t="s">
        <v>5413</v>
      </c>
      <c r="G6338" t="s">
        <v>4633</v>
      </c>
    </row>
    <row r="6339" spans="1:7">
      <c r="A6339" t="s">
        <v>4921</v>
      </c>
      <c r="G6339" t="s">
        <v>4633</v>
      </c>
    </row>
    <row r="6340" spans="1:7">
      <c r="A6340" t="s">
        <v>4870</v>
      </c>
      <c r="G6340" t="s">
        <v>4633</v>
      </c>
    </row>
    <row r="6341" spans="1:7">
      <c r="A6341" t="s">
        <v>5322</v>
      </c>
      <c r="G6341" t="s">
        <v>4633</v>
      </c>
    </row>
    <row r="6342" spans="1:8">
      <c r="A6342" t="s">
        <v>4623</v>
      </c>
      <c r="B6342">
        <v>4973097</v>
      </c>
      <c r="G6342" t="s">
        <v>4633</v>
      </c>
      <c r="H6342">
        <v>5235097</v>
      </c>
    </row>
    <row r="6343" spans="1:7">
      <c r="A6343" t="s">
        <v>5370</v>
      </c>
      <c r="G6343" t="s">
        <v>4633</v>
      </c>
    </row>
    <row r="6344" spans="1:7">
      <c r="A6344" t="s">
        <v>5086</v>
      </c>
      <c r="G6344" t="s">
        <v>4633</v>
      </c>
    </row>
    <row r="6345" spans="1:8">
      <c r="A6345" t="s">
        <v>4450</v>
      </c>
      <c r="G6345" t="s">
        <v>4633</v>
      </c>
      <c r="H6345">
        <v>5041097</v>
      </c>
    </row>
    <row r="6346" spans="1:7">
      <c r="A6346" t="s">
        <v>5006</v>
      </c>
      <c r="G6346" t="s">
        <v>4633</v>
      </c>
    </row>
    <row r="6347" spans="1:7">
      <c r="A6347" t="s">
        <v>5414</v>
      </c>
      <c r="G6347" t="s">
        <v>5371</v>
      </c>
    </row>
    <row r="6348" spans="1:7">
      <c r="A6348" t="s">
        <v>4097</v>
      </c>
      <c r="G6348" t="s">
        <v>5371</v>
      </c>
    </row>
    <row r="6349" spans="1:7">
      <c r="A6349" t="s">
        <v>5012</v>
      </c>
      <c r="G6349" t="s">
        <v>5371</v>
      </c>
    </row>
    <row r="6350" spans="1:7">
      <c r="A6350" t="s">
        <v>4998</v>
      </c>
      <c r="G6350" t="s">
        <v>5371</v>
      </c>
    </row>
    <row r="6351" spans="1:7">
      <c r="A6351" t="s">
        <v>5015</v>
      </c>
      <c r="G6351" t="s">
        <v>5371</v>
      </c>
    </row>
    <row r="6352" spans="1:7">
      <c r="A6352" t="s">
        <v>4092</v>
      </c>
      <c r="G6352" t="s">
        <v>5371</v>
      </c>
    </row>
    <row r="6353" spans="1:7">
      <c r="A6353" t="s">
        <v>4422</v>
      </c>
      <c r="G6353" t="s">
        <v>5371</v>
      </c>
    </row>
    <row r="6354" spans="1:7">
      <c r="A6354" t="s">
        <v>5375</v>
      </c>
      <c r="G6354" t="s">
        <v>5371</v>
      </c>
    </row>
    <row r="6355" spans="1:7">
      <c r="A6355" t="s">
        <v>5138</v>
      </c>
      <c r="G6355" t="s">
        <v>5371</v>
      </c>
    </row>
    <row r="6356" spans="1:7">
      <c r="A6356" t="s">
        <v>4046</v>
      </c>
      <c r="G6356" t="s">
        <v>5371</v>
      </c>
    </row>
    <row r="6357" spans="1:7">
      <c r="A6357" t="s">
        <v>5415</v>
      </c>
      <c r="G6357" t="s">
        <v>5371</v>
      </c>
    </row>
    <row r="6358" spans="1:7">
      <c r="A6358" t="s">
        <v>5416</v>
      </c>
      <c r="G6358" t="s">
        <v>5371</v>
      </c>
    </row>
    <row r="6359" spans="1:8">
      <c r="A6359" t="s">
        <v>5417</v>
      </c>
      <c r="G6359" t="s">
        <v>5371</v>
      </c>
      <c r="H6359">
        <v>4900097</v>
      </c>
    </row>
    <row r="6360" spans="1:7">
      <c r="A6360" t="s">
        <v>5418</v>
      </c>
      <c r="G6360" t="s">
        <v>5357</v>
      </c>
    </row>
    <row r="6361" spans="1:7">
      <c r="A6361" t="s">
        <v>4996</v>
      </c>
      <c r="G6361" t="s">
        <v>4890</v>
      </c>
    </row>
    <row r="6362" spans="1:7">
      <c r="A6362" t="s">
        <v>5335</v>
      </c>
      <c r="G6362" t="s">
        <v>4617</v>
      </c>
    </row>
    <row r="6363" spans="1:7">
      <c r="A6363" t="s">
        <v>5338</v>
      </c>
      <c r="G6363" t="s">
        <v>4617</v>
      </c>
    </row>
    <row r="6364" spans="1:7">
      <c r="A6364" t="s">
        <v>4553</v>
      </c>
      <c r="G6364" t="s">
        <v>4617</v>
      </c>
    </row>
    <row r="6365" spans="1:7">
      <c r="A6365" t="s">
        <v>5419</v>
      </c>
      <c r="G6365" t="s">
        <v>4617</v>
      </c>
    </row>
    <row r="6366" spans="1:7">
      <c r="A6366" t="s">
        <v>5420</v>
      </c>
      <c r="G6366" t="s">
        <v>4617</v>
      </c>
    </row>
    <row r="6367" spans="1:7">
      <c r="A6367" t="s">
        <v>5371</v>
      </c>
      <c r="G6367" t="s">
        <v>4617</v>
      </c>
    </row>
    <row r="6368" spans="1:7">
      <c r="A6368" t="s">
        <v>5421</v>
      </c>
      <c r="G6368" t="s">
        <v>4617</v>
      </c>
    </row>
    <row r="6369" spans="1:7">
      <c r="A6369" t="s">
        <v>5368</v>
      </c>
      <c r="G6369" t="s">
        <v>4617</v>
      </c>
    </row>
    <row r="6370" spans="1:7">
      <c r="A6370" t="s">
        <v>5045</v>
      </c>
      <c r="G6370" t="s">
        <v>4617</v>
      </c>
    </row>
    <row r="6371" spans="1:7">
      <c r="A6371" t="s">
        <v>4153</v>
      </c>
      <c r="G6371" t="s">
        <v>4617</v>
      </c>
    </row>
    <row r="6372" spans="1:7">
      <c r="A6372" t="s">
        <v>4291</v>
      </c>
      <c r="G6372" t="s">
        <v>4617</v>
      </c>
    </row>
    <row r="6373" spans="1:7">
      <c r="A6373" t="s">
        <v>4085</v>
      </c>
      <c r="G6373" t="s">
        <v>4617</v>
      </c>
    </row>
    <row r="6374" spans="1:7">
      <c r="A6374" t="s">
        <v>4454</v>
      </c>
      <c r="G6374" t="s">
        <v>4617</v>
      </c>
    </row>
    <row r="6375" spans="1:7">
      <c r="A6375" t="s">
        <v>4975</v>
      </c>
      <c r="G6375" t="s">
        <v>4617</v>
      </c>
    </row>
    <row r="6376" spans="1:7">
      <c r="A6376" t="s">
        <v>5195</v>
      </c>
      <c r="G6376" t="s">
        <v>4264</v>
      </c>
    </row>
    <row r="6377" spans="1:8">
      <c r="A6377" t="s">
        <v>4824</v>
      </c>
      <c r="G6377" t="s">
        <v>4264</v>
      </c>
      <c r="H6377">
        <v>5527097</v>
      </c>
    </row>
    <row r="6378" spans="1:7">
      <c r="A6378" t="s">
        <v>4143</v>
      </c>
      <c r="G6378" t="s">
        <v>4264</v>
      </c>
    </row>
    <row r="6379" spans="1:7">
      <c r="A6379" t="s">
        <v>4666</v>
      </c>
      <c r="G6379" t="s">
        <v>4264</v>
      </c>
    </row>
    <row r="6380" spans="1:7">
      <c r="A6380" t="s">
        <v>4364</v>
      </c>
      <c r="G6380" t="s">
        <v>4264</v>
      </c>
    </row>
    <row r="6381" spans="1:7">
      <c r="A6381" t="s">
        <v>5422</v>
      </c>
      <c r="G6381" t="s">
        <v>4264</v>
      </c>
    </row>
    <row r="6382" spans="1:7">
      <c r="A6382" t="s">
        <v>5423</v>
      </c>
      <c r="G6382" t="s">
        <v>4264</v>
      </c>
    </row>
    <row r="6383" spans="1:8">
      <c r="A6383" t="s">
        <v>5401</v>
      </c>
      <c r="G6383" t="s">
        <v>4264</v>
      </c>
      <c r="H6383">
        <v>5059097</v>
      </c>
    </row>
    <row r="6384" spans="1:7">
      <c r="A6384" t="s">
        <v>5186</v>
      </c>
      <c r="G6384" t="s">
        <v>4264</v>
      </c>
    </row>
    <row r="6385" spans="1:7">
      <c r="A6385" t="s">
        <v>4659</v>
      </c>
      <c r="G6385" t="s">
        <v>4264</v>
      </c>
    </row>
    <row r="6386" spans="1:7">
      <c r="A6386" t="s">
        <v>4959</v>
      </c>
      <c r="G6386" t="s">
        <v>4264</v>
      </c>
    </row>
    <row r="6387" spans="1:7">
      <c r="A6387" t="s">
        <v>4282</v>
      </c>
      <c r="G6387" t="s">
        <v>4264</v>
      </c>
    </row>
    <row r="6388" spans="1:7">
      <c r="A6388" t="s">
        <v>4492</v>
      </c>
      <c r="G6388" t="s">
        <v>4264</v>
      </c>
    </row>
    <row r="6389" spans="1:7">
      <c r="A6389" t="s">
        <v>4819</v>
      </c>
      <c r="G6389" t="s">
        <v>4264</v>
      </c>
    </row>
    <row r="6390" spans="1:7">
      <c r="A6390" t="s">
        <v>4720</v>
      </c>
      <c r="G6390" t="s">
        <v>4264</v>
      </c>
    </row>
    <row r="6391" spans="1:7">
      <c r="A6391" t="s">
        <v>4285</v>
      </c>
      <c r="G6391" t="s">
        <v>4264</v>
      </c>
    </row>
    <row r="6392" spans="1:8">
      <c r="A6392" t="s">
        <v>4084</v>
      </c>
      <c r="G6392" t="s">
        <v>5424</v>
      </c>
      <c r="H6392">
        <v>4890097</v>
      </c>
    </row>
    <row r="6393" spans="1:7">
      <c r="A6393" t="s">
        <v>5013</v>
      </c>
      <c r="G6393" t="s">
        <v>5424</v>
      </c>
    </row>
    <row r="6394" spans="1:7">
      <c r="A6394" t="s">
        <v>5425</v>
      </c>
      <c r="G6394" t="s">
        <v>4016</v>
      </c>
    </row>
    <row r="6395" spans="1:7">
      <c r="A6395" t="s">
        <v>5426</v>
      </c>
      <c r="G6395" t="s">
        <v>4016</v>
      </c>
    </row>
    <row r="6396" spans="1:7">
      <c r="A6396" t="s">
        <v>4117</v>
      </c>
      <c r="G6396" t="s">
        <v>5399</v>
      </c>
    </row>
    <row r="6397" spans="1:7">
      <c r="A6397" t="s">
        <v>5366</v>
      </c>
      <c r="G6397" t="s">
        <v>5399</v>
      </c>
    </row>
    <row r="6398" spans="1:7">
      <c r="A6398" t="s">
        <v>4616</v>
      </c>
      <c r="G6398" t="s">
        <v>5399</v>
      </c>
    </row>
    <row r="6399" spans="1:8">
      <c r="A6399" t="s">
        <v>4737</v>
      </c>
      <c r="G6399" t="s">
        <v>5399</v>
      </c>
      <c r="H6399">
        <v>4980097</v>
      </c>
    </row>
    <row r="6400" spans="1:7">
      <c r="A6400" t="s">
        <v>5036</v>
      </c>
      <c r="G6400" t="s">
        <v>5003</v>
      </c>
    </row>
    <row r="6401" spans="1:7">
      <c r="A6401" t="s">
        <v>4276</v>
      </c>
      <c r="G6401" t="s">
        <v>5296</v>
      </c>
    </row>
    <row r="6402" spans="1:7">
      <c r="A6402" t="s">
        <v>5049</v>
      </c>
      <c r="G6402" t="s">
        <v>5296</v>
      </c>
    </row>
    <row r="6403" spans="1:7">
      <c r="A6403" t="s">
        <v>5376</v>
      </c>
      <c r="G6403" t="s">
        <v>5296</v>
      </c>
    </row>
    <row r="6404" spans="1:7">
      <c r="A6404" t="s">
        <v>4738</v>
      </c>
      <c r="G6404" t="s">
        <v>5296</v>
      </c>
    </row>
    <row r="6405" spans="1:7">
      <c r="A6405" t="s">
        <v>5332</v>
      </c>
      <c r="G6405" t="s">
        <v>5296</v>
      </c>
    </row>
    <row r="6406" spans="1:7">
      <c r="A6406" t="s">
        <v>4656</v>
      </c>
      <c r="G6406" t="s">
        <v>4724</v>
      </c>
    </row>
    <row r="6407" spans="1:7">
      <c r="A6407" t="s">
        <v>5427</v>
      </c>
      <c r="G6407" t="s">
        <v>4724</v>
      </c>
    </row>
    <row r="6408" spans="1:7">
      <c r="A6408" t="s">
        <v>4131</v>
      </c>
      <c r="G6408" t="s">
        <v>4724</v>
      </c>
    </row>
    <row r="6409" spans="1:7">
      <c r="A6409" t="s">
        <v>5192</v>
      </c>
      <c r="B6409">
        <v>4974097</v>
      </c>
      <c r="G6409" t="s">
        <v>4724</v>
      </c>
    </row>
    <row r="6410" spans="1:7">
      <c r="A6410" t="s">
        <v>4178</v>
      </c>
      <c r="G6410" t="s">
        <v>4724</v>
      </c>
    </row>
    <row r="6411" spans="1:7">
      <c r="A6411" t="s">
        <v>4237</v>
      </c>
      <c r="G6411" t="s">
        <v>4724</v>
      </c>
    </row>
    <row r="6412" spans="1:7">
      <c r="A6412" t="s">
        <v>4956</v>
      </c>
      <c r="G6412" t="s">
        <v>4724</v>
      </c>
    </row>
    <row r="6413" spans="1:7">
      <c r="A6413" t="s">
        <v>5252</v>
      </c>
      <c r="G6413" t="s">
        <v>4724</v>
      </c>
    </row>
    <row r="6414" spans="1:7">
      <c r="A6414" t="s">
        <v>4232</v>
      </c>
      <c r="G6414" t="s">
        <v>5428</v>
      </c>
    </row>
    <row r="6415" spans="1:7">
      <c r="A6415" t="s">
        <v>4143</v>
      </c>
      <c r="G6415" t="s">
        <v>5428</v>
      </c>
    </row>
    <row r="6416" spans="1:8">
      <c r="A6416" t="s">
        <v>4372</v>
      </c>
      <c r="G6416" t="s">
        <v>5257</v>
      </c>
      <c r="H6416">
        <v>5152097</v>
      </c>
    </row>
    <row r="6417" spans="1:7">
      <c r="A6417" t="s">
        <v>4741</v>
      </c>
      <c r="G6417" t="s">
        <v>5157</v>
      </c>
    </row>
    <row r="6418" spans="1:8">
      <c r="A6418" t="s">
        <v>4417</v>
      </c>
      <c r="G6418" t="s">
        <v>5157</v>
      </c>
      <c r="H6418">
        <v>5058097</v>
      </c>
    </row>
    <row r="6419" spans="1:7">
      <c r="A6419" t="s">
        <v>4870</v>
      </c>
      <c r="G6419" t="s">
        <v>4440</v>
      </c>
    </row>
    <row r="6420" spans="1:7">
      <c r="A6420" t="s">
        <v>5004</v>
      </c>
      <c r="G6420" t="s">
        <v>4440</v>
      </c>
    </row>
    <row r="6421" spans="1:7">
      <c r="A6421" t="s">
        <v>4158</v>
      </c>
      <c r="G6421" t="s">
        <v>4440</v>
      </c>
    </row>
    <row r="6422" spans="1:7">
      <c r="A6422" t="s">
        <v>5187</v>
      </c>
      <c r="G6422" t="s">
        <v>4440</v>
      </c>
    </row>
    <row r="6423" spans="1:7">
      <c r="A6423" t="s">
        <v>4079</v>
      </c>
      <c r="G6423" t="s">
        <v>4440</v>
      </c>
    </row>
    <row r="6424" spans="1:7">
      <c r="A6424" t="s">
        <v>4455</v>
      </c>
      <c r="G6424" t="s">
        <v>4440</v>
      </c>
    </row>
    <row r="6425" spans="1:7">
      <c r="A6425" t="s">
        <v>4117</v>
      </c>
      <c r="B6425">
        <v>4960097</v>
      </c>
      <c r="G6425" t="s">
        <v>4684</v>
      </c>
    </row>
    <row r="6426" spans="1:7">
      <c r="A6426" t="s">
        <v>4900</v>
      </c>
      <c r="G6426" t="s">
        <v>4684</v>
      </c>
    </row>
    <row r="6427" spans="1:7">
      <c r="A6427" t="s">
        <v>4085</v>
      </c>
      <c r="G6427" t="s">
        <v>4684</v>
      </c>
    </row>
    <row r="6428" spans="1:7">
      <c r="A6428" t="s">
        <v>4949</v>
      </c>
      <c r="G6428" t="s">
        <v>4684</v>
      </c>
    </row>
    <row r="6429" spans="1:7">
      <c r="A6429" t="s">
        <v>3993</v>
      </c>
      <c r="G6429" t="s">
        <v>4684</v>
      </c>
    </row>
    <row r="6430" spans="1:8">
      <c r="A6430" t="s">
        <v>4589</v>
      </c>
      <c r="G6430" t="s">
        <v>4684</v>
      </c>
      <c r="H6430">
        <v>4959097</v>
      </c>
    </row>
    <row r="6431" spans="1:7">
      <c r="A6431" t="s">
        <v>4136</v>
      </c>
      <c r="G6431" t="s">
        <v>4684</v>
      </c>
    </row>
    <row r="6432" spans="1:7">
      <c r="A6432" t="s">
        <v>4659</v>
      </c>
      <c r="G6432" t="s">
        <v>5429</v>
      </c>
    </row>
    <row r="6433" spans="1:7">
      <c r="A6433" t="s">
        <v>4282</v>
      </c>
      <c r="G6433" t="s">
        <v>5368</v>
      </c>
    </row>
    <row r="6434" spans="1:7">
      <c r="A6434" t="s">
        <v>4978</v>
      </c>
      <c r="G6434" t="s">
        <v>5368</v>
      </c>
    </row>
    <row r="6435" spans="1:7">
      <c r="A6435" t="s">
        <v>4084</v>
      </c>
      <c r="G6435" t="s">
        <v>5368</v>
      </c>
    </row>
    <row r="6436" spans="1:7">
      <c r="A6436" t="s">
        <v>4276</v>
      </c>
      <c r="G6436" t="s">
        <v>5368</v>
      </c>
    </row>
    <row r="6437" spans="1:7">
      <c r="A6437" t="s">
        <v>4052</v>
      </c>
      <c r="G6437" t="s">
        <v>5368</v>
      </c>
    </row>
    <row r="6438" spans="1:7">
      <c r="A6438" t="s">
        <v>5332</v>
      </c>
      <c r="B6438">
        <v>4959097</v>
      </c>
      <c r="G6438" t="s">
        <v>5368</v>
      </c>
    </row>
    <row r="6439" spans="1:7">
      <c r="A6439" t="s">
        <v>4950</v>
      </c>
      <c r="G6439" t="s">
        <v>5368</v>
      </c>
    </row>
    <row r="6440" spans="1:7">
      <c r="A6440" t="s">
        <v>4703</v>
      </c>
      <c r="G6440" t="s">
        <v>5368</v>
      </c>
    </row>
    <row r="6441" spans="1:7">
      <c r="A6441" t="s">
        <v>4825</v>
      </c>
      <c r="G6441" t="s">
        <v>5403</v>
      </c>
    </row>
    <row r="6442" spans="1:7">
      <c r="A6442" t="s">
        <v>5300</v>
      </c>
      <c r="G6442" t="s">
        <v>5395</v>
      </c>
    </row>
    <row r="6443" spans="1:7">
      <c r="A6443" t="s">
        <v>4152</v>
      </c>
      <c r="G6443" t="s">
        <v>4870</v>
      </c>
    </row>
    <row r="6444" spans="1:7">
      <c r="A6444" t="s">
        <v>4656</v>
      </c>
      <c r="G6444" t="s">
        <v>4870</v>
      </c>
    </row>
    <row r="6445" spans="1:7">
      <c r="A6445" t="s">
        <v>5208</v>
      </c>
      <c r="G6445" t="s">
        <v>4870</v>
      </c>
    </row>
    <row r="6446" spans="1:7">
      <c r="A6446" t="s">
        <v>4109</v>
      </c>
      <c r="G6446" t="s">
        <v>4870</v>
      </c>
    </row>
    <row r="6447" spans="1:7">
      <c r="A6447" t="s">
        <v>4177</v>
      </c>
      <c r="G6447" t="s">
        <v>4870</v>
      </c>
    </row>
    <row r="6448" spans="1:7">
      <c r="A6448" t="s">
        <v>4190</v>
      </c>
      <c r="B6448">
        <v>4958097</v>
      </c>
      <c r="G6448" t="s">
        <v>4870</v>
      </c>
    </row>
    <row r="6449" spans="1:7">
      <c r="A6449" t="s">
        <v>5209</v>
      </c>
      <c r="G6449" t="s">
        <v>4870</v>
      </c>
    </row>
    <row r="6450" spans="1:7">
      <c r="A6450" t="s">
        <v>4450</v>
      </c>
      <c r="G6450" t="s">
        <v>4870</v>
      </c>
    </row>
    <row r="6451" spans="1:7">
      <c r="A6451" t="s">
        <v>5251</v>
      </c>
      <c r="G6451" t="s">
        <v>4870</v>
      </c>
    </row>
    <row r="6452" spans="1:7">
      <c r="A6452" t="s">
        <v>4570</v>
      </c>
      <c r="G6452" t="s">
        <v>4870</v>
      </c>
    </row>
    <row r="6453" spans="1:7">
      <c r="A6453" t="s">
        <v>5188</v>
      </c>
      <c r="G6453" t="s">
        <v>4870</v>
      </c>
    </row>
    <row r="6454" spans="1:7">
      <c r="A6454" t="s">
        <v>4731</v>
      </c>
      <c r="G6454" t="s">
        <v>4870</v>
      </c>
    </row>
    <row r="6455" spans="1:7">
      <c r="A6455" t="s">
        <v>4726</v>
      </c>
      <c r="G6455" t="s">
        <v>4870</v>
      </c>
    </row>
    <row r="6456" spans="1:7">
      <c r="A6456" t="s">
        <v>4098</v>
      </c>
      <c r="G6456" t="s">
        <v>4870</v>
      </c>
    </row>
    <row r="6457" spans="1:7">
      <c r="A6457" t="s">
        <v>4091</v>
      </c>
      <c r="G6457" t="s">
        <v>4870</v>
      </c>
    </row>
    <row r="6458" spans="1:7">
      <c r="A6458" t="s">
        <v>4126</v>
      </c>
      <c r="G6458" t="s">
        <v>4870</v>
      </c>
    </row>
    <row r="6459" spans="1:7">
      <c r="A6459" t="s">
        <v>4666</v>
      </c>
      <c r="G6459" t="s">
        <v>4870</v>
      </c>
    </row>
    <row r="6460" spans="1:7">
      <c r="A6460" t="s">
        <v>5210</v>
      </c>
      <c r="G6460" t="s">
        <v>4870</v>
      </c>
    </row>
    <row r="6461" spans="1:7">
      <c r="A6461" t="s">
        <v>5138</v>
      </c>
      <c r="G6461" t="s">
        <v>4870</v>
      </c>
    </row>
    <row r="6462" spans="1:7">
      <c r="A6462" t="s">
        <v>4454</v>
      </c>
      <c r="G6462" t="s">
        <v>4870</v>
      </c>
    </row>
    <row r="6463" spans="1:7">
      <c r="A6463" t="s">
        <v>4316</v>
      </c>
      <c r="G6463" t="s">
        <v>4870</v>
      </c>
    </row>
    <row r="6464" spans="1:7">
      <c r="A6464" t="s">
        <v>5015</v>
      </c>
      <c r="G6464" t="s">
        <v>4870</v>
      </c>
    </row>
    <row r="6465" spans="1:7">
      <c r="A6465" t="s">
        <v>4911</v>
      </c>
      <c r="G6465" t="s">
        <v>4870</v>
      </c>
    </row>
    <row r="6466" spans="1:7">
      <c r="A6466" t="s">
        <v>4113</v>
      </c>
      <c r="G6466" t="s">
        <v>4870</v>
      </c>
    </row>
    <row r="6467" spans="1:7">
      <c r="A6467" t="s">
        <v>4827</v>
      </c>
      <c r="G6467" t="s">
        <v>4870</v>
      </c>
    </row>
    <row r="6468" spans="1:7">
      <c r="A6468" t="s">
        <v>4132</v>
      </c>
      <c r="G6468" t="s">
        <v>4870</v>
      </c>
    </row>
    <row r="6469" spans="1:7">
      <c r="A6469" t="s">
        <v>4728</v>
      </c>
      <c r="G6469" t="s">
        <v>4870</v>
      </c>
    </row>
    <row r="6470" spans="1:7">
      <c r="A6470" t="s">
        <v>4938</v>
      </c>
      <c r="G6470" t="s">
        <v>4870</v>
      </c>
    </row>
    <row r="6471" spans="1:7">
      <c r="A6471" t="s">
        <v>5377</v>
      </c>
      <c r="G6471" t="s">
        <v>4870</v>
      </c>
    </row>
    <row r="6472" spans="1:7">
      <c r="A6472" t="s">
        <v>5411</v>
      </c>
      <c r="B6472">
        <v>4973097</v>
      </c>
      <c r="G6472" t="s">
        <v>4870</v>
      </c>
    </row>
    <row r="6473" spans="1:7">
      <c r="A6473" t="s">
        <v>5222</v>
      </c>
      <c r="G6473" t="s">
        <v>4002</v>
      </c>
    </row>
    <row r="6474" spans="1:7">
      <c r="A6474" t="s">
        <v>4131</v>
      </c>
      <c r="G6474" t="s">
        <v>4002</v>
      </c>
    </row>
    <row r="6475" spans="1:7">
      <c r="A6475" t="s">
        <v>5315</v>
      </c>
      <c r="G6475" t="s">
        <v>4015</v>
      </c>
    </row>
    <row r="6476" spans="1:7">
      <c r="A6476" t="s">
        <v>5419</v>
      </c>
      <c r="G6476" t="s">
        <v>4015</v>
      </c>
    </row>
    <row r="6477" spans="1:7">
      <c r="A6477" t="s">
        <v>4731</v>
      </c>
      <c r="G6477" t="s">
        <v>4015</v>
      </c>
    </row>
    <row r="6478" spans="1:7">
      <c r="A6478" t="s">
        <v>5410</v>
      </c>
      <c r="G6478" t="s">
        <v>5430</v>
      </c>
    </row>
    <row r="6479" spans="1:8">
      <c r="A6479" t="s">
        <v>5375</v>
      </c>
      <c r="G6479" t="s">
        <v>4354</v>
      </c>
      <c r="H6479">
        <v>5530097</v>
      </c>
    </row>
    <row r="6480" spans="1:7">
      <c r="A6480" t="s">
        <v>4282</v>
      </c>
      <c r="G6480" t="s">
        <v>4354</v>
      </c>
    </row>
    <row r="6481" spans="1:7">
      <c r="A6481" t="s">
        <v>5420</v>
      </c>
      <c r="G6481" t="s">
        <v>4354</v>
      </c>
    </row>
    <row r="6482" spans="1:7">
      <c r="A6482" t="s">
        <v>5138</v>
      </c>
      <c r="G6482" t="s">
        <v>4354</v>
      </c>
    </row>
    <row r="6483" spans="1:7">
      <c r="A6483" t="s">
        <v>5234</v>
      </c>
      <c r="G6483" t="s">
        <v>4354</v>
      </c>
    </row>
    <row r="6484" spans="1:7">
      <c r="A6484" t="s">
        <v>5413</v>
      </c>
      <c r="G6484" t="s">
        <v>4354</v>
      </c>
    </row>
    <row r="6485" spans="1:7">
      <c r="A6485" t="s">
        <v>4153</v>
      </c>
      <c r="G6485" t="s">
        <v>4354</v>
      </c>
    </row>
    <row r="6486" spans="1:7">
      <c r="A6486" t="s">
        <v>4921</v>
      </c>
      <c r="G6486" t="s">
        <v>4354</v>
      </c>
    </row>
    <row r="6487" spans="1:7">
      <c r="A6487" t="s">
        <v>4085</v>
      </c>
      <c r="G6487" t="s">
        <v>4354</v>
      </c>
    </row>
    <row r="6488" spans="1:7">
      <c r="A6488" t="s">
        <v>4870</v>
      </c>
      <c r="G6488" t="s">
        <v>4354</v>
      </c>
    </row>
    <row r="6489" spans="1:7">
      <c r="A6489" t="s">
        <v>5322</v>
      </c>
      <c r="G6489" t="s">
        <v>4354</v>
      </c>
    </row>
    <row r="6490" spans="1:7">
      <c r="A6490" t="s">
        <v>4291</v>
      </c>
      <c r="G6490" t="s">
        <v>4354</v>
      </c>
    </row>
    <row r="6491" spans="1:7">
      <c r="A6491" t="s">
        <v>5335</v>
      </c>
      <c r="G6491" t="s">
        <v>4354</v>
      </c>
    </row>
    <row r="6492" spans="1:7">
      <c r="A6492" t="s">
        <v>4422</v>
      </c>
      <c r="G6492" t="s">
        <v>4354</v>
      </c>
    </row>
    <row r="6493" spans="1:8">
      <c r="A6493" t="s">
        <v>5371</v>
      </c>
      <c r="G6493" t="s">
        <v>4354</v>
      </c>
      <c r="H6493">
        <v>5056097</v>
      </c>
    </row>
    <row r="6494" spans="1:8">
      <c r="A6494" t="s">
        <v>5414</v>
      </c>
      <c r="G6494" t="s">
        <v>4354</v>
      </c>
      <c r="H6494">
        <v>5055097</v>
      </c>
    </row>
    <row r="6495" spans="1:7">
      <c r="A6495" t="s">
        <v>4097</v>
      </c>
      <c r="G6495" t="s">
        <v>4354</v>
      </c>
    </row>
    <row r="6496" spans="1:7">
      <c r="A6496" t="s">
        <v>5401</v>
      </c>
      <c r="G6496" t="s">
        <v>4354</v>
      </c>
    </row>
    <row r="6497" spans="1:7">
      <c r="A6497" t="s">
        <v>4525</v>
      </c>
      <c r="G6497" t="s">
        <v>4354</v>
      </c>
    </row>
    <row r="6498" spans="1:7">
      <c r="A6498" t="s">
        <v>5015</v>
      </c>
      <c r="G6498" t="s">
        <v>4354</v>
      </c>
    </row>
    <row r="6499" spans="1:7">
      <c r="A6499" t="s">
        <v>4166</v>
      </c>
      <c r="G6499" t="s">
        <v>4354</v>
      </c>
    </row>
    <row r="6500" spans="1:7">
      <c r="A6500" t="s">
        <v>4450</v>
      </c>
      <c r="G6500" t="s">
        <v>4354</v>
      </c>
    </row>
    <row r="6501" spans="1:7">
      <c r="A6501" t="s">
        <v>5412</v>
      </c>
      <c r="G6501" t="s">
        <v>4354</v>
      </c>
    </row>
    <row r="6502" spans="1:7">
      <c r="A6502" t="s">
        <v>5416</v>
      </c>
      <c r="G6502" t="s">
        <v>4354</v>
      </c>
    </row>
    <row r="6503" spans="1:7">
      <c r="A6503" t="s">
        <v>4998</v>
      </c>
      <c r="G6503" t="s">
        <v>4354</v>
      </c>
    </row>
    <row r="6504" spans="1:7">
      <c r="A6504" t="s">
        <v>5045</v>
      </c>
      <c r="G6504" t="s">
        <v>4354</v>
      </c>
    </row>
    <row r="6505" spans="1:8">
      <c r="A6505" t="s">
        <v>4092</v>
      </c>
      <c r="G6505" t="s">
        <v>4354</v>
      </c>
      <c r="H6505">
        <v>4914097</v>
      </c>
    </row>
    <row r="6506" spans="1:7">
      <c r="A6506" t="s">
        <v>5415</v>
      </c>
      <c r="G6506" t="s">
        <v>4354</v>
      </c>
    </row>
    <row r="6507" spans="1:7">
      <c r="A6507" t="s">
        <v>4252</v>
      </c>
      <c r="G6507" t="s">
        <v>4354</v>
      </c>
    </row>
    <row r="6508" spans="1:7">
      <c r="A6508" t="s">
        <v>5418</v>
      </c>
      <c r="G6508" t="s">
        <v>4354</v>
      </c>
    </row>
    <row r="6509" spans="1:7">
      <c r="A6509" t="s">
        <v>4454</v>
      </c>
      <c r="G6509" t="s">
        <v>4354</v>
      </c>
    </row>
    <row r="6510" spans="1:7">
      <c r="A6510" t="s">
        <v>4996</v>
      </c>
      <c r="G6510" t="s">
        <v>4354</v>
      </c>
    </row>
    <row r="6511" spans="1:7">
      <c r="A6511" t="s">
        <v>4657</v>
      </c>
      <c r="G6511" t="s">
        <v>4354</v>
      </c>
    </row>
    <row r="6512" spans="1:8">
      <c r="A6512" t="s">
        <v>5012</v>
      </c>
      <c r="G6512" t="s">
        <v>4354</v>
      </c>
      <c r="H6512">
        <v>4799097</v>
      </c>
    </row>
    <row r="6513" spans="1:7">
      <c r="A6513" t="s">
        <v>4623</v>
      </c>
      <c r="G6513" t="s">
        <v>4354</v>
      </c>
    </row>
    <row r="6514" spans="1:7">
      <c r="A6514" t="s">
        <v>4720</v>
      </c>
      <c r="G6514" t="s">
        <v>4354</v>
      </c>
    </row>
    <row r="6515" spans="1:7">
      <c r="A6515" t="s">
        <v>4084</v>
      </c>
      <c r="G6515" t="s">
        <v>4354</v>
      </c>
    </row>
    <row r="6516" spans="1:7">
      <c r="A6516" t="s">
        <v>5425</v>
      </c>
      <c r="G6516" t="s">
        <v>4354</v>
      </c>
    </row>
    <row r="6517" spans="1:7">
      <c r="A6517" t="s">
        <v>5431</v>
      </c>
      <c r="G6517" t="s">
        <v>4354</v>
      </c>
    </row>
    <row r="6518" spans="1:7">
      <c r="A6518" t="s">
        <v>5370</v>
      </c>
      <c r="G6518" t="s">
        <v>4354</v>
      </c>
    </row>
    <row r="6519" spans="1:7">
      <c r="A6519" t="s">
        <v>4900</v>
      </c>
      <c r="G6519" t="s">
        <v>4354</v>
      </c>
    </row>
    <row r="6520" spans="1:7">
      <c r="A6520" t="s">
        <v>4143</v>
      </c>
      <c r="G6520" t="s">
        <v>4354</v>
      </c>
    </row>
    <row r="6521" spans="1:7">
      <c r="A6521" t="s">
        <v>4666</v>
      </c>
      <c r="G6521" t="s">
        <v>5351</v>
      </c>
    </row>
    <row r="6522" spans="1:7">
      <c r="A6522" t="s">
        <v>5422</v>
      </c>
      <c r="G6522" t="s">
        <v>5351</v>
      </c>
    </row>
    <row r="6523" spans="1:7">
      <c r="A6523" t="s">
        <v>5423</v>
      </c>
      <c r="G6523" t="s">
        <v>5351</v>
      </c>
    </row>
    <row r="6524" spans="1:7">
      <c r="A6524" t="s">
        <v>5319</v>
      </c>
      <c r="G6524" t="s">
        <v>5351</v>
      </c>
    </row>
    <row r="6525" spans="1:7">
      <c r="A6525" t="s">
        <v>4975</v>
      </c>
      <c r="G6525" t="s">
        <v>5351</v>
      </c>
    </row>
    <row r="6526" spans="1:7">
      <c r="A6526" t="s">
        <v>5338</v>
      </c>
      <c r="G6526" t="s">
        <v>5351</v>
      </c>
    </row>
    <row r="6527" spans="1:7">
      <c r="A6527" t="s">
        <v>5019</v>
      </c>
      <c r="G6527" t="s">
        <v>5351</v>
      </c>
    </row>
    <row r="6528" spans="1:7">
      <c r="A6528" t="s">
        <v>4659</v>
      </c>
      <c r="G6528" t="s">
        <v>5351</v>
      </c>
    </row>
    <row r="6529" spans="1:7">
      <c r="A6529" t="s">
        <v>5348</v>
      </c>
      <c r="G6529" t="s">
        <v>5351</v>
      </c>
    </row>
    <row r="6530" spans="1:7">
      <c r="A6530" t="s">
        <v>4156</v>
      </c>
      <c r="G6530" t="s">
        <v>5351</v>
      </c>
    </row>
    <row r="6531" spans="1:7">
      <c r="A6531" t="s">
        <v>5421</v>
      </c>
      <c r="G6531" t="s">
        <v>5351</v>
      </c>
    </row>
    <row r="6532" spans="1:7">
      <c r="A6532" t="s">
        <v>4959</v>
      </c>
      <c r="G6532" t="s">
        <v>5351</v>
      </c>
    </row>
    <row r="6533" spans="1:8">
      <c r="A6533" t="s">
        <v>4492</v>
      </c>
      <c r="G6533" t="s">
        <v>5351</v>
      </c>
      <c r="H6533">
        <v>4856097</v>
      </c>
    </row>
    <row r="6534" spans="1:7">
      <c r="A6534" t="s">
        <v>4819</v>
      </c>
      <c r="G6534" t="s">
        <v>5351</v>
      </c>
    </row>
    <row r="6535" spans="1:7">
      <c r="A6535" t="s">
        <v>5432</v>
      </c>
      <c r="G6535" t="s">
        <v>5351</v>
      </c>
    </row>
    <row r="6536" spans="1:7">
      <c r="A6536" t="s">
        <v>4824</v>
      </c>
      <c r="G6536" t="s">
        <v>5351</v>
      </c>
    </row>
    <row r="6537" spans="1:7">
      <c r="A6537" t="s">
        <v>5013</v>
      </c>
      <c r="G6537" t="s">
        <v>5351</v>
      </c>
    </row>
    <row r="6538" spans="1:7">
      <c r="A6538" t="s">
        <v>5409</v>
      </c>
      <c r="G6538" t="s">
        <v>5351</v>
      </c>
    </row>
    <row r="6539" spans="1:7">
      <c r="A6539" t="s">
        <v>4117</v>
      </c>
      <c r="G6539" t="s">
        <v>5351</v>
      </c>
    </row>
    <row r="6540" spans="1:7">
      <c r="A6540" t="s">
        <v>5378</v>
      </c>
      <c r="G6540" t="s">
        <v>5351</v>
      </c>
    </row>
    <row r="6541" spans="1:7">
      <c r="A6541" t="s">
        <v>5366</v>
      </c>
      <c r="B6541">
        <v>4957097</v>
      </c>
      <c r="G6541" t="s">
        <v>5351</v>
      </c>
    </row>
    <row r="6542" spans="1:7">
      <c r="A6542" t="s">
        <v>5036</v>
      </c>
      <c r="G6542" t="s">
        <v>5351</v>
      </c>
    </row>
    <row r="6543" spans="1:7">
      <c r="A6543" t="s">
        <v>4276</v>
      </c>
      <c r="G6543" t="s">
        <v>5351</v>
      </c>
    </row>
    <row r="6544" spans="1:7">
      <c r="A6544" t="s">
        <v>5049</v>
      </c>
      <c r="G6544" t="s">
        <v>5351</v>
      </c>
    </row>
    <row r="6545" spans="1:7">
      <c r="A6545" t="s">
        <v>5017</v>
      </c>
      <c r="G6545" t="s">
        <v>5351</v>
      </c>
    </row>
    <row r="6546" spans="1:7">
      <c r="A6546" t="s">
        <v>4190</v>
      </c>
      <c r="G6546" t="s">
        <v>5351</v>
      </c>
    </row>
    <row r="6547" spans="1:7">
      <c r="A6547" t="s">
        <v>4374</v>
      </c>
      <c r="G6547" t="s">
        <v>5351</v>
      </c>
    </row>
    <row r="6548" spans="1:7">
      <c r="A6548" t="s">
        <v>5376</v>
      </c>
      <c r="G6548" t="s">
        <v>5351</v>
      </c>
    </row>
    <row r="6549" spans="1:7">
      <c r="A6549" t="s">
        <v>5433</v>
      </c>
      <c r="G6549" t="s">
        <v>5351</v>
      </c>
    </row>
    <row r="6550" spans="1:7">
      <c r="A6550" t="s">
        <v>5332</v>
      </c>
      <c r="G6550" t="s">
        <v>5351</v>
      </c>
    </row>
    <row r="6551" spans="1:7">
      <c r="A6551" t="s">
        <v>4285</v>
      </c>
      <c r="G6551" t="s">
        <v>5351</v>
      </c>
    </row>
    <row r="6552" spans="1:7">
      <c r="A6552" t="s">
        <v>4656</v>
      </c>
      <c r="G6552" t="s">
        <v>5351</v>
      </c>
    </row>
    <row r="6553" spans="1:7">
      <c r="A6553" t="s">
        <v>4738</v>
      </c>
      <c r="G6553" t="s">
        <v>5351</v>
      </c>
    </row>
    <row r="6554" spans="1:7">
      <c r="A6554" t="s">
        <v>4881</v>
      </c>
      <c r="G6554" t="s">
        <v>5351</v>
      </c>
    </row>
    <row r="6555" spans="1:7">
      <c r="A6555" t="s">
        <v>4958</v>
      </c>
      <c r="B6555">
        <v>4960097</v>
      </c>
      <c r="G6555" t="s">
        <v>5351</v>
      </c>
    </row>
    <row r="6556" spans="1:7">
      <c r="A6556" t="s">
        <v>4684</v>
      </c>
      <c r="G6556" t="s">
        <v>5351</v>
      </c>
    </row>
    <row r="6557" spans="1:7">
      <c r="A6557" t="s">
        <v>5174</v>
      </c>
      <c r="G6557" t="s">
        <v>5351</v>
      </c>
    </row>
    <row r="6558" spans="1:7">
      <c r="A6558" t="s">
        <v>4349</v>
      </c>
      <c r="G6558" t="s">
        <v>5351</v>
      </c>
    </row>
    <row r="6559" spans="1:7">
      <c r="A6559" t="s">
        <v>4361</v>
      </c>
      <c r="G6559" t="s">
        <v>5351</v>
      </c>
    </row>
    <row r="6560" spans="1:7">
      <c r="A6560" t="s">
        <v>5434</v>
      </c>
      <c r="G6560" t="s">
        <v>5351</v>
      </c>
    </row>
    <row r="6561" spans="1:7">
      <c r="A6561" t="s">
        <v>5435</v>
      </c>
      <c r="G6561" t="s">
        <v>5351</v>
      </c>
    </row>
    <row r="6562" spans="1:7">
      <c r="A6562" t="s">
        <v>4338</v>
      </c>
      <c r="G6562" t="s">
        <v>5351</v>
      </c>
    </row>
    <row r="6563" spans="1:7">
      <c r="A6563" t="s">
        <v>4379</v>
      </c>
      <c r="G6563" t="s">
        <v>5383</v>
      </c>
    </row>
    <row r="6564" spans="1:7">
      <c r="A6564" t="s">
        <v>5033</v>
      </c>
      <c r="G6564" t="s">
        <v>5436</v>
      </c>
    </row>
    <row r="6565" spans="1:7">
      <c r="A6565" t="s">
        <v>5120</v>
      </c>
      <c r="G6565" t="s">
        <v>5205</v>
      </c>
    </row>
    <row r="6566" spans="1:7">
      <c r="A6566" t="s">
        <v>4963</v>
      </c>
      <c r="G6566" t="s">
        <v>5205</v>
      </c>
    </row>
    <row r="6567" spans="1:7">
      <c r="A6567" t="s">
        <v>5397</v>
      </c>
      <c r="B6567">
        <v>4956097</v>
      </c>
      <c r="G6567" t="s">
        <v>5205</v>
      </c>
    </row>
    <row r="6568" spans="1:7">
      <c r="A6568" t="s">
        <v>4684</v>
      </c>
      <c r="B6568">
        <v>4959097</v>
      </c>
      <c r="G6568" t="s">
        <v>5205</v>
      </c>
    </row>
    <row r="6569" spans="1:7">
      <c r="A6569" t="s">
        <v>4349</v>
      </c>
      <c r="G6569" t="s">
        <v>5205</v>
      </c>
    </row>
    <row r="6570" spans="1:7">
      <c r="A6570" t="s">
        <v>4361</v>
      </c>
      <c r="G6570" t="s">
        <v>5205</v>
      </c>
    </row>
    <row r="6571" spans="1:7">
      <c r="A6571" t="s">
        <v>4338</v>
      </c>
      <c r="G6571" t="s">
        <v>5205</v>
      </c>
    </row>
    <row r="6572" spans="1:7">
      <c r="A6572" t="s">
        <v>5435</v>
      </c>
      <c r="G6572" t="s">
        <v>5205</v>
      </c>
    </row>
    <row r="6573" spans="1:7">
      <c r="A6573" t="s">
        <v>5397</v>
      </c>
      <c r="G6573" t="s">
        <v>5205</v>
      </c>
    </row>
    <row r="6574" spans="1:8">
      <c r="A6574" t="s">
        <v>5174</v>
      </c>
      <c r="G6574" t="s">
        <v>5205</v>
      </c>
      <c r="H6574">
        <v>5064097</v>
      </c>
    </row>
    <row r="6575" spans="1:7">
      <c r="A6575" t="s">
        <v>4379</v>
      </c>
      <c r="G6575" t="s">
        <v>5205</v>
      </c>
    </row>
    <row r="6576" spans="1:7">
      <c r="A6576" t="s">
        <v>5434</v>
      </c>
      <c r="G6576" t="s">
        <v>5205</v>
      </c>
    </row>
    <row r="6577" spans="1:7">
      <c r="A6577" t="s">
        <v>4958</v>
      </c>
      <c r="G6577" t="s">
        <v>4487</v>
      </c>
    </row>
    <row r="6578" spans="1:7">
      <c r="A6578" t="s">
        <v>4147</v>
      </c>
      <c r="B6578">
        <v>4958097</v>
      </c>
      <c r="G6578" t="s">
        <v>5437</v>
      </c>
    </row>
    <row r="6579" spans="1:7">
      <c r="A6579" t="s">
        <v>4092</v>
      </c>
      <c r="G6579" t="s">
        <v>5438</v>
      </c>
    </row>
    <row r="6580" spans="1:7">
      <c r="A6580" t="s">
        <v>4898</v>
      </c>
      <c r="G6580" t="s">
        <v>4532</v>
      </c>
    </row>
    <row r="6581" spans="1:7">
      <c r="A6581" t="s">
        <v>4978</v>
      </c>
      <c r="G6581" t="s">
        <v>4532</v>
      </c>
    </row>
    <row r="6582" spans="1:7">
      <c r="A6582" t="s">
        <v>4704</v>
      </c>
      <c r="G6582" t="s">
        <v>4532</v>
      </c>
    </row>
    <row r="6583" spans="1:7">
      <c r="A6583" t="s">
        <v>4799</v>
      </c>
      <c r="G6583" t="s">
        <v>4532</v>
      </c>
    </row>
    <row r="6584" spans="1:7">
      <c r="A6584" t="s">
        <v>5145</v>
      </c>
      <c r="G6584" t="s">
        <v>4532</v>
      </c>
    </row>
    <row r="6585" spans="1:7">
      <c r="A6585" t="s">
        <v>4900</v>
      </c>
      <c r="G6585" t="s">
        <v>4532</v>
      </c>
    </row>
    <row r="6586" spans="1:7">
      <c r="A6586" t="s">
        <v>4778</v>
      </c>
      <c r="G6586" t="s">
        <v>4532</v>
      </c>
    </row>
    <row r="6587" spans="1:8">
      <c r="A6587" t="s">
        <v>5036</v>
      </c>
      <c r="G6587" t="s">
        <v>5359</v>
      </c>
      <c r="H6587">
        <v>5034097</v>
      </c>
    </row>
    <row r="6588" spans="1:8">
      <c r="A6588" t="s">
        <v>4512</v>
      </c>
      <c r="G6588" t="s">
        <v>5237</v>
      </c>
      <c r="H6588">
        <v>5176097</v>
      </c>
    </row>
    <row r="6589" spans="1:7">
      <c r="A6589" t="s">
        <v>4009</v>
      </c>
      <c r="G6589" t="s">
        <v>5237</v>
      </c>
    </row>
    <row r="6590" spans="1:7">
      <c r="A6590" t="s">
        <v>4280</v>
      </c>
      <c r="G6590" t="s">
        <v>5237</v>
      </c>
    </row>
    <row r="6591" spans="1:8">
      <c r="A6591" t="s">
        <v>4088</v>
      </c>
      <c r="G6591" t="s">
        <v>5237</v>
      </c>
      <c r="H6591">
        <v>5029097</v>
      </c>
    </row>
    <row r="6592" spans="1:7">
      <c r="A6592" t="s">
        <v>4952</v>
      </c>
      <c r="G6592" t="s">
        <v>4271</v>
      </c>
    </row>
    <row r="6593" spans="1:7">
      <c r="A6593" t="s">
        <v>4929</v>
      </c>
      <c r="G6593" t="s">
        <v>4271</v>
      </c>
    </row>
    <row r="6594" spans="1:7">
      <c r="A6594" t="s">
        <v>4658</v>
      </c>
      <c r="G6594" t="s">
        <v>4271</v>
      </c>
    </row>
    <row r="6595" spans="1:7">
      <c r="A6595" t="s">
        <v>4919</v>
      </c>
      <c r="G6595" t="s">
        <v>4271</v>
      </c>
    </row>
    <row r="6596" spans="1:7">
      <c r="A6596" t="s">
        <v>4342</v>
      </c>
      <c r="G6596" t="s">
        <v>4271</v>
      </c>
    </row>
    <row r="6597" spans="1:7">
      <c r="A6597" t="s">
        <v>4989</v>
      </c>
      <c r="G6597" t="s">
        <v>5093</v>
      </c>
    </row>
    <row r="6598" spans="1:7">
      <c r="A6598" t="s">
        <v>4109</v>
      </c>
      <c r="G6598" t="s">
        <v>5093</v>
      </c>
    </row>
    <row r="6599" spans="1:7">
      <c r="A6599" t="s">
        <v>4085</v>
      </c>
      <c r="G6599" t="s">
        <v>4781</v>
      </c>
    </row>
    <row r="6600" spans="1:7">
      <c r="A6600" t="s">
        <v>4136</v>
      </c>
      <c r="B6600">
        <v>4955097</v>
      </c>
      <c r="G6600" t="s">
        <v>4768</v>
      </c>
    </row>
    <row r="6601" spans="1:7">
      <c r="A6601" t="s">
        <v>4062</v>
      </c>
      <c r="G6601" t="s">
        <v>4768</v>
      </c>
    </row>
    <row r="6602" spans="1:7">
      <c r="A6602" t="s">
        <v>4155</v>
      </c>
      <c r="G6602" t="s">
        <v>4768</v>
      </c>
    </row>
    <row r="6603" spans="1:7">
      <c r="A6603" t="s">
        <v>4234</v>
      </c>
      <c r="G6603" t="s">
        <v>4768</v>
      </c>
    </row>
    <row r="6604" spans="1:7">
      <c r="A6604" t="s">
        <v>4437</v>
      </c>
      <c r="G6604" t="s">
        <v>4768</v>
      </c>
    </row>
    <row r="6605" spans="1:7">
      <c r="A6605" t="s">
        <v>4296</v>
      </c>
      <c r="G6605" t="s">
        <v>4533</v>
      </c>
    </row>
    <row r="6606" spans="1:7">
      <c r="A6606" t="s">
        <v>4870</v>
      </c>
      <c r="G6606" t="s">
        <v>4533</v>
      </c>
    </row>
    <row r="6607" spans="1:7">
      <c r="A6607" t="s">
        <v>5014</v>
      </c>
      <c r="G6607" t="s">
        <v>4763</v>
      </c>
    </row>
    <row r="6608" spans="1:7">
      <c r="A6608" t="s">
        <v>4806</v>
      </c>
      <c r="G6608" t="s">
        <v>4763</v>
      </c>
    </row>
    <row r="6609" spans="1:7">
      <c r="A6609" t="s">
        <v>4233</v>
      </c>
      <c r="G6609" t="s">
        <v>4763</v>
      </c>
    </row>
    <row r="6610" spans="1:7">
      <c r="A6610" t="s">
        <v>4996</v>
      </c>
      <c r="G6610" t="s">
        <v>4763</v>
      </c>
    </row>
    <row r="6611" spans="1:7">
      <c r="A6611" t="s">
        <v>4132</v>
      </c>
      <c r="G6611" t="s">
        <v>4763</v>
      </c>
    </row>
    <row r="6612" spans="1:7">
      <c r="A6612" t="s">
        <v>4131</v>
      </c>
      <c r="G6612" t="s">
        <v>4763</v>
      </c>
    </row>
    <row r="6613" spans="1:7">
      <c r="A6613" t="s">
        <v>4166</v>
      </c>
      <c r="G6613" t="s">
        <v>4763</v>
      </c>
    </row>
    <row r="6614" spans="1:7">
      <c r="A6614" t="s">
        <v>4184</v>
      </c>
      <c r="G6614" t="s">
        <v>4763</v>
      </c>
    </row>
    <row r="6615" spans="1:7">
      <c r="A6615" t="s">
        <v>4474</v>
      </c>
      <c r="G6615" t="s">
        <v>4763</v>
      </c>
    </row>
    <row r="6616" spans="1:7">
      <c r="A6616" t="s">
        <v>4313</v>
      </c>
      <c r="G6616" t="s">
        <v>4763</v>
      </c>
    </row>
    <row r="6617" spans="1:7">
      <c r="A6617" t="s">
        <v>4901</v>
      </c>
      <c r="G6617" t="s">
        <v>4763</v>
      </c>
    </row>
    <row r="6618" spans="1:7">
      <c r="A6618" t="s">
        <v>4231</v>
      </c>
      <c r="G6618" t="s">
        <v>4763</v>
      </c>
    </row>
    <row r="6619" spans="1:7">
      <c r="A6619" t="s">
        <v>4276</v>
      </c>
      <c r="G6619" t="s">
        <v>4763</v>
      </c>
    </row>
    <row r="6620" spans="1:7">
      <c r="A6620" t="s">
        <v>4450</v>
      </c>
      <c r="G6620" t="s">
        <v>4763</v>
      </c>
    </row>
    <row r="6621" spans="1:7">
      <c r="A6621" t="s">
        <v>5045</v>
      </c>
      <c r="G6621" t="s">
        <v>4763</v>
      </c>
    </row>
    <row r="6622" spans="1:7">
      <c r="A6622" t="s">
        <v>5273</v>
      </c>
      <c r="G6622" t="s">
        <v>4763</v>
      </c>
    </row>
    <row r="6623" spans="1:7">
      <c r="A6623" t="s">
        <v>4097</v>
      </c>
      <c r="G6623" t="s">
        <v>4763</v>
      </c>
    </row>
    <row r="6624" spans="1:7">
      <c r="A6624" t="s">
        <v>5131</v>
      </c>
      <c r="G6624" t="s">
        <v>4763</v>
      </c>
    </row>
    <row r="6625" spans="1:7">
      <c r="A6625" t="s">
        <v>4548</v>
      </c>
      <c r="G6625" t="s">
        <v>4763</v>
      </c>
    </row>
    <row r="6626" spans="1:7">
      <c r="A6626" t="s">
        <v>4422</v>
      </c>
      <c r="G6626" t="s">
        <v>4763</v>
      </c>
    </row>
    <row r="6627" spans="1:7">
      <c r="A6627" t="s">
        <v>4513</v>
      </c>
      <c r="G6627" t="s">
        <v>4763</v>
      </c>
    </row>
    <row r="6628" spans="1:7">
      <c r="A6628" t="s">
        <v>4188</v>
      </c>
      <c r="G6628" t="s">
        <v>5207</v>
      </c>
    </row>
    <row r="6629" spans="1:7">
      <c r="A6629" t="s">
        <v>4072</v>
      </c>
      <c r="G6629" t="s">
        <v>5207</v>
      </c>
    </row>
    <row r="6630" spans="1:8">
      <c r="A6630" t="s">
        <v>4239</v>
      </c>
      <c r="G6630" t="s">
        <v>5207</v>
      </c>
      <c r="H6630">
        <v>4897097</v>
      </c>
    </row>
    <row r="6631" spans="1:8">
      <c r="A6631" t="s">
        <v>5068</v>
      </c>
      <c r="G6631" t="s">
        <v>4941</v>
      </c>
      <c r="H6631">
        <v>5400097</v>
      </c>
    </row>
    <row r="6632" spans="1:7">
      <c r="A6632" t="s">
        <v>4797</v>
      </c>
      <c r="G6632" t="s">
        <v>4010</v>
      </c>
    </row>
    <row r="6633" spans="1:7">
      <c r="A6633" t="s">
        <v>4180</v>
      </c>
      <c r="G6633" t="s">
        <v>4010</v>
      </c>
    </row>
    <row r="6634" spans="1:7">
      <c r="A6634" t="s">
        <v>4142</v>
      </c>
      <c r="B6634">
        <v>4954097</v>
      </c>
      <c r="G6634" t="s">
        <v>4476</v>
      </c>
    </row>
    <row r="6635" spans="1:7">
      <c r="A6635" t="s">
        <v>4084</v>
      </c>
      <c r="G6635" t="s">
        <v>5388</v>
      </c>
    </row>
    <row r="6636" spans="1:7">
      <c r="A6636" t="s">
        <v>5140</v>
      </c>
      <c r="G6636" t="s">
        <v>5388</v>
      </c>
    </row>
    <row r="6637" spans="1:7">
      <c r="A6637" t="s">
        <v>5027</v>
      </c>
      <c r="G6637" t="s">
        <v>5388</v>
      </c>
    </row>
    <row r="6638" spans="1:7">
      <c r="A6638" t="s">
        <v>4659</v>
      </c>
      <c r="G6638" t="s">
        <v>5388</v>
      </c>
    </row>
    <row r="6639" spans="1:7">
      <c r="A6639" t="s">
        <v>4824</v>
      </c>
      <c r="G6639" t="s">
        <v>5388</v>
      </c>
    </row>
    <row r="6640" spans="1:7">
      <c r="A6640" t="s">
        <v>5364</v>
      </c>
      <c r="G6640" t="s">
        <v>5388</v>
      </c>
    </row>
    <row r="6641" spans="1:7">
      <c r="A6641" t="s">
        <v>4463</v>
      </c>
      <c r="G6641" t="s">
        <v>5388</v>
      </c>
    </row>
    <row r="6642" spans="1:7">
      <c r="A6642" t="s">
        <v>4477</v>
      </c>
      <c r="G6642" t="s">
        <v>5388</v>
      </c>
    </row>
    <row r="6643" spans="1:7">
      <c r="A6643" t="s">
        <v>4948</v>
      </c>
      <c r="G6643" t="s">
        <v>5388</v>
      </c>
    </row>
    <row r="6644" spans="1:7">
      <c r="A6644" t="s">
        <v>4189</v>
      </c>
      <c r="G6644" t="s">
        <v>4385</v>
      </c>
    </row>
    <row r="6645" spans="1:7">
      <c r="A6645" t="s">
        <v>4108</v>
      </c>
      <c r="G6645" t="s">
        <v>4385</v>
      </c>
    </row>
    <row r="6646" spans="1:7">
      <c r="A6646" t="s">
        <v>4730</v>
      </c>
      <c r="G6646" t="s">
        <v>4385</v>
      </c>
    </row>
    <row r="6647" spans="1:7">
      <c r="A6647" t="s">
        <v>4117</v>
      </c>
      <c r="G6647" t="s">
        <v>4385</v>
      </c>
    </row>
    <row r="6648" spans="1:7">
      <c r="A6648" t="s">
        <v>4113</v>
      </c>
      <c r="G6648" t="s">
        <v>4385</v>
      </c>
    </row>
    <row r="6649" spans="1:7">
      <c r="A6649" t="s">
        <v>5090</v>
      </c>
      <c r="G6649" t="s">
        <v>4385</v>
      </c>
    </row>
    <row r="6650" spans="1:7">
      <c r="A6650" t="s">
        <v>4928</v>
      </c>
      <c r="G6650" t="s">
        <v>4385</v>
      </c>
    </row>
    <row r="6651" spans="1:7">
      <c r="A6651" t="s">
        <v>4828</v>
      </c>
      <c r="G6651" t="s">
        <v>4385</v>
      </c>
    </row>
    <row r="6652" spans="1:7">
      <c r="A6652" t="s">
        <v>4115</v>
      </c>
      <c r="G6652" t="s">
        <v>4385</v>
      </c>
    </row>
    <row r="6653" spans="1:7">
      <c r="A6653" t="s">
        <v>4364</v>
      </c>
      <c r="G6653" t="s">
        <v>4385</v>
      </c>
    </row>
    <row r="6654" spans="1:7">
      <c r="A6654" t="s">
        <v>4879</v>
      </c>
      <c r="G6654" t="s">
        <v>4385</v>
      </c>
    </row>
    <row r="6655" spans="1:7">
      <c r="A6655" t="s">
        <v>4578</v>
      </c>
      <c r="G6655" t="s">
        <v>4385</v>
      </c>
    </row>
    <row r="6656" spans="1:7">
      <c r="A6656" t="s">
        <v>4566</v>
      </c>
      <c r="G6656" t="s">
        <v>4385</v>
      </c>
    </row>
    <row r="6657" spans="1:8">
      <c r="A6657" t="s">
        <v>4538</v>
      </c>
      <c r="G6657" t="s">
        <v>4385</v>
      </c>
      <c r="H6657">
        <v>4776097</v>
      </c>
    </row>
    <row r="6658" spans="1:7">
      <c r="A6658" t="s">
        <v>4522</v>
      </c>
      <c r="G6658" t="s">
        <v>4385</v>
      </c>
    </row>
    <row r="6659" spans="1:7">
      <c r="A6659" t="s">
        <v>5439</v>
      </c>
      <c r="G6659" t="s">
        <v>4385</v>
      </c>
    </row>
    <row r="6660" spans="1:7">
      <c r="A6660" t="s">
        <v>5121</v>
      </c>
      <c r="G6660" t="s">
        <v>4385</v>
      </c>
    </row>
    <row r="6661" spans="1:8">
      <c r="A6661" t="s">
        <v>4128</v>
      </c>
      <c r="G6661" t="s">
        <v>4385</v>
      </c>
      <c r="H6661">
        <v>4777097</v>
      </c>
    </row>
    <row r="6662" spans="1:7">
      <c r="A6662" t="s">
        <v>5440</v>
      </c>
      <c r="G6662" t="s">
        <v>4385</v>
      </c>
    </row>
    <row r="6663" spans="1:7">
      <c r="A6663" t="s">
        <v>4570</v>
      </c>
      <c r="G6663" t="s">
        <v>4385</v>
      </c>
    </row>
    <row r="6664" spans="1:7">
      <c r="A6664" t="s">
        <v>4666</v>
      </c>
      <c r="G6664" t="s">
        <v>4385</v>
      </c>
    </row>
    <row r="6665" spans="1:7">
      <c r="A6665" t="s">
        <v>4148</v>
      </c>
      <c r="G6665" t="s">
        <v>4385</v>
      </c>
    </row>
    <row r="6666" spans="1:7">
      <c r="A6666" t="s">
        <v>4998</v>
      </c>
      <c r="G6666" t="s">
        <v>4385</v>
      </c>
    </row>
    <row r="6667" spans="1:7">
      <c r="A6667" t="s">
        <v>4980</v>
      </c>
      <c r="G6667" t="s">
        <v>5163</v>
      </c>
    </row>
    <row r="6668" spans="1:7">
      <c r="A6668" t="s">
        <v>4982</v>
      </c>
      <c r="G6668" t="s">
        <v>5163</v>
      </c>
    </row>
    <row r="6669" spans="1:7">
      <c r="A6669" t="s">
        <v>4773</v>
      </c>
      <c r="G6669" t="s">
        <v>5163</v>
      </c>
    </row>
    <row r="6670" spans="1:7">
      <c r="A6670" t="s">
        <v>4288</v>
      </c>
      <c r="G6670" t="s">
        <v>5163</v>
      </c>
    </row>
    <row r="6671" spans="1:7">
      <c r="A6671" t="s">
        <v>4343</v>
      </c>
      <c r="B6671">
        <v>4957097</v>
      </c>
      <c r="G6671" t="s">
        <v>5163</v>
      </c>
    </row>
    <row r="6672" spans="1:7">
      <c r="A6672" t="s">
        <v>5441</v>
      </c>
      <c r="G6672" t="s">
        <v>5163</v>
      </c>
    </row>
    <row r="6673" spans="1:7">
      <c r="A6673" t="s">
        <v>4362</v>
      </c>
      <c r="G6673" t="s">
        <v>5163</v>
      </c>
    </row>
    <row r="6674" spans="1:7">
      <c r="A6674" t="s">
        <v>5442</v>
      </c>
      <c r="G6674" t="s">
        <v>5163</v>
      </c>
    </row>
    <row r="6675" spans="1:7">
      <c r="A6675" t="s">
        <v>4899</v>
      </c>
      <c r="G6675" t="s">
        <v>5163</v>
      </c>
    </row>
    <row r="6676" spans="1:7">
      <c r="A6676" t="s">
        <v>4387</v>
      </c>
      <c r="G6676" t="s">
        <v>5163</v>
      </c>
    </row>
    <row r="6677" spans="1:7">
      <c r="A6677" t="s">
        <v>5443</v>
      </c>
      <c r="G6677" t="s">
        <v>5163</v>
      </c>
    </row>
    <row r="6678" spans="1:7">
      <c r="A6678" t="s">
        <v>4960</v>
      </c>
      <c r="G6678" t="s">
        <v>5163</v>
      </c>
    </row>
    <row r="6679" spans="1:8">
      <c r="A6679" t="s">
        <v>4955</v>
      </c>
      <c r="G6679" t="s">
        <v>5163</v>
      </c>
      <c r="H6679">
        <v>5192097</v>
      </c>
    </row>
    <row r="6680" spans="1:7">
      <c r="A6680" t="s">
        <v>5267</v>
      </c>
      <c r="G6680" t="s">
        <v>5163</v>
      </c>
    </row>
    <row r="6681" spans="1:7">
      <c r="A6681" t="s">
        <v>4377</v>
      </c>
      <c r="G6681" t="s">
        <v>5163</v>
      </c>
    </row>
    <row r="6682" spans="1:7">
      <c r="A6682" t="s">
        <v>4333</v>
      </c>
      <c r="G6682" t="s">
        <v>5163</v>
      </c>
    </row>
    <row r="6683" spans="1:7">
      <c r="A6683" t="s">
        <v>4356</v>
      </c>
      <c r="G6683" t="s">
        <v>5163</v>
      </c>
    </row>
    <row r="6684" spans="1:7">
      <c r="A6684" t="s">
        <v>4130</v>
      </c>
      <c r="G6684" t="s">
        <v>5163</v>
      </c>
    </row>
    <row r="6685" spans="1:7">
      <c r="A6685" t="s">
        <v>4354</v>
      </c>
      <c r="G6685" t="s">
        <v>5163</v>
      </c>
    </row>
    <row r="6686" spans="1:7">
      <c r="A6686" t="s">
        <v>4363</v>
      </c>
      <c r="G6686" t="s">
        <v>5163</v>
      </c>
    </row>
    <row r="6687" spans="1:7">
      <c r="A6687" t="s">
        <v>4358</v>
      </c>
      <c r="G6687" t="s">
        <v>5163</v>
      </c>
    </row>
    <row r="6688" spans="1:7">
      <c r="A6688" t="s">
        <v>5269</v>
      </c>
      <c r="G6688" t="s">
        <v>5163</v>
      </c>
    </row>
    <row r="6689" spans="1:7">
      <c r="A6689" t="s">
        <v>4352</v>
      </c>
      <c r="G6689" t="s">
        <v>5163</v>
      </c>
    </row>
    <row r="6690" spans="1:7">
      <c r="A6690" t="s">
        <v>4985</v>
      </c>
      <c r="G6690" t="s">
        <v>5444</v>
      </c>
    </row>
    <row r="6691" spans="1:7">
      <c r="A6691" t="s">
        <v>4481</v>
      </c>
      <c r="G6691" t="s">
        <v>5444</v>
      </c>
    </row>
    <row r="6692" spans="1:7">
      <c r="A6692" t="s">
        <v>4364</v>
      </c>
      <c r="G6692" t="s">
        <v>5445</v>
      </c>
    </row>
    <row r="6693" spans="1:7">
      <c r="A6693" t="s">
        <v>4338</v>
      </c>
      <c r="G6693" t="s">
        <v>5445</v>
      </c>
    </row>
    <row r="6694" spans="1:7">
      <c r="A6694" t="s">
        <v>4336</v>
      </c>
      <c r="G6694" t="s">
        <v>5445</v>
      </c>
    </row>
    <row r="6695" spans="1:7">
      <c r="A6695" t="s">
        <v>5388</v>
      </c>
      <c r="G6695" t="s">
        <v>4224</v>
      </c>
    </row>
    <row r="6696" spans="1:7">
      <c r="A6696" t="s">
        <v>4821</v>
      </c>
      <c r="G6696" t="s">
        <v>4224</v>
      </c>
    </row>
    <row r="6697" spans="1:7">
      <c r="A6697" t="s">
        <v>4130</v>
      </c>
      <c r="B6697">
        <v>4956097</v>
      </c>
      <c r="G6697" t="s">
        <v>4224</v>
      </c>
    </row>
    <row r="6698" spans="1:7">
      <c r="A6698" t="s">
        <v>4964</v>
      </c>
      <c r="G6698" t="s">
        <v>4925</v>
      </c>
    </row>
    <row r="6699" spans="1:7">
      <c r="A6699" t="s">
        <v>4340</v>
      </c>
      <c r="G6699" t="s">
        <v>4925</v>
      </c>
    </row>
    <row r="6700" spans="1:7">
      <c r="A6700" t="s">
        <v>4356</v>
      </c>
      <c r="G6700" t="s">
        <v>4925</v>
      </c>
    </row>
    <row r="6701" spans="1:7">
      <c r="A6701" t="s">
        <v>4358</v>
      </c>
      <c r="G6701" t="s">
        <v>5446</v>
      </c>
    </row>
    <row r="6702" spans="1:7">
      <c r="A6702" t="s">
        <v>4363</v>
      </c>
      <c r="G6702" t="s">
        <v>5446</v>
      </c>
    </row>
    <row r="6703" spans="1:7">
      <c r="A6703" t="s">
        <v>5215</v>
      </c>
      <c r="G6703" t="s">
        <v>4987</v>
      </c>
    </row>
    <row r="6704" spans="1:8">
      <c r="A6704" t="s">
        <v>4354</v>
      </c>
      <c r="G6704" t="s">
        <v>4921</v>
      </c>
      <c r="H6704">
        <v>5406097</v>
      </c>
    </row>
    <row r="6705" spans="1:7">
      <c r="A6705" t="s">
        <v>4084</v>
      </c>
      <c r="G6705" t="s">
        <v>4921</v>
      </c>
    </row>
    <row r="6706" spans="1:7">
      <c r="A6706" t="s">
        <v>4832</v>
      </c>
      <c r="G6706" t="s">
        <v>4921</v>
      </c>
    </row>
    <row r="6707" spans="1:7">
      <c r="A6707" t="s">
        <v>5119</v>
      </c>
      <c r="G6707" t="s">
        <v>4921</v>
      </c>
    </row>
    <row r="6708" spans="1:7">
      <c r="A6708" t="s">
        <v>4364</v>
      </c>
      <c r="G6708" t="s">
        <v>4921</v>
      </c>
    </row>
    <row r="6709" spans="1:7">
      <c r="A6709" t="s">
        <v>5442</v>
      </c>
      <c r="G6709" t="s">
        <v>4921</v>
      </c>
    </row>
    <row r="6710" spans="1:7">
      <c r="A6710" t="s">
        <v>4422</v>
      </c>
      <c r="G6710" t="s">
        <v>4921</v>
      </c>
    </row>
    <row r="6711" spans="1:8">
      <c r="A6711" t="s">
        <v>4387</v>
      </c>
      <c r="G6711" t="s">
        <v>4921</v>
      </c>
      <c r="H6711">
        <v>4938097</v>
      </c>
    </row>
    <row r="6712" spans="1:7">
      <c r="A6712" t="s">
        <v>4955</v>
      </c>
      <c r="B6712">
        <v>4952097</v>
      </c>
      <c r="G6712" t="s">
        <v>4921</v>
      </c>
    </row>
    <row r="6713" spans="1:7">
      <c r="A6713" t="s">
        <v>4343</v>
      </c>
      <c r="G6713" t="s">
        <v>4921</v>
      </c>
    </row>
    <row r="6714" spans="1:7">
      <c r="A6714" t="s">
        <v>5447</v>
      </c>
      <c r="G6714" t="s">
        <v>4921</v>
      </c>
    </row>
    <row r="6715" spans="1:7">
      <c r="A6715" t="s">
        <v>5448</v>
      </c>
      <c r="G6715" t="s">
        <v>4921</v>
      </c>
    </row>
    <row r="6716" spans="1:7">
      <c r="A6716" t="s">
        <v>5174</v>
      </c>
      <c r="G6716" t="s">
        <v>4921</v>
      </c>
    </row>
    <row r="6717" spans="1:7">
      <c r="A6717" t="s">
        <v>4377</v>
      </c>
      <c r="G6717" t="s">
        <v>4921</v>
      </c>
    </row>
    <row r="6718" spans="1:7">
      <c r="A6718" t="s">
        <v>4960</v>
      </c>
      <c r="G6718" t="s">
        <v>4921</v>
      </c>
    </row>
    <row r="6719" spans="1:8">
      <c r="A6719" t="s">
        <v>4351</v>
      </c>
      <c r="G6719" t="s">
        <v>5167</v>
      </c>
      <c r="H6719">
        <v>5249097</v>
      </c>
    </row>
    <row r="6720" spans="1:7">
      <c r="A6720" t="s">
        <v>4338</v>
      </c>
      <c r="G6720" t="s">
        <v>5168</v>
      </c>
    </row>
    <row r="6721" spans="1:7">
      <c r="A6721" t="s">
        <v>4333</v>
      </c>
      <c r="G6721" t="s">
        <v>5168</v>
      </c>
    </row>
    <row r="6722" spans="1:7">
      <c r="A6722" t="s">
        <v>5269</v>
      </c>
      <c r="G6722" t="s">
        <v>5168</v>
      </c>
    </row>
    <row r="6723" spans="1:7">
      <c r="A6723" t="s">
        <v>4362</v>
      </c>
      <c r="G6723" t="s">
        <v>5422</v>
      </c>
    </row>
    <row r="6724" spans="1:7">
      <c r="A6724" t="s">
        <v>4113</v>
      </c>
      <c r="G6724" t="s">
        <v>5422</v>
      </c>
    </row>
    <row r="6725" spans="1:7">
      <c r="A6725" t="s">
        <v>4361</v>
      </c>
      <c r="G6725" t="s">
        <v>5422</v>
      </c>
    </row>
    <row r="6726" spans="1:7">
      <c r="A6726" t="s">
        <v>5388</v>
      </c>
      <c r="G6726" t="s">
        <v>5360</v>
      </c>
    </row>
    <row r="6727" spans="1:7">
      <c r="A6727" t="s">
        <v>4336</v>
      </c>
      <c r="G6727" t="s">
        <v>4232</v>
      </c>
    </row>
    <row r="6728" spans="1:7">
      <c r="A6728" t="s">
        <v>5443</v>
      </c>
      <c r="G6728" t="s">
        <v>4232</v>
      </c>
    </row>
    <row r="6729" spans="1:7">
      <c r="A6729" t="s">
        <v>4352</v>
      </c>
      <c r="G6729" t="s">
        <v>4232</v>
      </c>
    </row>
    <row r="6730" spans="1:7">
      <c r="A6730" t="s">
        <v>4130</v>
      </c>
      <c r="B6730">
        <v>4955097</v>
      </c>
      <c r="G6730" t="s">
        <v>4232</v>
      </c>
    </row>
    <row r="6731" spans="1:7">
      <c r="A6731" t="s">
        <v>4352</v>
      </c>
      <c r="G6731" t="s">
        <v>4232</v>
      </c>
    </row>
    <row r="6732" spans="1:7">
      <c r="A6732" t="s">
        <v>4338</v>
      </c>
      <c r="G6732" t="s">
        <v>4232</v>
      </c>
    </row>
    <row r="6733" spans="1:7">
      <c r="A6733" t="s">
        <v>4356</v>
      </c>
      <c r="G6733" t="s">
        <v>4232</v>
      </c>
    </row>
    <row r="6734" spans="1:7">
      <c r="A6734" t="s">
        <v>4340</v>
      </c>
      <c r="G6734" t="s">
        <v>4232</v>
      </c>
    </row>
    <row r="6735" spans="1:7">
      <c r="A6735" t="s">
        <v>5449</v>
      </c>
      <c r="G6735" t="s">
        <v>4232</v>
      </c>
    </row>
    <row r="6736" spans="1:7">
      <c r="A6736" t="s">
        <v>4964</v>
      </c>
      <c r="G6736" t="s">
        <v>4232</v>
      </c>
    </row>
    <row r="6737" spans="1:7">
      <c r="A6737" t="s">
        <v>4085</v>
      </c>
      <c r="G6737" t="s">
        <v>4232</v>
      </c>
    </row>
    <row r="6738" spans="1:7">
      <c r="A6738" t="s">
        <v>4832</v>
      </c>
      <c r="G6738" t="s">
        <v>4232</v>
      </c>
    </row>
    <row r="6739" spans="1:7">
      <c r="A6739" t="s">
        <v>5215</v>
      </c>
      <c r="G6739" t="s">
        <v>4232</v>
      </c>
    </row>
    <row r="6740" spans="1:7">
      <c r="A6740" t="s">
        <v>5443</v>
      </c>
      <c r="G6740" t="s">
        <v>4232</v>
      </c>
    </row>
    <row r="6741" spans="1:7">
      <c r="A6741" t="s">
        <v>5450</v>
      </c>
      <c r="G6741" t="s">
        <v>4232</v>
      </c>
    </row>
    <row r="6742" spans="1:7">
      <c r="A6742" t="s">
        <v>5119</v>
      </c>
      <c r="G6742" t="s">
        <v>4232</v>
      </c>
    </row>
    <row r="6743" spans="1:8">
      <c r="A6743" t="s">
        <v>5442</v>
      </c>
      <c r="G6743" t="s">
        <v>5269</v>
      </c>
      <c r="H6743">
        <v>5139097</v>
      </c>
    </row>
    <row r="6744" spans="1:7">
      <c r="A6744" t="s">
        <v>5175</v>
      </c>
      <c r="G6744" t="s">
        <v>5269</v>
      </c>
    </row>
    <row r="6745" spans="1:7">
      <c r="A6745" t="s">
        <v>4686</v>
      </c>
      <c r="G6745" t="s">
        <v>5269</v>
      </c>
    </row>
    <row r="6746" spans="1:7">
      <c r="A6746" t="s">
        <v>4379</v>
      </c>
      <c r="G6746" t="s">
        <v>5269</v>
      </c>
    </row>
    <row r="6747" spans="1:7">
      <c r="A6747" t="s">
        <v>5174</v>
      </c>
      <c r="G6747" t="s">
        <v>5269</v>
      </c>
    </row>
    <row r="6748" spans="1:7">
      <c r="A6748" t="s">
        <v>4343</v>
      </c>
      <c r="G6748" t="s">
        <v>5269</v>
      </c>
    </row>
    <row r="6749" spans="1:7">
      <c r="A6749" t="s">
        <v>5434</v>
      </c>
      <c r="B6749">
        <v>4951097</v>
      </c>
      <c r="G6749" t="s">
        <v>5269</v>
      </c>
    </row>
    <row r="6750" spans="1:7">
      <c r="A6750" t="s">
        <v>4960</v>
      </c>
      <c r="G6750" t="s">
        <v>5269</v>
      </c>
    </row>
    <row r="6751" spans="1:7">
      <c r="A6751" t="s">
        <v>4387</v>
      </c>
      <c r="G6751" t="s">
        <v>5199</v>
      </c>
    </row>
    <row r="6752" spans="1:7">
      <c r="A6752" t="s">
        <v>4955</v>
      </c>
      <c r="G6752" t="s">
        <v>4251</v>
      </c>
    </row>
    <row r="6753" spans="1:8">
      <c r="A6753" t="s">
        <v>4336</v>
      </c>
      <c r="G6753" t="s">
        <v>4251</v>
      </c>
      <c r="H6753">
        <v>5540097</v>
      </c>
    </row>
    <row r="6754" spans="1:7">
      <c r="A6754" t="s">
        <v>4333</v>
      </c>
      <c r="G6754" t="s">
        <v>4251</v>
      </c>
    </row>
    <row r="6755" spans="1:7">
      <c r="A6755" t="s">
        <v>4377</v>
      </c>
      <c r="G6755" t="s">
        <v>4251</v>
      </c>
    </row>
    <row r="6756" spans="1:7">
      <c r="A6756" t="s">
        <v>4361</v>
      </c>
      <c r="G6756" t="s">
        <v>4251</v>
      </c>
    </row>
    <row r="6757" spans="1:7">
      <c r="A6757" t="s">
        <v>4363</v>
      </c>
      <c r="G6757" t="s">
        <v>4251</v>
      </c>
    </row>
    <row r="6758" spans="1:7">
      <c r="A6758" t="s">
        <v>5388</v>
      </c>
      <c r="G6758" t="s">
        <v>5420</v>
      </c>
    </row>
    <row r="6759" spans="1:7">
      <c r="A6759" t="s">
        <v>4354</v>
      </c>
      <c r="G6759" t="s">
        <v>5420</v>
      </c>
    </row>
    <row r="6760" spans="1:7">
      <c r="A6760" t="s">
        <v>4362</v>
      </c>
      <c r="G6760" t="s">
        <v>5420</v>
      </c>
    </row>
    <row r="6761" spans="1:8">
      <c r="A6761" t="s">
        <v>5269</v>
      </c>
      <c r="G6761" t="s">
        <v>4788</v>
      </c>
      <c r="H6761">
        <v>5451097</v>
      </c>
    </row>
    <row r="6762" spans="1:7">
      <c r="A6762" t="s">
        <v>4364</v>
      </c>
      <c r="G6762" t="s">
        <v>5064</v>
      </c>
    </row>
    <row r="6763" spans="1:7">
      <c r="A6763" t="s">
        <v>4358</v>
      </c>
      <c r="G6763" t="s">
        <v>5064</v>
      </c>
    </row>
    <row r="6764" spans="1:7">
      <c r="A6764" t="s">
        <v>4130</v>
      </c>
      <c r="B6764">
        <v>4954097</v>
      </c>
      <c r="G6764" t="s">
        <v>5064</v>
      </c>
    </row>
    <row r="6765" spans="1:7">
      <c r="A6765" t="s">
        <v>4363</v>
      </c>
      <c r="G6765" t="s">
        <v>5115</v>
      </c>
    </row>
    <row r="6766" spans="1:7">
      <c r="A6766" t="s">
        <v>4340</v>
      </c>
      <c r="G6766" t="s">
        <v>4062</v>
      </c>
    </row>
    <row r="6767" spans="1:7">
      <c r="A6767" t="s">
        <v>4356</v>
      </c>
      <c r="G6767" t="s">
        <v>4062</v>
      </c>
    </row>
    <row r="6768" spans="1:7">
      <c r="A6768" t="s">
        <v>4358</v>
      </c>
      <c r="G6768" t="s">
        <v>4062</v>
      </c>
    </row>
    <row r="6769" spans="1:7">
      <c r="A6769" t="s">
        <v>5449</v>
      </c>
      <c r="G6769" t="s">
        <v>4062</v>
      </c>
    </row>
    <row r="6770" spans="1:7">
      <c r="A6770" t="s">
        <v>4354</v>
      </c>
      <c r="G6770" t="s">
        <v>4062</v>
      </c>
    </row>
    <row r="6771" spans="1:7">
      <c r="A6771" t="s">
        <v>4964</v>
      </c>
      <c r="G6771" t="s">
        <v>4062</v>
      </c>
    </row>
    <row r="6772" spans="1:7">
      <c r="A6772" t="s">
        <v>4362</v>
      </c>
      <c r="G6772" t="s">
        <v>4062</v>
      </c>
    </row>
    <row r="6773" spans="1:7">
      <c r="A6773" t="s">
        <v>4832</v>
      </c>
      <c r="G6773" t="s">
        <v>4062</v>
      </c>
    </row>
    <row r="6774" spans="1:7">
      <c r="A6774" t="s">
        <v>5215</v>
      </c>
      <c r="G6774" t="s">
        <v>4062</v>
      </c>
    </row>
    <row r="6775" spans="1:7">
      <c r="A6775" t="s">
        <v>4336</v>
      </c>
      <c r="G6775" t="s">
        <v>4062</v>
      </c>
    </row>
    <row r="6776" spans="1:7">
      <c r="A6776" t="s">
        <v>4992</v>
      </c>
      <c r="G6776" t="s">
        <v>4062</v>
      </c>
    </row>
    <row r="6777" spans="1:7">
      <c r="A6777" t="s">
        <v>5443</v>
      </c>
      <c r="G6777" t="s">
        <v>4062</v>
      </c>
    </row>
    <row r="6778" spans="1:7">
      <c r="A6778" t="s">
        <v>5450</v>
      </c>
      <c r="G6778" t="s">
        <v>4062</v>
      </c>
    </row>
    <row r="6779" spans="1:7">
      <c r="A6779" t="s">
        <v>5119</v>
      </c>
      <c r="G6779" t="s">
        <v>4062</v>
      </c>
    </row>
    <row r="6780" spans="1:8">
      <c r="A6780" t="s">
        <v>5174</v>
      </c>
      <c r="G6780" t="s">
        <v>4062</v>
      </c>
      <c r="H6780">
        <v>5395097</v>
      </c>
    </row>
    <row r="6781" spans="1:7">
      <c r="A6781" t="s">
        <v>4686</v>
      </c>
      <c r="G6781" t="s">
        <v>4062</v>
      </c>
    </row>
    <row r="6782" spans="1:7">
      <c r="A6782" t="s">
        <v>5442</v>
      </c>
      <c r="G6782" t="s">
        <v>4062</v>
      </c>
    </row>
    <row r="6783" spans="1:7">
      <c r="A6783" t="s">
        <v>5175</v>
      </c>
      <c r="G6783" t="s">
        <v>4062</v>
      </c>
    </row>
    <row r="6784" spans="1:7">
      <c r="A6784" t="s">
        <v>4960</v>
      </c>
      <c r="G6784" t="s">
        <v>4062</v>
      </c>
    </row>
    <row r="6785" spans="1:7">
      <c r="A6785" t="s">
        <v>4379</v>
      </c>
      <c r="G6785" t="s">
        <v>4062</v>
      </c>
    </row>
    <row r="6786" spans="1:7">
      <c r="A6786" t="s">
        <v>4364</v>
      </c>
      <c r="G6786" t="s">
        <v>4062</v>
      </c>
    </row>
    <row r="6787" spans="1:7">
      <c r="A6787" t="s">
        <v>5434</v>
      </c>
      <c r="G6787" t="s">
        <v>4062</v>
      </c>
    </row>
    <row r="6788" spans="1:7">
      <c r="A6788" t="s">
        <v>4352</v>
      </c>
      <c r="G6788" t="s">
        <v>4062</v>
      </c>
    </row>
    <row r="6789" spans="1:8">
      <c r="A6789" t="s">
        <v>4085</v>
      </c>
      <c r="G6789" t="s">
        <v>4062</v>
      </c>
      <c r="H6789">
        <v>4981097</v>
      </c>
    </row>
    <row r="6790" spans="1:7">
      <c r="A6790" t="s">
        <v>4351</v>
      </c>
      <c r="G6790" t="s">
        <v>4062</v>
      </c>
    </row>
    <row r="6791" spans="1:7">
      <c r="A6791" t="s">
        <v>4899</v>
      </c>
      <c r="G6791" t="s">
        <v>4062</v>
      </c>
    </row>
    <row r="6792" spans="1:7">
      <c r="A6792" t="s">
        <v>4387</v>
      </c>
      <c r="G6792" t="s">
        <v>4062</v>
      </c>
    </row>
    <row r="6793" spans="1:8">
      <c r="A6793" t="s">
        <v>4955</v>
      </c>
      <c r="G6793" t="s">
        <v>4534</v>
      </c>
      <c r="H6793">
        <v>5492097</v>
      </c>
    </row>
    <row r="6794" spans="1:7">
      <c r="A6794" t="s">
        <v>4333</v>
      </c>
      <c r="G6794" t="s">
        <v>4534</v>
      </c>
    </row>
    <row r="6795" spans="1:7">
      <c r="A6795" t="s">
        <v>4377</v>
      </c>
      <c r="G6795" t="s">
        <v>4534</v>
      </c>
    </row>
    <row r="6796" spans="1:7">
      <c r="A6796" t="s">
        <v>4361</v>
      </c>
      <c r="G6796" t="s">
        <v>4534</v>
      </c>
    </row>
    <row r="6797" spans="1:7">
      <c r="A6797" t="s">
        <v>5269</v>
      </c>
      <c r="G6797" t="s">
        <v>4534</v>
      </c>
    </row>
    <row r="6798" spans="1:7">
      <c r="A6798" t="s">
        <v>4343</v>
      </c>
      <c r="G6798" t="s">
        <v>4534</v>
      </c>
    </row>
    <row r="6799" spans="1:7">
      <c r="A6799" t="s">
        <v>5388</v>
      </c>
      <c r="G6799" t="s">
        <v>4829</v>
      </c>
    </row>
    <row r="6800" spans="1:7">
      <c r="A6800" t="s">
        <v>4338</v>
      </c>
      <c r="G6800" t="s">
        <v>4994</v>
      </c>
    </row>
    <row r="6801" spans="1:7">
      <c r="A6801" t="s">
        <v>4092</v>
      </c>
      <c r="B6801">
        <v>4953097</v>
      </c>
      <c r="G6801" t="s">
        <v>4994</v>
      </c>
    </row>
    <row r="6802" spans="1:7">
      <c r="A6802" t="s">
        <v>4566</v>
      </c>
      <c r="G6802" t="s">
        <v>4812</v>
      </c>
    </row>
    <row r="6803" spans="1:7">
      <c r="A6803" t="s">
        <v>4147</v>
      </c>
      <c r="G6803" t="s">
        <v>4699</v>
      </c>
    </row>
    <row r="6804" spans="1:7">
      <c r="A6804" t="s">
        <v>4286</v>
      </c>
      <c r="G6804" t="s">
        <v>4699</v>
      </c>
    </row>
    <row r="6805" spans="1:7">
      <c r="A6805" t="s">
        <v>4143</v>
      </c>
      <c r="G6805" t="s">
        <v>4699</v>
      </c>
    </row>
    <row r="6806" spans="1:7">
      <c r="A6806" t="s">
        <v>5004</v>
      </c>
      <c r="G6806" t="s">
        <v>5432</v>
      </c>
    </row>
    <row r="6807" spans="1:7">
      <c r="A6807" t="s">
        <v>4905</v>
      </c>
      <c r="G6807" t="s">
        <v>5432</v>
      </c>
    </row>
    <row r="6808" spans="1:7">
      <c r="A6808" t="s">
        <v>4417</v>
      </c>
      <c r="B6808">
        <v>4942097</v>
      </c>
      <c r="G6808" t="s">
        <v>5432</v>
      </c>
    </row>
    <row r="6809" spans="1:8">
      <c r="A6809" t="s">
        <v>5187</v>
      </c>
      <c r="G6809" t="s">
        <v>5432</v>
      </c>
      <c r="H6809">
        <v>4915097</v>
      </c>
    </row>
    <row r="6810" spans="1:7">
      <c r="A6810" t="s">
        <v>4455</v>
      </c>
      <c r="G6810" t="s">
        <v>4371</v>
      </c>
    </row>
    <row r="6811" spans="1:7">
      <c r="A6811" t="s">
        <v>4900</v>
      </c>
      <c r="G6811" t="s">
        <v>4076</v>
      </c>
    </row>
    <row r="6812" spans="1:7">
      <c r="A6812" t="s">
        <v>4079</v>
      </c>
      <c r="G6812" t="s">
        <v>4076</v>
      </c>
    </row>
    <row r="6813" spans="1:7">
      <c r="A6813" t="s">
        <v>4085</v>
      </c>
      <c r="G6813" t="s">
        <v>4076</v>
      </c>
    </row>
    <row r="6814" spans="1:7">
      <c r="A6814" t="s">
        <v>4117</v>
      </c>
      <c r="G6814" t="s">
        <v>4076</v>
      </c>
    </row>
    <row r="6815" spans="1:7">
      <c r="A6815" t="s">
        <v>4706</v>
      </c>
      <c r="G6815" t="s">
        <v>4076</v>
      </c>
    </row>
    <row r="6816" spans="1:7">
      <c r="A6816" t="s">
        <v>5138</v>
      </c>
      <c r="G6816" t="s">
        <v>4076</v>
      </c>
    </row>
    <row r="6817" spans="1:7">
      <c r="A6817" t="s">
        <v>4589</v>
      </c>
      <c r="G6817" t="s">
        <v>4076</v>
      </c>
    </row>
    <row r="6818" spans="1:7">
      <c r="A6818" t="s">
        <v>4370</v>
      </c>
      <c r="G6818" t="s">
        <v>4076</v>
      </c>
    </row>
    <row r="6819" spans="1:7">
      <c r="A6819" t="s">
        <v>4112</v>
      </c>
      <c r="G6819" t="s">
        <v>4661</v>
      </c>
    </row>
    <row r="6820" spans="1:7">
      <c r="A6820" t="s">
        <v>5300</v>
      </c>
      <c r="G6820" t="s">
        <v>4798</v>
      </c>
    </row>
    <row r="6821" spans="1:7">
      <c r="A6821" t="s">
        <v>5208</v>
      </c>
      <c r="G6821" t="s">
        <v>4798</v>
      </c>
    </row>
    <row r="6822" spans="1:7">
      <c r="A6822" t="s">
        <v>5188</v>
      </c>
      <c r="G6822" t="s">
        <v>4798</v>
      </c>
    </row>
    <row r="6823" spans="1:7">
      <c r="A6823" t="s">
        <v>4084</v>
      </c>
      <c r="G6823" t="s">
        <v>4798</v>
      </c>
    </row>
    <row r="6824" spans="1:7">
      <c r="A6824" t="s">
        <v>4276</v>
      </c>
      <c r="G6824" t="s">
        <v>4798</v>
      </c>
    </row>
    <row r="6825" spans="1:7">
      <c r="A6825" t="s">
        <v>4978</v>
      </c>
      <c r="G6825" t="s">
        <v>4798</v>
      </c>
    </row>
    <row r="6826" spans="1:7">
      <c r="A6826" t="s">
        <v>4799</v>
      </c>
      <c r="G6826" t="s">
        <v>4798</v>
      </c>
    </row>
    <row r="6827" spans="1:7">
      <c r="A6827" t="s">
        <v>4136</v>
      </c>
      <c r="G6827" t="s">
        <v>4798</v>
      </c>
    </row>
    <row r="6828" spans="1:7">
      <c r="A6828" t="s">
        <v>4569</v>
      </c>
      <c r="G6828" t="s">
        <v>4798</v>
      </c>
    </row>
    <row r="6829" spans="1:7">
      <c r="A6829" t="s">
        <v>5041</v>
      </c>
      <c r="G6829" t="s">
        <v>4798</v>
      </c>
    </row>
    <row r="6830" spans="1:7">
      <c r="A6830" t="s">
        <v>4703</v>
      </c>
      <c r="G6830" t="s">
        <v>4798</v>
      </c>
    </row>
    <row r="6831" spans="1:7">
      <c r="A6831" t="s">
        <v>4178</v>
      </c>
      <c r="G6831" t="s">
        <v>4545</v>
      </c>
    </row>
    <row r="6832" spans="1:7">
      <c r="A6832" t="s">
        <v>4237</v>
      </c>
      <c r="G6832" t="s">
        <v>4545</v>
      </c>
    </row>
    <row r="6833" spans="1:7">
      <c r="A6833" t="s">
        <v>4656</v>
      </c>
      <c r="G6833" t="s">
        <v>4545</v>
      </c>
    </row>
    <row r="6834" spans="1:7">
      <c r="A6834" t="s">
        <v>5209</v>
      </c>
      <c r="G6834" t="s">
        <v>4545</v>
      </c>
    </row>
    <row r="6835" spans="1:7">
      <c r="A6835" t="s">
        <v>4109</v>
      </c>
      <c r="G6835" t="s">
        <v>4545</v>
      </c>
    </row>
    <row r="6836" spans="1:7">
      <c r="A6836" t="s">
        <v>5015</v>
      </c>
      <c r="G6836" t="s">
        <v>4545</v>
      </c>
    </row>
    <row r="6837" spans="1:7">
      <c r="A6837" t="s">
        <v>4098</v>
      </c>
      <c r="G6837" t="s">
        <v>4545</v>
      </c>
    </row>
    <row r="6838" spans="1:7">
      <c r="A6838" t="s">
        <v>4504</v>
      </c>
      <c r="G6838" t="s">
        <v>4545</v>
      </c>
    </row>
    <row r="6839" spans="1:7">
      <c r="A6839" t="s">
        <v>4132</v>
      </c>
      <c r="G6839" t="s">
        <v>4545</v>
      </c>
    </row>
    <row r="6840" spans="1:7">
      <c r="A6840" t="s">
        <v>4896</v>
      </c>
      <c r="G6840" t="s">
        <v>4545</v>
      </c>
    </row>
    <row r="6841" spans="1:8">
      <c r="A6841" t="s">
        <v>5228</v>
      </c>
      <c r="G6841" t="s">
        <v>4545</v>
      </c>
      <c r="H6841">
        <v>5193097</v>
      </c>
    </row>
    <row r="6842" spans="1:7">
      <c r="A6842" t="s">
        <v>4147</v>
      </c>
      <c r="B6842">
        <v>4952097</v>
      </c>
      <c r="G6842" t="s">
        <v>4545</v>
      </c>
    </row>
    <row r="6843" spans="1:7">
      <c r="A6843" t="s">
        <v>5271</v>
      </c>
      <c r="G6843" t="s">
        <v>4545</v>
      </c>
    </row>
    <row r="6844" spans="1:8">
      <c r="A6844" t="s">
        <v>4132</v>
      </c>
      <c r="G6844" t="s">
        <v>4545</v>
      </c>
      <c r="H6844">
        <v>4924097</v>
      </c>
    </row>
    <row r="6845" spans="1:7">
      <c r="A6845" t="s">
        <v>4286</v>
      </c>
      <c r="G6845" t="s">
        <v>4664</v>
      </c>
    </row>
    <row r="6846" spans="1:7">
      <c r="A6846" t="s">
        <v>4052</v>
      </c>
      <c r="G6846" t="s">
        <v>4664</v>
      </c>
    </row>
    <row r="6847" spans="1:7">
      <c r="A6847" t="s">
        <v>4372</v>
      </c>
      <c r="G6847" t="s">
        <v>4664</v>
      </c>
    </row>
    <row r="6848" spans="1:7">
      <c r="A6848" t="s">
        <v>5187</v>
      </c>
      <c r="G6848" t="s">
        <v>4664</v>
      </c>
    </row>
    <row r="6849" spans="1:7">
      <c r="A6849" t="s">
        <v>4417</v>
      </c>
      <c r="G6849" t="s">
        <v>4014</v>
      </c>
    </row>
    <row r="6850" spans="1:7">
      <c r="A6850" t="s">
        <v>5004</v>
      </c>
      <c r="G6850" t="s">
        <v>5032</v>
      </c>
    </row>
    <row r="6851" spans="1:7">
      <c r="A6851" t="s">
        <v>4143</v>
      </c>
      <c r="G6851" t="s">
        <v>5032</v>
      </c>
    </row>
    <row r="6852" spans="1:7">
      <c r="A6852" t="s">
        <v>5228</v>
      </c>
      <c r="G6852" t="s">
        <v>4896</v>
      </c>
    </row>
    <row r="6853" spans="1:7">
      <c r="A6853" t="s">
        <v>4455</v>
      </c>
      <c r="G6853" t="s">
        <v>4896</v>
      </c>
    </row>
    <row r="6854" spans="1:7">
      <c r="A6854" t="s">
        <v>5138</v>
      </c>
      <c r="G6854" t="s">
        <v>4896</v>
      </c>
    </row>
    <row r="6855" spans="1:7">
      <c r="A6855" t="s">
        <v>4085</v>
      </c>
      <c r="G6855" t="s">
        <v>4896</v>
      </c>
    </row>
    <row r="6856" spans="1:7">
      <c r="A6856" t="s">
        <v>5015</v>
      </c>
      <c r="G6856" t="s">
        <v>4896</v>
      </c>
    </row>
    <row r="6857" spans="1:7">
      <c r="A6857" t="s">
        <v>4076</v>
      </c>
      <c r="G6857" t="s">
        <v>4896</v>
      </c>
    </row>
    <row r="6858" spans="1:7">
      <c r="A6858" t="s">
        <v>4117</v>
      </c>
      <c r="G6858" t="s">
        <v>4988</v>
      </c>
    </row>
    <row r="6859" spans="1:7">
      <c r="A6859" t="s">
        <v>4589</v>
      </c>
      <c r="G6859" t="s">
        <v>4078</v>
      </c>
    </row>
    <row r="6860" spans="1:7">
      <c r="A6860" t="s">
        <v>5147</v>
      </c>
      <c r="G6860" t="s">
        <v>4078</v>
      </c>
    </row>
    <row r="6861" spans="1:7">
      <c r="A6861" t="s">
        <v>4084</v>
      </c>
      <c r="G6861" t="s">
        <v>4078</v>
      </c>
    </row>
    <row r="6862" spans="1:8">
      <c r="A6862" t="s">
        <v>4276</v>
      </c>
      <c r="G6862" t="s">
        <v>4078</v>
      </c>
      <c r="H6862">
        <v>5411097</v>
      </c>
    </row>
    <row r="6863" spans="1:7">
      <c r="A6863" t="s">
        <v>4799</v>
      </c>
      <c r="G6863" t="s">
        <v>4078</v>
      </c>
    </row>
    <row r="6864" spans="1:7">
      <c r="A6864" t="s">
        <v>4978</v>
      </c>
      <c r="G6864" t="s">
        <v>5176</v>
      </c>
    </row>
    <row r="6865" spans="1:7">
      <c r="A6865" t="s">
        <v>4079</v>
      </c>
      <c r="G6865" t="s">
        <v>5176</v>
      </c>
    </row>
    <row r="6866" spans="1:7">
      <c r="A6866" t="s">
        <v>4136</v>
      </c>
      <c r="G6866" t="s">
        <v>5389</v>
      </c>
    </row>
    <row r="6867" spans="1:7">
      <c r="A6867" t="s">
        <v>4703</v>
      </c>
      <c r="G6867" t="s">
        <v>5389</v>
      </c>
    </row>
    <row r="6868" spans="1:7">
      <c r="A6868" t="s">
        <v>5208</v>
      </c>
      <c r="B6868">
        <v>4941097</v>
      </c>
      <c r="G6868" t="s">
        <v>5389</v>
      </c>
    </row>
    <row r="6869" spans="1:7">
      <c r="A6869" t="s">
        <v>4896</v>
      </c>
      <c r="G6869" t="s">
        <v>5451</v>
      </c>
    </row>
    <row r="6870" spans="1:7">
      <c r="A6870" t="s">
        <v>4706</v>
      </c>
      <c r="G6870" t="s">
        <v>4790</v>
      </c>
    </row>
    <row r="6871" spans="1:7">
      <c r="A6871" t="s">
        <v>4659</v>
      </c>
      <c r="G6871" t="s">
        <v>5452</v>
      </c>
    </row>
    <row r="6872" spans="1:7">
      <c r="A6872" t="s">
        <v>5188</v>
      </c>
      <c r="G6872" t="s">
        <v>5452</v>
      </c>
    </row>
    <row r="6873" spans="1:7">
      <c r="A6873" t="s">
        <v>4656</v>
      </c>
      <c r="G6873" t="s">
        <v>5377</v>
      </c>
    </row>
    <row r="6874" spans="1:7">
      <c r="A6874" t="s">
        <v>4109</v>
      </c>
      <c r="G6874" t="s">
        <v>5377</v>
      </c>
    </row>
    <row r="6875" spans="1:7">
      <c r="A6875" t="s">
        <v>4726</v>
      </c>
      <c r="G6875" t="s">
        <v>5377</v>
      </c>
    </row>
    <row r="6876" spans="1:7">
      <c r="A6876" t="s">
        <v>4098</v>
      </c>
      <c r="G6876" t="s">
        <v>5377</v>
      </c>
    </row>
    <row r="6877" spans="1:7">
      <c r="A6877" t="s">
        <v>4900</v>
      </c>
      <c r="G6877" t="s">
        <v>5377</v>
      </c>
    </row>
    <row r="6878" spans="1:7">
      <c r="A6878" t="s">
        <v>4566</v>
      </c>
      <c r="G6878" t="s">
        <v>5377</v>
      </c>
    </row>
    <row r="6879" spans="1:8">
      <c r="A6879" t="s">
        <v>4092</v>
      </c>
      <c r="B6879">
        <v>4951097</v>
      </c>
      <c r="G6879" t="s">
        <v>5377</v>
      </c>
      <c r="H6879">
        <v>4806097</v>
      </c>
    </row>
    <row r="6880" spans="1:7">
      <c r="A6880" t="s">
        <v>4368</v>
      </c>
      <c r="G6880" t="s">
        <v>4537</v>
      </c>
    </row>
    <row r="6881" spans="1:7">
      <c r="A6881" t="s">
        <v>4981</v>
      </c>
      <c r="G6881" t="s">
        <v>4537</v>
      </c>
    </row>
    <row r="6882" spans="1:7">
      <c r="A6882" t="s">
        <v>4919</v>
      </c>
      <c r="G6882" t="s">
        <v>4537</v>
      </c>
    </row>
    <row r="6883" spans="1:7">
      <c r="A6883" t="s">
        <v>4052</v>
      </c>
      <c r="G6883" t="s">
        <v>4537</v>
      </c>
    </row>
    <row r="6884" spans="1:7">
      <c r="A6884" t="s">
        <v>4079</v>
      </c>
      <c r="G6884" t="s">
        <v>4537</v>
      </c>
    </row>
    <row r="6885" spans="1:7">
      <c r="A6885" t="s">
        <v>5138</v>
      </c>
      <c r="G6885" t="s">
        <v>4537</v>
      </c>
    </row>
    <row r="6886" spans="1:7">
      <c r="A6886" t="s">
        <v>5316</v>
      </c>
      <c r="G6886" t="s">
        <v>4537</v>
      </c>
    </row>
    <row r="6887" spans="1:7">
      <c r="A6887" t="s">
        <v>5015</v>
      </c>
      <c r="G6887" t="s">
        <v>4122</v>
      </c>
    </row>
    <row r="6888" spans="1:7">
      <c r="A6888" t="s">
        <v>4870</v>
      </c>
      <c r="G6888" t="s">
        <v>4122</v>
      </c>
    </row>
    <row r="6889" spans="1:7">
      <c r="A6889" t="s">
        <v>4234</v>
      </c>
      <c r="G6889" t="s">
        <v>4122</v>
      </c>
    </row>
    <row r="6890" spans="1:7">
      <c r="A6890" t="s">
        <v>4422</v>
      </c>
      <c r="G6890" t="s">
        <v>4122</v>
      </c>
    </row>
    <row r="6891" spans="1:7">
      <c r="A6891" t="s">
        <v>4516</v>
      </c>
      <c r="G6891" t="s">
        <v>4122</v>
      </c>
    </row>
    <row r="6892" spans="1:7">
      <c r="A6892" t="s">
        <v>5370</v>
      </c>
      <c r="G6892" t="s">
        <v>4122</v>
      </c>
    </row>
    <row r="6893" spans="1:7">
      <c r="A6893" t="s">
        <v>5298</v>
      </c>
      <c r="G6893" t="s">
        <v>4122</v>
      </c>
    </row>
    <row r="6894" spans="1:7">
      <c r="A6894" t="s">
        <v>4415</v>
      </c>
      <c r="G6894" t="s">
        <v>4122</v>
      </c>
    </row>
    <row r="6895" spans="1:7">
      <c r="A6895" t="s">
        <v>4113</v>
      </c>
      <c r="G6895" t="s">
        <v>4122</v>
      </c>
    </row>
    <row r="6896" spans="1:7">
      <c r="A6896" t="s">
        <v>4978</v>
      </c>
      <c r="G6896" t="s">
        <v>4122</v>
      </c>
    </row>
    <row r="6897" spans="1:7">
      <c r="A6897" t="s">
        <v>4666</v>
      </c>
      <c r="G6897" t="s">
        <v>4122</v>
      </c>
    </row>
    <row r="6898" spans="1:8">
      <c r="A6898" t="s">
        <v>5142</v>
      </c>
      <c r="G6898" t="s">
        <v>4122</v>
      </c>
      <c r="H6898">
        <v>5347097</v>
      </c>
    </row>
    <row r="6899" spans="1:7">
      <c r="A6899" t="s">
        <v>4659</v>
      </c>
      <c r="G6899" t="s">
        <v>4122</v>
      </c>
    </row>
    <row r="6900" spans="1:7">
      <c r="A6900" t="s">
        <v>4959</v>
      </c>
      <c r="G6900" t="s">
        <v>4122</v>
      </c>
    </row>
    <row r="6901" spans="1:7">
      <c r="A6901" t="s">
        <v>4457</v>
      </c>
      <c r="G6901" t="s">
        <v>4122</v>
      </c>
    </row>
    <row r="6902" spans="1:7">
      <c r="A6902" t="s">
        <v>5453</v>
      </c>
      <c r="G6902" t="s">
        <v>4122</v>
      </c>
    </row>
    <row r="6903" spans="1:7">
      <c r="A6903" t="s">
        <v>4085</v>
      </c>
      <c r="G6903" t="s">
        <v>4122</v>
      </c>
    </row>
    <row r="6904" spans="1:7">
      <c r="A6904" t="s">
        <v>5141</v>
      </c>
      <c r="G6904" t="s">
        <v>4122</v>
      </c>
    </row>
    <row r="6905" spans="1:7">
      <c r="A6905" t="s">
        <v>4088</v>
      </c>
      <c r="G6905" t="s">
        <v>4122</v>
      </c>
    </row>
    <row r="6906" spans="1:7">
      <c r="A6906" t="s">
        <v>4871</v>
      </c>
      <c r="G6906" t="s">
        <v>4358</v>
      </c>
    </row>
    <row r="6907" spans="1:7">
      <c r="A6907" t="s">
        <v>4171</v>
      </c>
      <c r="G6907" t="s">
        <v>4358</v>
      </c>
    </row>
    <row r="6908" spans="1:7">
      <c r="A6908" t="s">
        <v>4712</v>
      </c>
      <c r="G6908" t="s">
        <v>4358</v>
      </c>
    </row>
    <row r="6909" spans="1:7">
      <c r="A6909" t="s">
        <v>4726</v>
      </c>
      <c r="G6909" t="s">
        <v>4358</v>
      </c>
    </row>
    <row r="6910" spans="1:7">
      <c r="A6910" t="s">
        <v>4799</v>
      </c>
      <c r="G6910" t="s">
        <v>4358</v>
      </c>
    </row>
    <row r="6911" spans="1:7">
      <c r="A6911" t="s">
        <v>4143</v>
      </c>
      <c r="G6911" t="s">
        <v>4358</v>
      </c>
    </row>
    <row r="6912" spans="1:7">
      <c r="A6912" t="s">
        <v>4900</v>
      </c>
      <c r="G6912" t="s">
        <v>4358</v>
      </c>
    </row>
    <row r="6913" spans="1:7">
      <c r="A6913" t="s">
        <v>4474</v>
      </c>
      <c r="G6913" t="s">
        <v>4358</v>
      </c>
    </row>
    <row r="6914" spans="1:7">
      <c r="A6914" t="s">
        <v>4824</v>
      </c>
      <c r="G6914" t="s">
        <v>4358</v>
      </c>
    </row>
    <row r="6915" spans="1:7">
      <c r="A6915" t="s">
        <v>5454</v>
      </c>
      <c r="G6915" t="s">
        <v>4358</v>
      </c>
    </row>
    <row r="6916" spans="1:7">
      <c r="A6916" t="s">
        <v>4454</v>
      </c>
      <c r="G6916" t="s">
        <v>4358</v>
      </c>
    </row>
    <row r="6917" spans="1:7">
      <c r="A6917" t="s">
        <v>4911</v>
      </c>
      <c r="G6917" t="s">
        <v>4358</v>
      </c>
    </row>
    <row r="6918" spans="1:7">
      <c r="A6918" t="s">
        <v>5354</v>
      </c>
      <c r="G6918" t="s">
        <v>4358</v>
      </c>
    </row>
    <row r="6919" spans="1:7">
      <c r="A6919" t="s">
        <v>4948</v>
      </c>
      <c r="G6919" t="s">
        <v>4358</v>
      </c>
    </row>
    <row r="6920" spans="1:7">
      <c r="A6920" t="s">
        <v>4982</v>
      </c>
      <c r="G6920" t="s">
        <v>4358</v>
      </c>
    </row>
    <row r="6921" spans="1:8">
      <c r="A6921" t="s">
        <v>4128</v>
      </c>
      <c r="G6921" t="s">
        <v>4358</v>
      </c>
      <c r="H6921">
        <v>5013097</v>
      </c>
    </row>
    <row r="6922" spans="1:7">
      <c r="A6922" t="s">
        <v>5385</v>
      </c>
      <c r="G6922" t="s">
        <v>4358</v>
      </c>
    </row>
    <row r="6923" spans="1:7">
      <c r="A6923" t="s">
        <v>5233</v>
      </c>
      <c r="G6923" t="s">
        <v>4358</v>
      </c>
    </row>
    <row r="6924" spans="1:7">
      <c r="A6924" t="s">
        <v>4656</v>
      </c>
      <c r="G6924" t="s">
        <v>4358</v>
      </c>
    </row>
    <row r="6925" spans="1:7">
      <c r="A6925" t="s">
        <v>4562</v>
      </c>
      <c r="G6925" t="s">
        <v>4358</v>
      </c>
    </row>
    <row r="6926" spans="1:7">
      <c r="A6926" t="s">
        <v>4455</v>
      </c>
      <c r="G6926" t="s">
        <v>4358</v>
      </c>
    </row>
    <row r="6927" spans="1:7">
      <c r="A6927" t="s">
        <v>4560</v>
      </c>
      <c r="G6927" t="s">
        <v>4358</v>
      </c>
    </row>
    <row r="6928" spans="1:7">
      <c r="A6928" t="s">
        <v>4126</v>
      </c>
      <c r="G6928" t="s">
        <v>4358</v>
      </c>
    </row>
    <row r="6929" spans="1:7">
      <c r="A6929" t="s">
        <v>4989</v>
      </c>
      <c r="G6929" t="s">
        <v>4358</v>
      </c>
    </row>
    <row r="6930" spans="1:7">
      <c r="A6930" t="s">
        <v>4997</v>
      </c>
      <c r="G6930" t="s">
        <v>4358</v>
      </c>
    </row>
    <row r="6931" spans="1:7">
      <c r="A6931" t="s">
        <v>4276</v>
      </c>
      <c r="G6931" t="s">
        <v>4358</v>
      </c>
    </row>
    <row r="6932" spans="1:7">
      <c r="A6932" t="s">
        <v>5145</v>
      </c>
      <c r="G6932" t="s">
        <v>4358</v>
      </c>
    </row>
    <row r="6933" spans="1:7">
      <c r="A6933" t="s">
        <v>4566</v>
      </c>
      <c r="G6933" t="s">
        <v>4358</v>
      </c>
    </row>
    <row r="6934" spans="1:7">
      <c r="A6934" t="s">
        <v>5315</v>
      </c>
      <c r="G6934" t="s">
        <v>4358</v>
      </c>
    </row>
    <row r="6935" spans="1:7">
      <c r="A6935" t="s">
        <v>4617</v>
      </c>
      <c r="G6935" t="s">
        <v>4358</v>
      </c>
    </row>
    <row r="6936" spans="1:7">
      <c r="A6936" t="s">
        <v>4538</v>
      </c>
      <c r="G6936" t="s">
        <v>4358</v>
      </c>
    </row>
    <row r="6937" spans="1:7">
      <c r="A6937" t="s">
        <v>5289</v>
      </c>
      <c r="B6937">
        <v>4940097</v>
      </c>
      <c r="G6937" t="s">
        <v>4358</v>
      </c>
    </row>
    <row r="6938" spans="1:7">
      <c r="A6938" t="s">
        <v>4291</v>
      </c>
      <c r="B6938">
        <v>4942097</v>
      </c>
      <c r="G6938" t="s">
        <v>4358</v>
      </c>
    </row>
    <row r="6939" spans="1:7">
      <c r="A6939" t="s">
        <v>5036</v>
      </c>
      <c r="G6939" t="s">
        <v>4358</v>
      </c>
    </row>
    <row r="6940" spans="1:7">
      <c r="A6940" t="s">
        <v>4088</v>
      </c>
      <c r="G6940" t="s">
        <v>4358</v>
      </c>
    </row>
    <row r="6941" spans="1:7">
      <c r="A6941" t="s">
        <v>5377</v>
      </c>
      <c r="G6941" t="s">
        <v>4358</v>
      </c>
    </row>
    <row r="6942" spans="1:7">
      <c r="A6942" t="s">
        <v>5234</v>
      </c>
      <c r="G6942" t="s">
        <v>4358</v>
      </c>
    </row>
    <row r="6943" spans="1:7">
      <c r="A6943" t="s">
        <v>5222</v>
      </c>
      <c r="G6943" t="s">
        <v>4358</v>
      </c>
    </row>
    <row r="6944" spans="1:7">
      <c r="A6944" t="s">
        <v>4153</v>
      </c>
      <c r="G6944" t="s">
        <v>4358</v>
      </c>
    </row>
    <row r="6945" spans="1:7">
      <c r="A6945" t="s">
        <v>4921</v>
      </c>
      <c r="G6945" t="s">
        <v>4358</v>
      </c>
    </row>
    <row r="6946" spans="1:7">
      <c r="A6946" t="s">
        <v>4085</v>
      </c>
      <c r="G6946" t="s">
        <v>4358</v>
      </c>
    </row>
    <row r="6947" spans="1:7">
      <c r="A6947" t="s">
        <v>4131</v>
      </c>
      <c r="G6947" t="s">
        <v>4358</v>
      </c>
    </row>
    <row r="6948" spans="1:7">
      <c r="A6948" t="s">
        <v>4231</v>
      </c>
      <c r="G6948" t="s">
        <v>4358</v>
      </c>
    </row>
    <row r="6949" spans="1:7">
      <c r="A6949" t="s">
        <v>5417</v>
      </c>
      <c r="G6949" t="s">
        <v>4358</v>
      </c>
    </row>
    <row r="6950" spans="1:8">
      <c r="A6950" t="s">
        <v>4450</v>
      </c>
      <c r="G6950" t="s">
        <v>4358</v>
      </c>
      <c r="H6950">
        <v>4755097</v>
      </c>
    </row>
    <row r="6951" spans="1:7">
      <c r="A6951" t="s">
        <v>4422</v>
      </c>
      <c r="G6951" t="s">
        <v>4358</v>
      </c>
    </row>
    <row r="6952" spans="1:7">
      <c r="A6952" t="s">
        <v>5371</v>
      </c>
      <c r="G6952" t="s">
        <v>4358</v>
      </c>
    </row>
    <row r="6953" spans="1:7">
      <c r="A6953" t="s">
        <v>4097</v>
      </c>
      <c r="G6953" t="s">
        <v>4358</v>
      </c>
    </row>
    <row r="6954" spans="1:8">
      <c r="A6954" t="s">
        <v>4742</v>
      </c>
      <c r="G6954" t="s">
        <v>5245</v>
      </c>
      <c r="H6954">
        <v>5150097</v>
      </c>
    </row>
    <row r="6955" spans="1:7">
      <c r="A6955" t="s">
        <v>5401</v>
      </c>
      <c r="G6955" t="s">
        <v>5245</v>
      </c>
    </row>
    <row r="6956" spans="1:7">
      <c r="A6956" t="s">
        <v>4112</v>
      </c>
      <c r="G6956" t="s">
        <v>5245</v>
      </c>
    </row>
    <row r="6957" spans="1:7">
      <c r="A6957" t="s">
        <v>4092</v>
      </c>
      <c r="G6957" t="s">
        <v>5455</v>
      </c>
    </row>
    <row r="6958" spans="1:7">
      <c r="A6958" t="s">
        <v>4147</v>
      </c>
      <c r="G6958" t="s">
        <v>4046</v>
      </c>
    </row>
    <row r="6959" spans="1:7">
      <c r="A6959" t="s">
        <v>5138</v>
      </c>
      <c r="G6959" t="s">
        <v>4046</v>
      </c>
    </row>
    <row r="6960" spans="1:7">
      <c r="A6960" t="s">
        <v>4998</v>
      </c>
      <c r="G6960" t="s">
        <v>4731</v>
      </c>
    </row>
    <row r="6961" spans="1:7">
      <c r="A6961" t="s">
        <v>4724</v>
      </c>
      <c r="G6961" t="s">
        <v>4731</v>
      </c>
    </row>
    <row r="6962" spans="1:7">
      <c r="A6962" t="s">
        <v>5368</v>
      </c>
      <c r="G6962" t="s">
        <v>4731</v>
      </c>
    </row>
    <row r="6963" spans="1:7">
      <c r="A6963" t="s">
        <v>4052</v>
      </c>
      <c r="G6963" t="s">
        <v>4731</v>
      </c>
    </row>
    <row r="6964" spans="1:7">
      <c r="A6964" t="s">
        <v>4079</v>
      </c>
      <c r="G6964" t="s">
        <v>4731</v>
      </c>
    </row>
    <row r="6965" spans="1:7">
      <c r="A6965" t="s">
        <v>4280</v>
      </c>
      <c r="G6965" t="s">
        <v>4731</v>
      </c>
    </row>
    <row r="6966" spans="1:7">
      <c r="A6966" t="s">
        <v>4547</v>
      </c>
      <c r="G6966" t="s">
        <v>4731</v>
      </c>
    </row>
    <row r="6967" spans="1:7">
      <c r="A6967" t="s">
        <v>5410</v>
      </c>
      <c r="G6967" t="s">
        <v>4731</v>
      </c>
    </row>
    <row r="6968" spans="1:7">
      <c r="A6968" t="s">
        <v>4996</v>
      </c>
      <c r="G6968" t="s">
        <v>4731</v>
      </c>
    </row>
    <row r="6969" spans="1:7">
      <c r="A6969" t="s">
        <v>5418</v>
      </c>
      <c r="G6969" t="s">
        <v>4731</v>
      </c>
    </row>
    <row r="6970" spans="1:7">
      <c r="A6970" t="s">
        <v>5409</v>
      </c>
      <c r="G6970" t="s">
        <v>4731</v>
      </c>
    </row>
    <row r="6971" spans="1:7">
      <c r="A6971" t="s">
        <v>4454</v>
      </c>
      <c r="G6971" t="s">
        <v>4731</v>
      </c>
    </row>
    <row r="6972" spans="1:7">
      <c r="A6972" t="s">
        <v>4234</v>
      </c>
      <c r="G6972" t="s">
        <v>4731</v>
      </c>
    </row>
    <row r="6973" spans="1:7">
      <c r="A6973" t="s">
        <v>5012</v>
      </c>
      <c r="G6973" t="s">
        <v>4731</v>
      </c>
    </row>
    <row r="6974" spans="1:7">
      <c r="A6974" t="s">
        <v>5428</v>
      </c>
      <c r="G6974" t="s">
        <v>4731</v>
      </c>
    </row>
    <row r="6975" spans="1:7">
      <c r="A6975" t="s">
        <v>5413</v>
      </c>
      <c r="G6975" t="s">
        <v>4731</v>
      </c>
    </row>
    <row r="6976" spans="1:7">
      <c r="A6976" t="s">
        <v>5045</v>
      </c>
      <c r="G6976" t="s">
        <v>5113</v>
      </c>
    </row>
    <row r="6977" spans="1:7">
      <c r="A6977" t="s">
        <v>5186</v>
      </c>
      <c r="G6977" t="s">
        <v>5113</v>
      </c>
    </row>
    <row r="6978" spans="1:7">
      <c r="A6978" t="s">
        <v>4162</v>
      </c>
      <c r="G6978" t="s">
        <v>4036</v>
      </c>
    </row>
    <row r="6979" spans="1:7">
      <c r="A6979" t="s">
        <v>4870</v>
      </c>
      <c r="G6979" t="s">
        <v>5456</v>
      </c>
    </row>
    <row r="6980" spans="1:7">
      <c r="A6980" t="s">
        <v>4434</v>
      </c>
      <c r="G6980" t="s">
        <v>3988</v>
      </c>
    </row>
    <row r="6981" spans="1:7">
      <c r="A6981" t="s">
        <v>5013</v>
      </c>
      <c r="G6981" t="s">
        <v>3988</v>
      </c>
    </row>
    <row r="6982" spans="1:7">
      <c r="A6982" t="s">
        <v>5411</v>
      </c>
      <c r="G6982" t="s">
        <v>3988</v>
      </c>
    </row>
    <row r="6983" spans="1:7">
      <c r="A6983" t="s">
        <v>4666</v>
      </c>
      <c r="G6983" t="s">
        <v>3988</v>
      </c>
    </row>
    <row r="6984" spans="1:7">
      <c r="A6984" t="s">
        <v>4659</v>
      </c>
      <c r="G6984" t="s">
        <v>3988</v>
      </c>
    </row>
    <row r="6985" spans="1:7">
      <c r="A6985" t="s">
        <v>4617</v>
      </c>
      <c r="G6985" t="s">
        <v>4874</v>
      </c>
    </row>
    <row r="6986" spans="1:7">
      <c r="A6986" t="s">
        <v>4959</v>
      </c>
      <c r="G6986" t="s">
        <v>5457</v>
      </c>
    </row>
    <row r="6987" spans="1:7">
      <c r="A6987" t="s">
        <v>4516</v>
      </c>
      <c r="G6987" t="s">
        <v>5349</v>
      </c>
    </row>
    <row r="6988" spans="1:7">
      <c r="A6988" t="s">
        <v>4285</v>
      </c>
      <c r="G6988" t="s">
        <v>5349</v>
      </c>
    </row>
    <row r="6989" spans="1:7">
      <c r="A6989" t="s">
        <v>5015</v>
      </c>
      <c r="G6989" t="s">
        <v>5280</v>
      </c>
    </row>
    <row r="6990" spans="1:7">
      <c r="A6990" t="s">
        <v>4824</v>
      </c>
      <c r="G6990" t="s">
        <v>4899</v>
      </c>
    </row>
    <row r="6991" spans="1:7">
      <c r="A6991" t="s">
        <v>5049</v>
      </c>
      <c r="G6991" t="s">
        <v>4899</v>
      </c>
    </row>
    <row r="6992" spans="1:7">
      <c r="A6992" t="s">
        <v>4117</v>
      </c>
      <c r="G6992" t="s">
        <v>4899</v>
      </c>
    </row>
    <row r="6993" spans="1:7">
      <c r="A6993" t="s">
        <v>4276</v>
      </c>
      <c r="G6993" t="s">
        <v>4899</v>
      </c>
    </row>
    <row r="6994" spans="1:7">
      <c r="A6994" t="s">
        <v>4616</v>
      </c>
      <c r="G6994" t="s">
        <v>4899</v>
      </c>
    </row>
    <row r="6995" spans="1:8">
      <c r="A6995" t="s">
        <v>5376</v>
      </c>
      <c r="G6995" t="s">
        <v>4899</v>
      </c>
      <c r="H6995">
        <v>4780097</v>
      </c>
    </row>
    <row r="6996" spans="1:7">
      <c r="A6996" t="s">
        <v>4879</v>
      </c>
      <c r="G6996" t="s">
        <v>4899</v>
      </c>
    </row>
    <row r="6997" spans="1:7">
      <c r="A6997" t="s">
        <v>4656</v>
      </c>
      <c r="G6997" t="s">
        <v>4899</v>
      </c>
    </row>
    <row r="6998" spans="1:7">
      <c r="A6998" t="s">
        <v>5419</v>
      </c>
      <c r="B6998">
        <v>4941097</v>
      </c>
      <c r="G6998" t="s">
        <v>4647</v>
      </c>
    </row>
    <row r="6999" spans="1:7">
      <c r="A6999" t="s">
        <v>5431</v>
      </c>
      <c r="G6999" t="s">
        <v>4846</v>
      </c>
    </row>
    <row r="7000" spans="1:7">
      <c r="A7000" t="s">
        <v>5019</v>
      </c>
      <c r="G7000" t="s">
        <v>4850</v>
      </c>
    </row>
    <row r="7001" spans="1:7">
      <c r="A7001" t="s">
        <v>5420</v>
      </c>
      <c r="G7001" t="s">
        <v>5458</v>
      </c>
    </row>
    <row r="7002" spans="1:7">
      <c r="A7002" t="s">
        <v>5222</v>
      </c>
      <c r="G7002" t="s">
        <v>5458</v>
      </c>
    </row>
    <row r="7003" spans="1:7">
      <c r="A7003" t="s">
        <v>5418</v>
      </c>
      <c r="G7003" t="s">
        <v>5458</v>
      </c>
    </row>
    <row r="7004" spans="1:7">
      <c r="A7004" t="s">
        <v>5234</v>
      </c>
      <c r="G7004" t="s">
        <v>5458</v>
      </c>
    </row>
    <row r="7005" spans="1:7">
      <c r="A7005" t="s">
        <v>4131</v>
      </c>
      <c r="G7005" t="s">
        <v>5458</v>
      </c>
    </row>
    <row r="7006" spans="1:7">
      <c r="A7006" t="s">
        <v>5412</v>
      </c>
      <c r="G7006" t="s">
        <v>5458</v>
      </c>
    </row>
    <row r="7007" spans="1:7">
      <c r="A7007" t="s">
        <v>5251</v>
      </c>
      <c r="B7007">
        <v>4939097</v>
      </c>
      <c r="G7007" t="s">
        <v>5458</v>
      </c>
    </row>
    <row r="7008" spans="1:7">
      <c r="A7008" t="s">
        <v>5322</v>
      </c>
      <c r="G7008" t="s">
        <v>5458</v>
      </c>
    </row>
    <row r="7009" spans="1:7">
      <c r="A7009" t="s">
        <v>4623</v>
      </c>
      <c r="G7009" t="s">
        <v>5458</v>
      </c>
    </row>
    <row r="7010" spans="1:7">
      <c r="A7010" t="s">
        <v>5427</v>
      </c>
      <c r="G7010" t="s">
        <v>5458</v>
      </c>
    </row>
    <row r="7011" spans="1:7">
      <c r="A7011" t="s">
        <v>5138</v>
      </c>
      <c r="G7011" t="s">
        <v>5459</v>
      </c>
    </row>
    <row r="7012" spans="1:7">
      <c r="A7012" t="s">
        <v>5371</v>
      </c>
      <c r="G7012" t="s">
        <v>5460</v>
      </c>
    </row>
    <row r="7013" spans="1:7">
      <c r="A7013" t="s">
        <v>5414</v>
      </c>
      <c r="G7013" t="s">
        <v>4477</v>
      </c>
    </row>
    <row r="7014" spans="1:7">
      <c r="A7014" t="s">
        <v>5410</v>
      </c>
      <c r="G7014" t="s">
        <v>4477</v>
      </c>
    </row>
    <row r="7015" spans="1:7">
      <c r="A7015" t="s">
        <v>5417</v>
      </c>
      <c r="G7015" t="s">
        <v>4477</v>
      </c>
    </row>
    <row r="7016" spans="1:7">
      <c r="A7016" t="s">
        <v>5411</v>
      </c>
      <c r="G7016" t="s">
        <v>4477</v>
      </c>
    </row>
    <row r="7017" spans="1:7">
      <c r="A7017" t="s">
        <v>4998</v>
      </c>
      <c r="G7017" t="s">
        <v>4477</v>
      </c>
    </row>
    <row r="7018" spans="1:7">
      <c r="A7018" t="s">
        <v>4731</v>
      </c>
      <c r="G7018" t="s">
        <v>4477</v>
      </c>
    </row>
    <row r="7019" spans="1:7">
      <c r="A7019" t="s">
        <v>4097</v>
      </c>
      <c r="G7019" t="s">
        <v>4477</v>
      </c>
    </row>
    <row r="7020" spans="1:7">
      <c r="A7020" t="s">
        <v>4738</v>
      </c>
      <c r="G7020" t="s">
        <v>4477</v>
      </c>
    </row>
    <row r="7021" spans="1:7">
      <c r="A7021" t="s">
        <v>4547</v>
      </c>
      <c r="G7021" t="s">
        <v>4477</v>
      </c>
    </row>
    <row r="7022" spans="1:7">
      <c r="A7022" t="s">
        <v>5375</v>
      </c>
      <c r="G7022" t="s">
        <v>4477</v>
      </c>
    </row>
    <row r="7023" spans="1:7">
      <c r="A7023" t="s">
        <v>5416</v>
      </c>
      <c r="G7023" t="s">
        <v>4477</v>
      </c>
    </row>
    <row r="7024" spans="1:7">
      <c r="A7024" t="s">
        <v>4996</v>
      </c>
      <c r="G7024" t="s">
        <v>4477</v>
      </c>
    </row>
    <row r="7025" spans="1:7">
      <c r="A7025" t="s">
        <v>4450</v>
      </c>
      <c r="G7025" t="s">
        <v>4477</v>
      </c>
    </row>
    <row r="7026" spans="1:7">
      <c r="A7026" t="s">
        <v>4291</v>
      </c>
      <c r="G7026" t="s">
        <v>4477</v>
      </c>
    </row>
    <row r="7027" spans="1:7">
      <c r="A7027" t="s">
        <v>4422</v>
      </c>
      <c r="G7027" t="s">
        <v>4477</v>
      </c>
    </row>
    <row r="7028" spans="1:7">
      <c r="A7028" t="s">
        <v>5413</v>
      </c>
      <c r="G7028" t="s">
        <v>4477</v>
      </c>
    </row>
    <row r="7029" spans="1:7">
      <c r="A7029" t="s">
        <v>4085</v>
      </c>
      <c r="G7029" t="s">
        <v>4477</v>
      </c>
    </row>
    <row r="7030" spans="1:7">
      <c r="A7030" t="s">
        <v>4156</v>
      </c>
      <c r="G7030" t="s">
        <v>4477</v>
      </c>
    </row>
    <row r="7031" spans="1:7">
      <c r="A7031" t="s">
        <v>5401</v>
      </c>
      <c r="G7031" t="s">
        <v>4477</v>
      </c>
    </row>
    <row r="7032" spans="1:7">
      <c r="A7032" t="s">
        <v>5012</v>
      </c>
      <c r="G7032" t="s">
        <v>4477</v>
      </c>
    </row>
    <row r="7033" spans="1:7">
      <c r="A7033" t="s">
        <v>4153</v>
      </c>
      <c r="G7033" t="s">
        <v>4477</v>
      </c>
    </row>
    <row r="7034" spans="1:7">
      <c r="A7034" t="s">
        <v>4921</v>
      </c>
      <c r="G7034" t="s">
        <v>4477</v>
      </c>
    </row>
    <row r="7035" spans="1:7">
      <c r="A7035" t="s">
        <v>4870</v>
      </c>
      <c r="G7035" t="s">
        <v>4477</v>
      </c>
    </row>
    <row r="7036" spans="1:7">
      <c r="A7036" t="s">
        <v>4143</v>
      </c>
      <c r="G7036" t="s">
        <v>4477</v>
      </c>
    </row>
    <row r="7037" spans="1:7">
      <c r="A7037" t="s">
        <v>5335</v>
      </c>
      <c r="G7037" t="s">
        <v>4477</v>
      </c>
    </row>
    <row r="7038" spans="1:7">
      <c r="A7038" t="s">
        <v>4900</v>
      </c>
      <c r="G7038" t="s">
        <v>4477</v>
      </c>
    </row>
    <row r="7039" spans="1:8">
      <c r="A7039" t="s">
        <v>4975</v>
      </c>
      <c r="G7039" t="s">
        <v>4477</v>
      </c>
      <c r="H7039">
        <v>4806097</v>
      </c>
    </row>
    <row r="7040" spans="1:7">
      <c r="A7040" t="s">
        <v>5432</v>
      </c>
      <c r="G7040" t="s">
        <v>5276</v>
      </c>
    </row>
    <row r="7041" spans="1:7">
      <c r="A7041" t="s">
        <v>5013</v>
      </c>
      <c r="G7041" t="s">
        <v>3991</v>
      </c>
    </row>
    <row r="7042" spans="1:7">
      <c r="A7042" t="s">
        <v>5409</v>
      </c>
      <c r="G7042" t="s">
        <v>4735</v>
      </c>
    </row>
    <row r="7043" spans="1:7">
      <c r="A7043" t="s">
        <v>4666</v>
      </c>
      <c r="G7043" t="s">
        <v>4735</v>
      </c>
    </row>
    <row r="7044" spans="1:7">
      <c r="A7044" t="s">
        <v>5186</v>
      </c>
      <c r="G7044" t="s">
        <v>4735</v>
      </c>
    </row>
    <row r="7045" spans="1:7">
      <c r="A7045" t="s">
        <v>5461</v>
      </c>
      <c r="G7045" t="s">
        <v>4735</v>
      </c>
    </row>
    <row r="7046" spans="1:7">
      <c r="A7046" t="s">
        <v>5422</v>
      </c>
      <c r="G7046" t="s">
        <v>4735</v>
      </c>
    </row>
    <row r="7047" spans="1:7">
      <c r="A7047" t="s">
        <v>4659</v>
      </c>
      <c r="G7047" t="s">
        <v>4353</v>
      </c>
    </row>
    <row r="7048" spans="1:7">
      <c r="A7048" t="s">
        <v>4959</v>
      </c>
      <c r="G7048" t="s">
        <v>4353</v>
      </c>
    </row>
    <row r="7049" spans="1:7">
      <c r="A7049" t="s">
        <v>4492</v>
      </c>
      <c r="G7049" t="s">
        <v>4353</v>
      </c>
    </row>
    <row r="7050" spans="1:7">
      <c r="A7050" t="s">
        <v>5015</v>
      </c>
      <c r="G7050" t="s">
        <v>4353</v>
      </c>
    </row>
    <row r="7051" spans="1:7">
      <c r="A7051" t="s">
        <v>5462</v>
      </c>
      <c r="G7051" t="s">
        <v>4195</v>
      </c>
    </row>
    <row r="7052" spans="1:7">
      <c r="A7052" t="s">
        <v>4824</v>
      </c>
      <c r="G7052" t="s">
        <v>4195</v>
      </c>
    </row>
    <row r="7053" spans="1:7">
      <c r="A7053" t="s">
        <v>5425</v>
      </c>
      <c r="G7053" t="s">
        <v>5463</v>
      </c>
    </row>
    <row r="7054" spans="1:7">
      <c r="A7054" t="s">
        <v>5366</v>
      </c>
      <c r="G7054" t="s">
        <v>4321</v>
      </c>
    </row>
    <row r="7055" spans="1:8">
      <c r="A7055" t="s">
        <v>5376</v>
      </c>
      <c r="G7055" t="s">
        <v>5034</v>
      </c>
      <c r="H7055">
        <v>5346097</v>
      </c>
    </row>
    <row r="7056" spans="1:7">
      <c r="A7056" t="s">
        <v>4986</v>
      </c>
      <c r="G7056" t="s">
        <v>5034</v>
      </c>
    </row>
    <row r="7057" spans="1:7">
      <c r="A7057" t="s">
        <v>5378</v>
      </c>
      <c r="G7057" t="s">
        <v>5464</v>
      </c>
    </row>
    <row r="7058" spans="1:7">
      <c r="A7058" t="s">
        <v>4117</v>
      </c>
      <c r="G7058" t="s">
        <v>5153</v>
      </c>
    </row>
    <row r="7059" spans="1:7">
      <c r="A7059" t="s">
        <v>5036</v>
      </c>
      <c r="G7059" t="s">
        <v>5101</v>
      </c>
    </row>
    <row r="7060" spans="1:7">
      <c r="A7060" t="s">
        <v>4276</v>
      </c>
      <c r="G7060" t="s">
        <v>5465</v>
      </c>
    </row>
    <row r="7061" spans="1:7">
      <c r="A7061" t="s">
        <v>5049</v>
      </c>
      <c r="G7061" t="s">
        <v>4488</v>
      </c>
    </row>
    <row r="7062" spans="1:7">
      <c r="A7062" t="s">
        <v>5332</v>
      </c>
      <c r="G7062" t="s">
        <v>4488</v>
      </c>
    </row>
    <row r="7063" spans="1:7">
      <c r="A7063" t="s">
        <v>4147</v>
      </c>
      <c r="G7063" t="s">
        <v>4488</v>
      </c>
    </row>
    <row r="7064" spans="1:7">
      <c r="A7064" t="s">
        <v>5433</v>
      </c>
      <c r="G7064" t="s">
        <v>4488</v>
      </c>
    </row>
    <row r="7065" spans="1:7">
      <c r="A7065" t="s">
        <v>4656</v>
      </c>
      <c r="G7065" t="s">
        <v>5193</v>
      </c>
    </row>
    <row r="7066" spans="1:8">
      <c r="A7066" t="s">
        <v>4190</v>
      </c>
      <c r="G7066" t="s">
        <v>5193</v>
      </c>
      <c r="H7066">
        <v>5214097</v>
      </c>
    </row>
    <row r="7067" spans="1:7">
      <c r="A7067" t="s">
        <v>4285</v>
      </c>
      <c r="B7067">
        <v>4940097</v>
      </c>
      <c r="G7067" t="s">
        <v>5193</v>
      </c>
    </row>
    <row r="7068" spans="1:7">
      <c r="A7068" t="s">
        <v>5036</v>
      </c>
      <c r="G7068" t="s">
        <v>5193</v>
      </c>
    </row>
    <row r="7069" spans="1:7">
      <c r="A7069" t="s">
        <v>4291</v>
      </c>
      <c r="G7069" t="s">
        <v>5193</v>
      </c>
    </row>
    <row r="7070" spans="1:7">
      <c r="A7070" t="s">
        <v>5428</v>
      </c>
      <c r="G7070" t="s">
        <v>4029</v>
      </c>
    </row>
    <row r="7071" spans="1:8">
      <c r="A7071" t="s">
        <v>4062</v>
      </c>
      <c r="G7071" t="s">
        <v>5466</v>
      </c>
      <c r="H7071">
        <v>4887097</v>
      </c>
    </row>
    <row r="7072" spans="1:7">
      <c r="A7072" t="s">
        <v>4276</v>
      </c>
      <c r="G7072" t="s">
        <v>5467</v>
      </c>
    </row>
    <row r="7073" spans="1:7">
      <c r="A7073" t="s">
        <v>4921</v>
      </c>
      <c r="B7073">
        <v>4938097</v>
      </c>
      <c r="G7073" t="s">
        <v>5107</v>
      </c>
    </row>
    <row r="7074" spans="1:7">
      <c r="A7074" t="s">
        <v>5272</v>
      </c>
      <c r="G7074" t="s">
        <v>4216</v>
      </c>
    </row>
    <row r="7075" spans="1:7">
      <c r="A7075" t="s">
        <v>4234</v>
      </c>
      <c r="G7075" t="s">
        <v>4859</v>
      </c>
    </row>
    <row r="7076" spans="1:7">
      <c r="A7076" t="s">
        <v>5371</v>
      </c>
      <c r="G7076" t="s">
        <v>4859</v>
      </c>
    </row>
    <row r="7077" spans="1:7">
      <c r="A7077" t="s">
        <v>4097</v>
      </c>
      <c r="G7077" t="s">
        <v>5260</v>
      </c>
    </row>
    <row r="7078" spans="1:7">
      <c r="A7078" t="s">
        <v>5348</v>
      </c>
      <c r="G7078" t="s">
        <v>5440</v>
      </c>
    </row>
    <row r="7079" spans="1:7">
      <c r="A7079" t="s">
        <v>5401</v>
      </c>
      <c r="G7079" t="s">
        <v>4351</v>
      </c>
    </row>
    <row r="7080" spans="1:7">
      <c r="A7080" t="s">
        <v>4617</v>
      </c>
      <c r="G7080" t="s">
        <v>4351</v>
      </c>
    </row>
    <row r="7081" spans="1:7">
      <c r="A7081" t="s">
        <v>4052</v>
      </c>
      <c r="G7081" t="s">
        <v>4351</v>
      </c>
    </row>
    <row r="7082" spans="1:7">
      <c r="A7082" t="s">
        <v>4422</v>
      </c>
      <c r="G7082" t="s">
        <v>4351</v>
      </c>
    </row>
    <row r="7083" spans="1:7">
      <c r="A7083" t="s">
        <v>4244</v>
      </c>
      <c r="G7083" t="s">
        <v>4351</v>
      </c>
    </row>
    <row r="7084" spans="1:8">
      <c r="A7084" t="s">
        <v>4900</v>
      </c>
      <c r="G7084" t="s">
        <v>4351</v>
      </c>
      <c r="H7084">
        <v>4889097</v>
      </c>
    </row>
    <row r="7085" spans="1:7">
      <c r="A7085" t="s">
        <v>5368</v>
      </c>
      <c r="G7085" t="s">
        <v>4351</v>
      </c>
    </row>
    <row r="7086" spans="1:7">
      <c r="A7086" t="s">
        <v>4088</v>
      </c>
      <c r="G7086" t="s">
        <v>4351</v>
      </c>
    </row>
    <row r="7087" spans="1:7">
      <c r="A7087" t="s">
        <v>4724</v>
      </c>
      <c r="G7087" t="s">
        <v>4351</v>
      </c>
    </row>
    <row r="7088" spans="1:7">
      <c r="A7088" t="s">
        <v>4131</v>
      </c>
      <c r="G7088" t="s">
        <v>4351</v>
      </c>
    </row>
    <row r="7089" spans="1:7">
      <c r="A7089" t="s">
        <v>5231</v>
      </c>
      <c r="G7089" t="s">
        <v>4306</v>
      </c>
    </row>
    <row r="7090" spans="1:7">
      <c r="A7090" t="s">
        <v>4998</v>
      </c>
      <c r="G7090" t="s">
        <v>5366</v>
      </c>
    </row>
    <row r="7091" spans="1:7">
      <c r="A7091" t="s">
        <v>4379</v>
      </c>
      <c r="G7091" t="s">
        <v>5366</v>
      </c>
    </row>
    <row r="7092" spans="1:8">
      <c r="A7092" t="s">
        <v>4092</v>
      </c>
      <c r="G7092" t="s">
        <v>5366</v>
      </c>
      <c r="H7092">
        <v>4957097</v>
      </c>
    </row>
    <row r="7093" spans="1:7">
      <c r="A7093" t="s">
        <v>4079</v>
      </c>
      <c r="G7093" t="s">
        <v>5366</v>
      </c>
    </row>
    <row r="7094" spans="1:7">
      <c r="A7094" t="s">
        <v>4720</v>
      </c>
      <c r="G7094" t="s">
        <v>5366</v>
      </c>
    </row>
    <row r="7095" spans="1:7">
      <c r="A7095" t="s">
        <v>4996</v>
      </c>
      <c r="G7095" t="s">
        <v>5366</v>
      </c>
    </row>
    <row r="7096" spans="1:7">
      <c r="A7096" t="s">
        <v>5417</v>
      </c>
      <c r="G7096" t="s">
        <v>5366</v>
      </c>
    </row>
    <row r="7097" spans="1:7">
      <c r="A7097" t="s">
        <v>5418</v>
      </c>
      <c r="G7097" t="s">
        <v>5366</v>
      </c>
    </row>
    <row r="7098" spans="1:7">
      <c r="A7098" t="s">
        <v>5138</v>
      </c>
      <c r="G7098" t="s">
        <v>5366</v>
      </c>
    </row>
    <row r="7099" spans="1:7">
      <c r="A7099" t="s">
        <v>4450</v>
      </c>
      <c r="G7099" t="s">
        <v>5366</v>
      </c>
    </row>
    <row r="7100" spans="1:7">
      <c r="A7100" t="s">
        <v>4553</v>
      </c>
      <c r="G7100" t="s">
        <v>5366</v>
      </c>
    </row>
    <row r="7101" spans="1:7">
      <c r="A7101" t="s">
        <v>5377</v>
      </c>
      <c r="G7101" t="s">
        <v>5418</v>
      </c>
    </row>
    <row r="7102" spans="1:7">
      <c r="A7102" t="s">
        <v>4085</v>
      </c>
      <c r="G7102" t="s">
        <v>5418</v>
      </c>
    </row>
    <row r="7103" spans="1:7">
      <c r="A7103" t="s">
        <v>5137</v>
      </c>
      <c r="G7103" t="s">
        <v>5418</v>
      </c>
    </row>
    <row r="7104" spans="1:7">
      <c r="A7104" t="s">
        <v>5045</v>
      </c>
      <c r="G7104" t="s">
        <v>5418</v>
      </c>
    </row>
    <row r="7105" spans="1:7">
      <c r="A7105" t="s">
        <v>4454</v>
      </c>
      <c r="G7105" t="s">
        <v>5418</v>
      </c>
    </row>
    <row r="7106" spans="1:7">
      <c r="A7106" t="s">
        <v>4153</v>
      </c>
      <c r="G7106" t="s">
        <v>5103</v>
      </c>
    </row>
    <row r="7107" spans="1:7">
      <c r="A7107" t="s">
        <v>4870</v>
      </c>
      <c r="G7107" t="s">
        <v>5103</v>
      </c>
    </row>
    <row r="7108" spans="1:7">
      <c r="A7108" t="s">
        <v>5413</v>
      </c>
      <c r="G7108" t="s">
        <v>5468</v>
      </c>
    </row>
    <row r="7109" spans="1:7">
      <c r="A7109" t="s">
        <v>4162</v>
      </c>
      <c r="G7109" t="s">
        <v>5454</v>
      </c>
    </row>
    <row r="7110" spans="1:7">
      <c r="A7110" t="s">
        <v>5431</v>
      </c>
      <c r="G7110" t="s">
        <v>5454</v>
      </c>
    </row>
    <row r="7111" spans="1:7">
      <c r="A7111" t="s">
        <v>4434</v>
      </c>
      <c r="G7111" t="s">
        <v>4669</v>
      </c>
    </row>
    <row r="7112" spans="1:7">
      <c r="A7112" t="s">
        <v>4231</v>
      </c>
      <c r="G7112" t="s">
        <v>4669</v>
      </c>
    </row>
    <row r="7113" spans="1:7">
      <c r="A7113" t="s">
        <v>4148</v>
      </c>
      <c r="G7113" t="s">
        <v>4669</v>
      </c>
    </row>
    <row r="7114" spans="1:7">
      <c r="A7114" t="s">
        <v>5409</v>
      </c>
      <c r="G7114" t="s">
        <v>4669</v>
      </c>
    </row>
    <row r="7115" spans="1:7">
      <c r="A7115" t="s">
        <v>4147</v>
      </c>
      <c r="G7115" t="s">
        <v>4669</v>
      </c>
    </row>
    <row r="7116" spans="1:7">
      <c r="A7116" t="s">
        <v>4742</v>
      </c>
      <c r="G7116" t="s">
        <v>4669</v>
      </c>
    </row>
    <row r="7117" spans="1:7">
      <c r="A7117" t="s">
        <v>4666</v>
      </c>
      <c r="G7117" t="s">
        <v>4484</v>
      </c>
    </row>
    <row r="7118" spans="1:7">
      <c r="A7118" t="s">
        <v>5411</v>
      </c>
      <c r="G7118" t="s">
        <v>4285</v>
      </c>
    </row>
    <row r="7119" spans="1:7">
      <c r="A7119" t="s">
        <v>5186</v>
      </c>
      <c r="G7119" t="s">
        <v>4285</v>
      </c>
    </row>
    <row r="7120" spans="1:7">
      <c r="A7120" t="s">
        <v>5234</v>
      </c>
      <c r="G7120" t="s">
        <v>4285</v>
      </c>
    </row>
    <row r="7121" spans="1:7">
      <c r="A7121" t="s">
        <v>5012</v>
      </c>
      <c r="G7121" t="s">
        <v>4285</v>
      </c>
    </row>
    <row r="7122" spans="1:7">
      <c r="A7122" t="s">
        <v>4659</v>
      </c>
      <c r="G7122" t="s">
        <v>4285</v>
      </c>
    </row>
    <row r="7123" spans="1:7">
      <c r="A7123" t="s">
        <v>4959</v>
      </c>
      <c r="G7123" t="s">
        <v>4285</v>
      </c>
    </row>
    <row r="7124" spans="1:7">
      <c r="A7124" t="s">
        <v>5013</v>
      </c>
      <c r="G7124" t="s">
        <v>4285</v>
      </c>
    </row>
    <row r="7125" spans="1:7">
      <c r="A7125" t="s">
        <v>4547</v>
      </c>
      <c r="G7125" t="s">
        <v>4285</v>
      </c>
    </row>
    <row r="7126" spans="1:7">
      <c r="A7126" t="s">
        <v>4280</v>
      </c>
      <c r="G7126" t="s">
        <v>4285</v>
      </c>
    </row>
    <row r="7127" spans="1:7">
      <c r="A7127" t="s">
        <v>5015</v>
      </c>
      <c r="G7127" t="s">
        <v>4285</v>
      </c>
    </row>
    <row r="7128" spans="1:7">
      <c r="A7128" t="s">
        <v>4824</v>
      </c>
      <c r="G7128" t="s">
        <v>4285</v>
      </c>
    </row>
    <row r="7129" spans="1:7">
      <c r="A7129" t="s">
        <v>4117</v>
      </c>
      <c r="G7129" t="s">
        <v>4285</v>
      </c>
    </row>
    <row r="7130" spans="1:7">
      <c r="A7130" t="s">
        <v>4112</v>
      </c>
      <c r="G7130" t="s">
        <v>4285</v>
      </c>
    </row>
    <row r="7131" spans="1:8">
      <c r="A7131" t="s">
        <v>5366</v>
      </c>
      <c r="G7131" t="s">
        <v>4285</v>
      </c>
      <c r="H7131">
        <v>4940097</v>
      </c>
    </row>
    <row r="7132" spans="1:7">
      <c r="A7132" t="s">
        <v>4525</v>
      </c>
      <c r="B7132">
        <v>4937097</v>
      </c>
      <c r="G7132" t="s">
        <v>4285</v>
      </c>
    </row>
    <row r="7133" spans="1:7">
      <c r="A7133" t="s">
        <v>5049</v>
      </c>
      <c r="G7133" t="s">
        <v>4285</v>
      </c>
    </row>
    <row r="7134" spans="1:7">
      <c r="A7134" t="s">
        <v>4656</v>
      </c>
      <c r="G7134" t="s">
        <v>4285</v>
      </c>
    </row>
    <row r="7135" spans="1:7">
      <c r="A7135" t="s">
        <v>4879</v>
      </c>
      <c r="G7135" t="s">
        <v>5427</v>
      </c>
    </row>
    <row r="7136" spans="1:7">
      <c r="A7136" t="s">
        <v>5376</v>
      </c>
      <c r="G7136" t="s">
        <v>5427</v>
      </c>
    </row>
    <row r="7137" spans="1:8">
      <c r="A7137" t="s">
        <v>5358</v>
      </c>
      <c r="B7137">
        <v>4939097</v>
      </c>
      <c r="G7137" t="s">
        <v>5427</v>
      </c>
      <c r="H7137">
        <v>4937097</v>
      </c>
    </row>
    <row r="7138" spans="1:7">
      <c r="A7138" t="s">
        <v>4147</v>
      </c>
      <c r="G7138" t="s">
        <v>5427</v>
      </c>
    </row>
    <row r="7139" spans="1:7">
      <c r="A7139" t="s">
        <v>4726</v>
      </c>
      <c r="G7139" t="s">
        <v>5427</v>
      </c>
    </row>
    <row r="7140" spans="1:7">
      <c r="A7140" t="s">
        <v>4999</v>
      </c>
      <c r="G7140" t="s">
        <v>5408</v>
      </c>
    </row>
    <row r="7141" spans="1:7">
      <c r="A7141" t="s">
        <v>5377</v>
      </c>
      <c r="G7141" t="s">
        <v>4164</v>
      </c>
    </row>
    <row r="7142" spans="1:7">
      <c r="A7142" t="s">
        <v>4656</v>
      </c>
      <c r="G7142" t="s">
        <v>4204</v>
      </c>
    </row>
    <row r="7143" spans="1:7">
      <c r="A7143" t="s">
        <v>4617</v>
      </c>
      <c r="G7143" t="s">
        <v>5376</v>
      </c>
    </row>
    <row r="7144" spans="1:7">
      <c r="A7144" t="s">
        <v>5138</v>
      </c>
      <c r="G7144" t="s">
        <v>5376</v>
      </c>
    </row>
    <row r="7145" spans="1:7">
      <c r="A7145" t="s">
        <v>4085</v>
      </c>
      <c r="G7145" t="s">
        <v>5376</v>
      </c>
    </row>
    <row r="7146" spans="1:7">
      <c r="A7146" t="s">
        <v>5036</v>
      </c>
      <c r="G7146" t="s">
        <v>5376</v>
      </c>
    </row>
    <row r="7147" spans="1:7">
      <c r="A7147" t="s">
        <v>4062</v>
      </c>
      <c r="G7147" t="s">
        <v>5376</v>
      </c>
    </row>
    <row r="7148" spans="1:7">
      <c r="A7148" t="s">
        <v>5431</v>
      </c>
      <c r="G7148" t="s">
        <v>5376</v>
      </c>
    </row>
    <row r="7149" spans="1:7">
      <c r="A7149" t="s">
        <v>4474</v>
      </c>
      <c r="G7149" t="s">
        <v>5172</v>
      </c>
    </row>
    <row r="7150" spans="1:8">
      <c r="A7150" t="s">
        <v>4276</v>
      </c>
      <c r="G7150" t="s">
        <v>5172</v>
      </c>
      <c r="H7150">
        <v>5209097</v>
      </c>
    </row>
    <row r="7151" spans="1:7">
      <c r="A7151" t="s">
        <v>4666</v>
      </c>
      <c r="G7151" t="s">
        <v>5172</v>
      </c>
    </row>
    <row r="7152" spans="1:7">
      <c r="A7152" t="s">
        <v>4742</v>
      </c>
      <c r="G7152" t="s">
        <v>5172</v>
      </c>
    </row>
    <row r="7153" spans="1:7">
      <c r="A7153" t="s">
        <v>5444</v>
      </c>
      <c r="G7153" t="s">
        <v>5172</v>
      </c>
    </row>
    <row r="7154" spans="1:7">
      <c r="A7154" t="s">
        <v>4131</v>
      </c>
      <c r="G7154" t="s">
        <v>5172</v>
      </c>
    </row>
    <row r="7155" spans="1:7">
      <c r="A7155" t="s">
        <v>4291</v>
      </c>
      <c r="G7155" t="s">
        <v>5172</v>
      </c>
    </row>
    <row r="7156" spans="1:7">
      <c r="A7156" t="s">
        <v>5368</v>
      </c>
      <c r="G7156" t="s">
        <v>5172</v>
      </c>
    </row>
    <row r="7157" spans="1:7">
      <c r="A7157" t="s">
        <v>4626</v>
      </c>
      <c r="G7157" t="s">
        <v>5172</v>
      </c>
    </row>
    <row r="7158" spans="1:7">
      <c r="A7158" t="s">
        <v>5015</v>
      </c>
      <c r="G7158" t="s">
        <v>4641</v>
      </c>
    </row>
    <row r="7159" spans="1:7">
      <c r="A7159" t="s">
        <v>5234</v>
      </c>
      <c r="G7159" t="s">
        <v>5294</v>
      </c>
    </row>
    <row r="7160" spans="1:7">
      <c r="A7160" t="s">
        <v>5143</v>
      </c>
      <c r="G7160" t="s">
        <v>5294</v>
      </c>
    </row>
    <row r="7161" spans="1:7">
      <c r="A7161" t="s">
        <v>5049</v>
      </c>
      <c r="G7161" t="s">
        <v>5294</v>
      </c>
    </row>
    <row r="7162" spans="1:7">
      <c r="A7162" t="s">
        <v>4562</v>
      </c>
      <c r="G7162" t="s">
        <v>5294</v>
      </c>
    </row>
    <row r="7163" spans="1:7">
      <c r="A7163" t="s">
        <v>4088</v>
      </c>
      <c r="G7163" t="s">
        <v>5250</v>
      </c>
    </row>
    <row r="7164" spans="1:7">
      <c r="A7164" t="s">
        <v>4921</v>
      </c>
      <c r="G7164" t="s">
        <v>4708</v>
      </c>
    </row>
    <row r="7165" spans="1:7">
      <c r="A7165" t="s">
        <v>4303</v>
      </c>
      <c r="G7165" t="s">
        <v>5072</v>
      </c>
    </row>
    <row r="7166" spans="1:7">
      <c r="A7166" t="s">
        <v>5233</v>
      </c>
      <c r="G7166" t="s">
        <v>5072</v>
      </c>
    </row>
    <row r="7167" spans="1:7">
      <c r="A7167" t="s">
        <v>5367</v>
      </c>
      <c r="G7167" t="s">
        <v>5072</v>
      </c>
    </row>
    <row r="7168" spans="1:7">
      <c r="A7168" t="s">
        <v>4009</v>
      </c>
      <c r="G7168" t="s">
        <v>5072</v>
      </c>
    </row>
    <row r="7169" spans="1:7">
      <c r="A7169" t="s">
        <v>4930</v>
      </c>
      <c r="G7169" t="s">
        <v>5175</v>
      </c>
    </row>
    <row r="7170" spans="1:7">
      <c r="A7170" t="s">
        <v>5324</v>
      </c>
      <c r="G7170" t="s">
        <v>5175</v>
      </c>
    </row>
    <row r="7171" spans="1:7">
      <c r="A7171" t="s">
        <v>5469</v>
      </c>
      <c r="G7171" t="s">
        <v>5175</v>
      </c>
    </row>
    <row r="7172" spans="1:7">
      <c r="A7172" t="s">
        <v>4973</v>
      </c>
      <c r="G7172" t="s">
        <v>5175</v>
      </c>
    </row>
    <row r="7173" spans="1:7">
      <c r="A7173" t="s">
        <v>5456</v>
      </c>
      <c r="G7173" t="s">
        <v>5175</v>
      </c>
    </row>
    <row r="7174" spans="1:7">
      <c r="A7174" t="s">
        <v>4900</v>
      </c>
      <c r="G7174" t="s">
        <v>5175</v>
      </c>
    </row>
    <row r="7175" spans="1:7">
      <c r="A7175" t="s">
        <v>5145</v>
      </c>
      <c r="G7175" t="s">
        <v>5175</v>
      </c>
    </row>
    <row r="7176" spans="1:7">
      <c r="A7176" t="s">
        <v>5039</v>
      </c>
      <c r="G7176" t="s">
        <v>5175</v>
      </c>
    </row>
    <row r="7177" spans="1:7">
      <c r="A7177" t="s">
        <v>5009</v>
      </c>
      <c r="G7177" t="s">
        <v>5175</v>
      </c>
    </row>
    <row r="7178" spans="1:7">
      <c r="A7178" t="s">
        <v>4143</v>
      </c>
      <c r="B7178">
        <v>4936097</v>
      </c>
      <c r="G7178" t="s">
        <v>5175</v>
      </c>
    </row>
    <row r="7179" spans="1:8">
      <c r="A7179" t="s">
        <v>4091</v>
      </c>
      <c r="G7179" t="s">
        <v>4648</v>
      </c>
      <c r="H7179">
        <v>5481097</v>
      </c>
    </row>
    <row r="7180" spans="1:7">
      <c r="A7180" t="s">
        <v>5372</v>
      </c>
      <c r="G7180" t="s">
        <v>4666</v>
      </c>
    </row>
    <row r="7181" spans="1:7">
      <c r="A7181" t="s">
        <v>5371</v>
      </c>
      <c r="G7181" t="s">
        <v>4666</v>
      </c>
    </row>
    <row r="7182" spans="1:7">
      <c r="A7182" t="s">
        <v>4188</v>
      </c>
      <c r="G7182" t="s">
        <v>4666</v>
      </c>
    </row>
    <row r="7183" spans="1:7">
      <c r="A7183" t="s">
        <v>5045</v>
      </c>
      <c r="G7183" t="s">
        <v>4666</v>
      </c>
    </row>
    <row r="7184" spans="1:7">
      <c r="A7184" t="s">
        <v>4982</v>
      </c>
      <c r="G7184" t="s">
        <v>4666</v>
      </c>
    </row>
    <row r="7185" spans="1:7">
      <c r="A7185" t="s">
        <v>4117</v>
      </c>
      <c r="G7185" t="s">
        <v>4666</v>
      </c>
    </row>
    <row r="7186" spans="1:7">
      <c r="A7186" t="s">
        <v>5251</v>
      </c>
      <c r="G7186" t="s">
        <v>4666</v>
      </c>
    </row>
    <row r="7187" spans="1:7">
      <c r="A7187" t="s">
        <v>4450</v>
      </c>
      <c r="G7187" t="s">
        <v>4666</v>
      </c>
    </row>
    <row r="7188" spans="1:7">
      <c r="A7188" t="s">
        <v>4769</v>
      </c>
      <c r="G7188" t="s">
        <v>4666</v>
      </c>
    </row>
    <row r="7189" spans="1:8">
      <c r="A7189" t="s">
        <v>4052</v>
      </c>
      <c r="G7189" t="s">
        <v>4666</v>
      </c>
      <c r="H7189">
        <v>5292097</v>
      </c>
    </row>
    <row r="7190" spans="1:7">
      <c r="A7190" t="s">
        <v>4989</v>
      </c>
      <c r="G7190" t="s">
        <v>4666</v>
      </c>
    </row>
    <row r="7191" spans="1:7">
      <c r="A7191" t="s">
        <v>5222</v>
      </c>
      <c r="G7191" t="s">
        <v>4666</v>
      </c>
    </row>
    <row r="7192" spans="1:7">
      <c r="A7192" t="s">
        <v>4735</v>
      </c>
      <c r="G7192" t="s">
        <v>4666</v>
      </c>
    </row>
    <row r="7193" spans="1:7">
      <c r="A7193" t="s">
        <v>4741</v>
      </c>
      <c r="G7193" t="s">
        <v>4666</v>
      </c>
    </row>
    <row r="7194" spans="1:7">
      <c r="A7194" t="s">
        <v>4613</v>
      </c>
      <c r="G7194" t="s">
        <v>4666</v>
      </c>
    </row>
    <row r="7195" spans="1:7">
      <c r="A7195" t="s">
        <v>5336</v>
      </c>
      <c r="G7195" t="s">
        <v>4666</v>
      </c>
    </row>
    <row r="7196" spans="1:7">
      <c r="A7196" t="s">
        <v>4153</v>
      </c>
      <c r="G7196" t="s">
        <v>4666</v>
      </c>
    </row>
    <row r="7197" spans="1:7">
      <c r="A7197" t="s">
        <v>4870</v>
      </c>
      <c r="G7197" t="s">
        <v>4666</v>
      </c>
    </row>
    <row r="7198" spans="1:7">
      <c r="A7198" t="s">
        <v>4234</v>
      </c>
      <c r="G7198" t="s">
        <v>4666</v>
      </c>
    </row>
    <row r="7199" spans="1:7">
      <c r="A7199" t="s">
        <v>4079</v>
      </c>
      <c r="G7199" t="s">
        <v>4666</v>
      </c>
    </row>
    <row r="7200" spans="1:7">
      <c r="A7200" t="s">
        <v>4525</v>
      </c>
      <c r="G7200" t="s">
        <v>4666</v>
      </c>
    </row>
    <row r="7201" spans="1:7">
      <c r="A7201" t="s">
        <v>5413</v>
      </c>
      <c r="G7201" t="s">
        <v>4666</v>
      </c>
    </row>
    <row r="7202" spans="1:7">
      <c r="A7202" t="s">
        <v>4285</v>
      </c>
      <c r="G7202" t="s">
        <v>4666</v>
      </c>
    </row>
    <row r="7203" spans="1:7">
      <c r="A7203" t="s">
        <v>4919</v>
      </c>
      <c r="B7203">
        <v>4938097</v>
      </c>
      <c r="G7203" t="s">
        <v>4666</v>
      </c>
    </row>
    <row r="7204" spans="1:7">
      <c r="A7204" t="s">
        <v>4952</v>
      </c>
      <c r="G7204" t="s">
        <v>4666</v>
      </c>
    </row>
    <row r="7205" spans="1:7">
      <c r="A7205" t="s">
        <v>4147</v>
      </c>
      <c r="G7205" t="s">
        <v>4666</v>
      </c>
    </row>
    <row r="7206" spans="1:7">
      <c r="A7206" t="s">
        <v>4189</v>
      </c>
      <c r="G7206" t="s">
        <v>4666</v>
      </c>
    </row>
    <row r="7207" spans="1:7">
      <c r="A7207" t="s">
        <v>5147</v>
      </c>
      <c r="G7207" t="s">
        <v>4666</v>
      </c>
    </row>
    <row r="7208" spans="1:7">
      <c r="A7208" t="s">
        <v>5141</v>
      </c>
      <c r="G7208" t="s">
        <v>4666</v>
      </c>
    </row>
    <row r="7209" spans="1:8">
      <c r="A7209" t="s">
        <v>4625</v>
      </c>
      <c r="G7209" t="s">
        <v>4666</v>
      </c>
      <c r="H7209">
        <v>4912097</v>
      </c>
    </row>
    <row r="7210" spans="1:7">
      <c r="A7210" t="s">
        <v>5354</v>
      </c>
      <c r="G7210" t="s">
        <v>4666</v>
      </c>
    </row>
    <row r="7211" spans="1:7">
      <c r="A7211" t="s">
        <v>5138</v>
      </c>
      <c r="G7211" t="s">
        <v>4666</v>
      </c>
    </row>
    <row r="7212" spans="1:7">
      <c r="A7212" t="s">
        <v>5316</v>
      </c>
      <c r="G7212" t="s">
        <v>5178</v>
      </c>
    </row>
    <row r="7213" spans="1:7">
      <c r="A7213" t="s">
        <v>4824</v>
      </c>
      <c r="G7213" t="s">
        <v>5470</v>
      </c>
    </row>
    <row r="7214" spans="1:7">
      <c r="A7214" t="s">
        <v>4799</v>
      </c>
      <c r="G7214" t="s">
        <v>5006</v>
      </c>
    </row>
    <row r="7215" spans="1:7">
      <c r="A7215" t="s">
        <v>5369</v>
      </c>
      <c r="G7215" t="s">
        <v>5006</v>
      </c>
    </row>
    <row r="7216" spans="1:7">
      <c r="A7216" t="s">
        <v>4085</v>
      </c>
      <c r="G7216" t="s">
        <v>5006</v>
      </c>
    </row>
    <row r="7217" spans="1:7">
      <c r="A7217" t="s">
        <v>5142</v>
      </c>
      <c r="G7217" t="s">
        <v>4308</v>
      </c>
    </row>
    <row r="7218" spans="1:7">
      <c r="A7218" t="s">
        <v>5233</v>
      </c>
      <c r="G7218" t="s">
        <v>4877</v>
      </c>
    </row>
    <row r="7219" spans="1:7">
      <c r="A7219" t="s">
        <v>5328</v>
      </c>
      <c r="G7219" t="s">
        <v>5053</v>
      </c>
    </row>
    <row r="7220" spans="1:7">
      <c r="A7220" t="s">
        <v>5305</v>
      </c>
      <c r="G7220" t="s">
        <v>5053</v>
      </c>
    </row>
    <row r="7221" spans="1:7">
      <c r="A7221" t="s">
        <v>4989</v>
      </c>
      <c r="G7221" t="s">
        <v>5053</v>
      </c>
    </row>
    <row r="7222" spans="1:7">
      <c r="A7222" t="s">
        <v>4712</v>
      </c>
      <c r="G7222" t="s">
        <v>5053</v>
      </c>
    </row>
    <row r="7223" spans="1:7">
      <c r="A7223" t="s">
        <v>5453</v>
      </c>
      <c r="G7223" t="s">
        <v>5421</v>
      </c>
    </row>
    <row r="7224" spans="1:7">
      <c r="A7224" t="s">
        <v>4234</v>
      </c>
      <c r="G7224" t="s">
        <v>5421</v>
      </c>
    </row>
    <row r="7225" spans="1:7">
      <c r="A7225" t="s">
        <v>4928</v>
      </c>
      <c r="G7225" t="s">
        <v>4851</v>
      </c>
    </row>
    <row r="7226" spans="1:7">
      <c r="A7226" t="s">
        <v>4900</v>
      </c>
      <c r="G7226" t="s">
        <v>5304</v>
      </c>
    </row>
    <row r="7227" spans="1:7">
      <c r="A7227" t="s">
        <v>5015</v>
      </c>
      <c r="G7227" t="s">
        <v>5471</v>
      </c>
    </row>
    <row r="7228" spans="1:7">
      <c r="A7228" t="s">
        <v>4871</v>
      </c>
      <c r="G7228" t="s">
        <v>5335</v>
      </c>
    </row>
    <row r="7229" spans="1:7">
      <c r="A7229" t="s">
        <v>5298</v>
      </c>
      <c r="G7229" t="s">
        <v>5335</v>
      </c>
    </row>
    <row r="7230" spans="1:7">
      <c r="A7230" t="s">
        <v>4088</v>
      </c>
      <c r="G7230" t="s">
        <v>5335</v>
      </c>
    </row>
    <row r="7231" spans="1:7">
      <c r="A7231" t="s">
        <v>4454</v>
      </c>
      <c r="G7231" t="s">
        <v>5335</v>
      </c>
    </row>
    <row r="7232" spans="1:7">
      <c r="A7232" t="s">
        <v>4737</v>
      </c>
      <c r="G7232" t="s">
        <v>5335</v>
      </c>
    </row>
    <row r="7233" spans="1:7">
      <c r="A7233" t="s">
        <v>5370</v>
      </c>
      <c r="G7233" t="s">
        <v>5335</v>
      </c>
    </row>
    <row r="7234" spans="1:7">
      <c r="A7234" t="s">
        <v>5431</v>
      </c>
      <c r="G7234" t="s">
        <v>5335</v>
      </c>
    </row>
    <row r="7235" spans="1:7">
      <c r="A7235" t="s">
        <v>4911</v>
      </c>
      <c r="G7235" t="s">
        <v>5472</v>
      </c>
    </row>
    <row r="7236" spans="1:7">
      <c r="A7236" t="s">
        <v>5188</v>
      </c>
      <c r="G7236" t="s">
        <v>5473</v>
      </c>
    </row>
    <row r="7237" spans="1:7">
      <c r="A7237" t="s">
        <v>4415</v>
      </c>
      <c r="G7237" t="s">
        <v>5474</v>
      </c>
    </row>
    <row r="7238" spans="1:7">
      <c r="A7238" t="s">
        <v>4948</v>
      </c>
      <c r="G7238" t="s">
        <v>5474</v>
      </c>
    </row>
    <row r="7239" spans="1:7">
      <c r="A7239" t="s">
        <v>5246</v>
      </c>
      <c r="G7239" t="s">
        <v>4198</v>
      </c>
    </row>
    <row r="7240" spans="1:8">
      <c r="A7240" t="s">
        <v>4741</v>
      </c>
      <c r="G7240" t="s">
        <v>4198</v>
      </c>
      <c r="H7240">
        <v>5567097</v>
      </c>
    </row>
    <row r="7241" spans="1:8">
      <c r="A7241" t="s">
        <v>5140</v>
      </c>
      <c r="G7241" t="s">
        <v>4198</v>
      </c>
      <c r="H7241">
        <v>5486097</v>
      </c>
    </row>
    <row r="7242" spans="1:7">
      <c r="A7242" t="s">
        <v>5454</v>
      </c>
      <c r="G7242" t="s">
        <v>4198</v>
      </c>
    </row>
    <row r="7243" spans="1:7">
      <c r="A7243" t="s">
        <v>4422</v>
      </c>
      <c r="G7243" t="s">
        <v>4117</v>
      </c>
    </row>
    <row r="7244" spans="1:7">
      <c r="A7244" t="s">
        <v>4656</v>
      </c>
      <c r="B7244">
        <v>4935097</v>
      </c>
      <c r="G7244" t="s">
        <v>4117</v>
      </c>
    </row>
    <row r="7245" spans="1:7">
      <c r="A7245" t="s">
        <v>5385</v>
      </c>
      <c r="G7245" t="s">
        <v>4117</v>
      </c>
    </row>
    <row r="7246" spans="1:7">
      <c r="A7246" t="s">
        <v>5315</v>
      </c>
      <c r="G7246" t="s">
        <v>4117</v>
      </c>
    </row>
    <row r="7247" spans="1:7">
      <c r="A7247" t="s">
        <v>4959</v>
      </c>
      <c r="G7247" t="s">
        <v>4117</v>
      </c>
    </row>
    <row r="7248" spans="1:7">
      <c r="A7248" t="s">
        <v>4659</v>
      </c>
      <c r="G7248" t="s">
        <v>4117</v>
      </c>
    </row>
    <row r="7249" spans="1:7">
      <c r="A7249" t="s">
        <v>5218</v>
      </c>
      <c r="G7249" t="s">
        <v>4117</v>
      </c>
    </row>
    <row r="7250" spans="1:7">
      <c r="A7250" t="s">
        <v>4997</v>
      </c>
      <c r="G7250" t="s">
        <v>4117</v>
      </c>
    </row>
    <row r="7251" spans="1:7">
      <c r="A7251" t="s">
        <v>4455</v>
      </c>
      <c r="G7251" t="s">
        <v>4117</v>
      </c>
    </row>
    <row r="7252" spans="1:7">
      <c r="A7252" t="s">
        <v>4548</v>
      </c>
      <c r="G7252" t="s">
        <v>4117</v>
      </c>
    </row>
    <row r="7253" spans="1:8">
      <c r="A7253" t="s">
        <v>4562</v>
      </c>
      <c r="G7253" t="s">
        <v>4117</v>
      </c>
      <c r="H7253">
        <v>4960097</v>
      </c>
    </row>
    <row r="7254" spans="1:7">
      <c r="A7254" t="s">
        <v>4233</v>
      </c>
      <c r="G7254" t="s">
        <v>4117</v>
      </c>
    </row>
    <row r="7255" spans="1:7">
      <c r="A7255" t="s">
        <v>5145</v>
      </c>
      <c r="G7255" t="s">
        <v>4117</v>
      </c>
    </row>
    <row r="7256" spans="1:7">
      <c r="A7256" t="s">
        <v>4276</v>
      </c>
      <c r="G7256" t="s">
        <v>4117</v>
      </c>
    </row>
    <row r="7257" spans="1:7">
      <c r="A7257" t="s">
        <v>5289</v>
      </c>
      <c r="G7257" t="s">
        <v>4117</v>
      </c>
    </row>
    <row r="7258" spans="1:7">
      <c r="A7258" t="s">
        <v>4538</v>
      </c>
      <c r="G7258" t="s">
        <v>4117</v>
      </c>
    </row>
    <row r="7259" spans="1:7">
      <c r="A7259" t="s">
        <v>4828</v>
      </c>
      <c r="G7259" t="s">
        <v>4117</v>
      </c>
    </row>
    <row r="7260" spans="1:7">
      <c r="A7260" t="s">
        <v>4666</v>
      </c>
      <c r="G7260" t="s">
        <v>4117</v>
      </c>
    </row>
    <row r="7261" spans="1:7">
      <c r="A7261" t="s">
        <v>4143</v>
      </c>
      <c r="G7261" t="s">
        <v>4117</v>
      </c>
    </row>
    <row r="7262" spans="1:7">
      <c r="A7262" t="s">
        <v>5427</v>
      </c>
      <c r="B7262">
        <v>4937097</v>
      </c>
      <c r="G7262" t="s">
        <v>4117</v>
      </c>
    </row>
    <row r="7263" spans="1:7">
      <c r="A7263" t="s">
        <v>5322</v>
      </c>
      <c r="G7263" t="s">
        <v>4117</v>
      </c>
    </row>
    <row r="7264" spans="1:7">
      <c r="A7264" t="s">
        <v>5367</v>
      </c>
      <c r="G7264" t="s">
        <v>4117</v>
      </c>
    </row>
    <row r="7265" spans="1:7">
      <c r="A7265" t="s">
        <v>3990</v>
      </c>
      <c r="G7265" t="s">
        <v>4117</v>
      </c>
    </row>
    <row r="7266" spans="1:7">
      <c r="A7266" t="s">
        <v>5413</v>
      </c>
      <c r="G7266" t="s">
        <v>4117</v>
      </c>
    </row>
    <row r="7267" spans="1:7">
      <c r="A7267" t="s">
        <v>4623</v>
      </c>
      <c r="G7267" t="s">
        <v>4117</v>
      </c>
    </row>
    <row r="7268" spans="1:7">
      <c r="A7268" t="s">
        <v>5371</v>
      </c>
      <c r="G7268" t="s">
        <v>4117</v>
      </c>
    </row>
    <row r="7269" spans="1:7">
      <c r="A7269" t="s">
        <v>4737</v>
      </c>
      <c r="G7269" t="s">
        <v>4117</v>
      </c>
    </row>
    <row r="7270" spans="1:7">
      <c r="A7270" t="s">
        <v>4143</v>
      </c>
      <c r="G7270" t="s">
        <v>4117</v>
      </c>
    </row>
    <row r="7271" spans="1:7">
      <c r="A7271" t="s">
        <v>4659</v>
      </c>
      <c r="G7271" t="s">
        <v>4117</v>
      </c>
    </row>
    <row r="7272" spans="1:7">
      <c r="A7272" t="s">
        <v>5234</v>
      </c>
      <c r="G7272" t="s">
        <v>5475</v>
      </c>
    </row>
    <row r="7273" spans="1:7">
      <c r="A7273" t="s">
        <v>4291</v>
      </c>
      <c r="G7273" t="s">
        <v>5475</v>
      </c>
    </row>
    <row r="7274" spans="1:7">
      <c r="A7274" t="s">
        <v>4131</v>
      </c>
      <c r="G7274" t="s">
        <v>5475</v>
      </c>
    </row>
    <row r="7275" spans="1:8">
      <c r="A7275" t="s">
        <v>5015</v>
      </c>
      <c r="G7275" t="s">
        <v>4897</v>
      </c>
      <c r="H7275">
        <v>5407097</v>
      </c>
    </row>
    <row r="7276" spans="1:7">
      <c r="A7276" t="s">
        <v>5049</v>
      </c>
      <c r="G7276" t="s">
        <v>4405</v>
      </c>
    </row>
    <row r="7277" spans="1:7">
      <c r="A7277" t="s">
        <v>4562</v>
      </c>
      <c r="G7277" t="s">
        <v>4405</v>
      </c>
    </row>
    <row r="7278" spans="1:7">
      <c r="A7278" t="s">
        <v>4921</v>
      </c>
      <c r="G7278" t="s">
        <v>4652</v>
      </c>
    </row>
    <row r="7279" spans="1:7">
      <c r="A7279" t="s">
        <v>5328</v>
      </c>
      <c r="G7279" t="s">
        <v>4652</v>
      </c>
    </row>
    <row r="7280" spans="1:7">
      <c r="A7280" t="s">
        <v>5335</v>
      </c>
      <c r="G7280" t="s">
        <v>4652</v>
      </c>
    </row>
    <row r="7281" spans="1:7">
      <c r="A7281" t="s">
        <v>5368</v>
      </c>
      <c r="G7281" t="s">
        <v>4652</v>
      </c>
    </row>
    <row r="7282" spans="1:7">
      <c r="A7282" t="s">
        <v>5419</v>
      </c>
      <c r="G7282" t="s">
        <v>4652</v>
      </c>
    </row>
    <row r="7283" spans="1:7">
      <c r="A7283" t="s">
        <v>5462</v>
      </c>
      <c r="G7283" t="s">
        <v>4652</v>
      </c>
    </row>
    <row r="7284" spans="1:7">
      <c r="A7284" t="s">
        <v>5222</v>
      </c>
      <c r="G7284" t="s">
        <v>4963</v>
      </c>
    </row>
    <row r="7285" spans="1:7">
      <c r="A7285" t="s">
        <v>4731</v>
      </c>
      <c r="G7285" t="s">
        <v>4963</v>
      </c>
    </row>
    <row r="7286" spans="1:7">
      <c r="A7286" t="s">
        <v>5370</v>
      </c>
      <c r="B7286">
        <v>4934097</v>
      </c>
      <c r="G7286" t="s">
        <v>4963</v>
      </c>
    </row>
    <row r="7287" spans="1:7">
      <c r="A7287" t="s">
        <v>4998</v>
      </c>
      <c r="G7287" t="s">
        <v>4963</v>
      </c>
    </row>
    <row r="7288" spans="1:7">
      <c r="A7288" t="s">
        <v>4232</v>
      </c>
      <c r="G7288" t="s">
        <v>4963</v>
      </c>
    </row>
    <row r="7289" spans="1:7">
      <c r="A7289" t="s">
        <v>5432</v>
      </c>
      <c r="G7289" t="s">
        <v>4963</v>
      </c>
    </row>
    <row r="7290" spans="1:7">
      <c r="A7290" t="s">
        <v>4666</v>
      </c>
      <c r="G7290" t="s">
        <v>5423</v>
      </c>
    </row>
    <row r="7291" spans="1:7">
      <c r="A7291" t="s">
        <v>5375</v>
      </c>
      <c r="G7291" t="s">
        <v>5423</v>
      </c>
    </row>
    <row r="7292" spans="1:7">
      <c r="A7292" t="s">
        <v>5373</v>
      </c>
      <c r="G7292" t="s">
        <v>4012</v>
      </c>
    </row>
    <row r="7293" spans="1:7">
      <c r="A7293" t="s">
        <v>5369</v>
      </c>
      <c r="G7293" t="s">
        <v>5407</v>
      </c>
    </row>
    <row r="7294" spans="1:7">
      <c r="A7294" t="s">
        <v>4147</v>
      </c>
      <c r="G7294" t="s">
        <v>5476</v>
      </c>
    </row>
    <row r="7295" spans="1:7">
      <c r="A7295" t="s">
        <v>4923</v>
      </c>
      <c r="G7295" t="s">
        <v>5013</v>
      </c>
    </row>
    <row r="7296" spans="1:7">
      <c r="A7296" t="s">
        <v>5477</v>
      </c>
      <c r="G7296" t="s">
        <v>5013</v>
      </c>
    </row>
    <row r="7297" spans="1:7">
      <c r="A7297" t="s">
        <v>4117</v>
      </c>
      <c r="G7297" t="s">
        <v>5013</v>
      </c>
    </row>
    <row r="7298" spans="1:7">
      <c r="A7298" t="s">
        <v>4153</v>
      </c>
      <c r="G7298" t="s">
        <v>5013</v>
      </c>
    </row>
    <row r="7299" spans="1:7">
      <c r="A7299" t="s">
        <v>5336</v>
      </c>
      <c r="G7299" t="s">
        <v>5013</v>
      </c>
    </row>
    <row r="7300" spans="1:7">
      <c r="A7300" t="s">
        <v>5045</v>
      </c>
      <c r="G7300" t="s">
        <v>5013</v>
      </c>
    </row>
    <row r="7301" spans="1:8">
      <c r="A7301" t="s">
        <v>4190</v>
      </c>
      <c r="G7301" t="s">
        <v>5478</v>
      </c>
      <c r="H7301">
        <v>4760097</v>
      </c>
    </row>
    <row r="7302" spans="1:8">
      <c r="A7302" t="s">
        <v>4085</v>
      </c>
      <c r="G7302" t="s">
        <v>5108</v>
      </c>
      <c r="H7302">
        <v>5268097</v>
      </c>
    </row>
    <row r="7303" spans="1:8">
      <c r="A7303" t="s">
        <v>4656</v>
      </c>
      <c r="G7303" t="s">
        <v>4681</v>
      </c>
      <c r="H7303">
        <v>5474097</v>
      </c>
    </row>
    <row r="7304" spans="1:7">
      <c r="A7304" t="s">
        <v>5138</v>
      </c>
      <c r="G7304" t="s">
        <v>4681</v>
      </c>
    </row>
    <row r="7305" spans="1:7">
      <c r="A7305" t="s">
        <v>4663</v>
      </c>
      <c r="G7305" t="s">
        <v>5479</v>
      </c>
    </row>
    <row r="7306" spans="1:7">
      <c r="A7306" t="s">
        <v>5366</v>
      </c>
      <c r="G7306" t="s">
        <v>5051</v>
      </c>
    </row>
    <row r="7307" spans="1:8">
      <c r="A7307" t="s">
        <v>4276</v>
      </c>
      <c r="G7307" t="s">
        <v>4376</v>
      </c>
      <c r="H7307">
        <v>5536097</v>
      </c>
    </row>
    <row r="7308" spans="1:7">
      <c r="A7308" t="s">
        <v>4455</v>
      </c>
      <c r="B7308">
        <v>4936097</v>
      </c>
      <c r="G7308" t="s">
        <v>4376</v>
      </c>
    </row>
    <row r="7309" spans="1:7">
      <c r="A7309" t="s">
        <v>4098</v>
      </c>
      <c r="G7309" t="s">
        <v>4376</v>
      </c>
    </row>
    <row r="7310" spans="1:7">
      <c r="A7310" t="s">
        <v>5265</v>
      </c>
      <c r="G7310" t="s">
        <v>4376</v>
      </c>
    </row>
    <row r="7311" spans="1:7">
      <c r="A7311" t="s">
        <v>5041</v>
      </c>
      <c r="G7311" t="s">
        <v>4376</v>
      </c>
    </row>
    <row r="7312" spans="1:7">
      <c r="A7312" t="s">
        <v>4109</v>
      </c>
      <c r="G7312" t="s">
        <v>4376</v>
      </c>
    </row>
    <row r="7313" spans="1:7">
      <c r="A7313" t="s">
        <v>4703</v>
      </c>
      <c r="G7313" t="s">
        <v>4376</v>
      </c>
    </row>
    <row r="7314" spans="1:7">
      <c r="A7314" t="s">
        <v>4564</v>
      </c>
      <c r="G7314" t="s">
        <v>4376</v>
      </c>
    </row>
    <row r="7315" spans="1:7">
      <c r="A7315" t="s">
        <v>4178</v>
      </c>
      <c r="G7315" t="s">
        <v>4376</v>
      </c>
    </row>
    <row r="7316" spans="1:7">
      <c r="A7316" t="s">
        <v>4759</v>
      </c>
      <c r="G7316" t="s">
        <v>4376</v>
      </c>
    </row>
    <row r="7317" spans="1:7">
      <c r="A7317" t="s">
        <v>4566</v>
      </c>
      <c r="G7317" t="s">
        <v>4376</v>
      </c>
    </row>
    <row r="7318" spans="1:7">
      <c r="A7318" t="s">
        <v>4502</v>
      </c>
      <c r="G7318" t="s">
        <v>4376</v>
      </c>
    </row>
    <row r="7319" spans="1:7">
      <c r="A7319" t="s">
        <v>4800</v>
      </c>
      <c r="G7319" t="s">
        <v>4376</v>
      </c>
    </row>
    <row r="7320" spans="1:7">
      <c r="A7320" t="s">
        <v>4822</v>
      </c>
      <c r="G7320" t="s">
        <v>4376</v>
      </c>
    </row>
    <row r="7321" spans="1:7">
      <c r="A7321" t="s">
        <v>5363</v>
      </c>
      <c r="G7321" t="s">
        <v>4376</v>
      </c>
    </row>
    <row r="7322" spans="1:7">
      <c r="A7322" t="s">
        <v>5138</v>
      </c>
      <c r="G7322" t="s">
        <v>4376</v>
      </c>
    </row>
    <row r="7323" spans="1:7">
      <c r="A7323" t="s">
        <v>5204</v>
      </c>
      <c r="G7323" t="s">
        <v>4376</v>
      </c>
    </row>
    <row r="7324" spans="1:7">
      <c r="A7324" t="s">
        <v>4369</v>
      </c>
      <c r="G7324" t="s">
        <v>4376</v>
      </c>
    </row>
    <row r="7325" spans="1:7">
      <c r="A7325" t="s">
        <v>5328</v>
      </c>
      <c r="G7325" t="s">
        <v>4376</v>
      </c>
    </row>
    <row r="7326" spans="1:7">
      <c r="A7326" t="s">
        <v>4085</v>
      </c>
      <c r="G7326" t="s">
        <v>4376</v>
      </c>
    </row>
    <row r="7327" spans="1:7">
      <c r="A7327" t="s">
        <v>4188</v>
      </c>
      <c r="G7327" t="s">
        <v>4376</v>
      </c>
    </row>
    <row r="7328" spans="1:7">
      <c r="A7328" t="s">
        <v>5396</v>
      </c>
      <c r="B7328">
        <v>4932097</v>
      </c>
      <c r="G7328" t="s">
        <v>4376</v>
      </c>
    </row>
    <row r="7329" spans="1:7">
      <c r="A7329" t="s">
        <v>4117</v>
      </c>
      <c r="G7329" t="s">
        <v>4376</v>
      </c>
    </row>
    <row r="7330" spans="1:7">
      <c r="A7330" t="s">
        <v>5077</v>
      </c>
      <c r="G7330" t="s">
        <v>4376</v>
      </c>
    </row>
    <row r="7331" spans="1:7">
      <c r="A7331" t="s">
        <v>4976</v>
      </c>
      <c r="G7331" t="s">
        <v>4376</v>
      </c>
    </row>
    <row r="7332" spans="1:7">
      <c r="A7332" t="s">
        <v>4799</v>
      </c>
      <c r="G7332" t="s">
        <v>4376</v>
      </c>
    </row>
    <row r="7333" spans="1:7">
      <c r="A7333" t="s">
        <v>4370</v>
      </c>
      <c r="G7333" t="s">
        <v>4376</v>
      </c>
    </row>
    <row r="7334" spans="1:7">
      <c r="A7334" t="s">
        <v>4570</v>
      </c>
      <c r="G7334" t="s">
        <v>4376</v>
      </c>
    </row>
    <row r="7335" spans="1:7">
      <c r="A7335" t="s">
        <v>4084</v>
      </c>
      <c r="G7335" t="s">
        <v>4376</v>
      </c>
    </row>
    <row r="7336" spans="1:7">
      <c r="A7336" t="s">
        <v>5367</v>
      </c>
      <c r="G7336" t="s">
        <v>4376</v>
      </c>
    </row>
    <row r="7337" spans="1:7">
      <c r="A7337" t="s">
        <v>4276</v>
      </c>
      <c r="G7337" t="s">
        <v>4376</v>
      </c>
    </row>
    <row r="7338" spans="1:7">
      <c r="A7338" t="s">
        <v>5300</v>
      </c>
      <c r="G7338" t="s">
        <v>4376</v>
      </c>
    </row>
    <row r="7339" spans="1:7">
      <c r="A7339" t="s">
        <v>4978</v>
      </c>
      <c r="G7339" t="s">
        <v>4376</v>
      </c>
    </row>
    <row r="7340" spans="1:7">
      <c r="A7340" t="s">
        <v>5353</v>
      </c>
      <c r="G7340" t="s">
        <v>4376</v>
      </c>
    </row>
    <row r="7341" spans="1:7">
      <c r="A7341" t="s">
        <v>4052</v>
      </c>
      <c r="G7341" t="s">
        <v>4376</v>
      </c>
    </row>
    <row r="7342" spans="1:7">
      <c r="A7342" t="s">
        <v>4654</v>
      </c>
      <c r="G7342" t="s">
        <v>4376</v>
      </c>
    </row>
    <row r="7343" spans="1:7">
      <c r="A7343" t="s">
        <v>4919</v>
      </c>
      <c r="G7343" t="s">
        <v>4376</v>
      </c>
    </row>
    <row r="7344" spans="1:7">
      <c r="A7344" t="s">
        <v>4887</v>
      </c>
      <c r="G7344" t="s">
        <v>4376</v>
      </c>
    </row>
    <row r="7345" spans="1:7">
      <c r="A7345" t="s">
        <v>4136</v>
      </c>
      <c r="G7345" t="s">
        <v>4376</v>
      </c>
    </row>
    <row r="7346" spans="1:7">
      <c r="A7346" t="s">
        <v>5208</v>
      </c>
      <c r="G7346" t="s">
        <v>4376</v>
      </c>
    </row>
    <row r="7347" spans="1:7">
      <c r="A7347" t="s">
        <v>4523</v>
      </c>
      <c r="G7347" t="s">
        <v>4376</v>
      </c>
    </row>
    <row r="7348" spans="1:8">
      <c r="A7348" t="s">
        <v>4656</v>
      </c>
      <c r="G7348" t="s">
        <v>4376</v>
      </c>
      <c r="H7348">
        <v>4722097</v>
      </c>
    </row>
    <row r="7349" spans="1:7">
      <c r="A7349" t="s">
        <v>5015</v>
      </c>
      <c r="G7349" t="s">
        <v>5409</v>
      </c>
    </row>
    <row r="7350" spans="1:7">
      <c r="A7350" t="s">
        <v>5074</v>
      </c>
      <c r="G7350" t="s">
        <v>5409</v>
      </c>
    </row>
    <row r="7351" spans="1:7">
      <c r="A7351" t="s">
        <v>4516</v>
      </c>
      <c r="G7351" t="s">
        <v>5409</v>
      </c>
    </row>
    <row r="7352" spans="1:7">
      <c r="A7352" t="s">
        <v>4659</v>
      </c>
      <c r="G7352" t="s">
        <v>5409</v>
      </c>
    </row>
    <row r="7353" spans="1:7">
      <c r="A7353" t="s">
        <v>5062</v>
      </c>
      <c r="G7353" t="s">
        <v>5409</v>
      </c>
    </row>
    <row r="7354" spans="1:7">
      <c r="A7354" t="s">
        <v>4504</v>
      </c>
      <c r="G7354" t="s">
        <v>4260</v>
      </c>
    </row>
    <row r="7355" spans="1:7">
      <c r="A7355" t="s">
        <v>5461</v>
      </c>
      <c r="G7355" t="s">
        <v>4260</v>
      </c>
    </row>
    <row r="7356" spans="1:7">
      <c r="A7356" t="s">
        <v>4486</v>
      </c>
      <c r="G7356" t="s">
        <v>4260</v>
      </c>
    </row>
    <row r="7357" spans="1:7">
      <c r="A7357" t="s">
        <v>5331</v>
      </c>
      <c r="G7357" t="s">
        <v>5480</v>
      </c>
    </row>
    <row r="7358" spans="1:7">
      <c r="A7358" t="s">
        <v>4079</v>
      </c>
      <c r="G7358" t="s">
        <v>5480</v>
      </c>
    </row>
    <row r="7359" spans="1:7">
      <c r="A7359" t="s">
        <v>4666</v>
      </c>
      <c r="G7359" t="s">
        <v>4737</v>
      </c>
    </row>
    <row r="7360" spans="1:7">
      <c r="A7360" t="s">
        <v>5188</v>
      </c>
      <c r="G7360" t="s">
        <v>4737</v>
      </c>
    </row>
    <row r="7361" spans="1:7">
      <c r="A7361" t="s">
        <v>4132</v>
      </c>
      <c r="G7361" t="s">
        <v>4737</v>
      </c>
    </row>
    <row r="7362" spans="1:7">
      <c r="A7362" t="s">
        <v>4938</v>
      </c>
      <c r="G7362" t="s">
        <v>4737</v>
      </c>
    </row>
    <row r="7363" spans="1:7">
      <c r="A7363" t="s">
        <v>4737</v>
      </c>
      <c r="G7363" t="s">
        <v>4737</v>
      </c>
    </row>
    <row r="7364" spans="1:7">
      <c r="A7364" t="s">
        <v>5187</v>
      </c>
      <c r="G7364" t="s">
        <v>4737</v>
      </c>
    </row>
    <row r="7365" spans="1:7">
      <c r="A7365" t="s">
        <v>5004</v>
      </c>
      <c r="B7365">
        <v>4930097</v>
      </c>
      <c r="G7365" t="s">
        <v>4737</v>
      </c>
    </row>
    <row r="7366" spans="1:7">
      <c r="A7366" t="s">
        <v>5377</v>
      </c>
      <c r="G7366" t="s">
        <v>4576</v>
      </c>
    </row>
    <row r="7367" spans="1:7">
      <c r="A7367" t="s">
        <v>4315</v>
      </c>
      <c r="G7367" t="s">
        <v>4576</v>
      </c>
    </row>
    <row r="7368" spans="1:7">
      <c r="A7368" t="s">
        <v>4417</v>
      </c>
      <c r="G7368" t="s">
        <v>4576</v>
      </c>
    </row>
    <row r="7369" spans="1:7">
      <c r="A7369" t="s">
        <v>4190</v>
      </c>
      <c r="G7369" t="s">
        <v>4576</v>
      </c>
    </row>
    <row r="7370" spans="1:7">
      <c r="A7370" t="s">
        <v>4143</v>
      </c>
      <c r="G7370" t="s">
        <v>4576</v>
      </c>
    </row>
    <row r="7371" spans="1:7">
      <c r="A7371" t="s">
        <v>4741</v>
      </c>
      <c r="G7371" t="s">
        <v>4576</v>
      </c>
    </row>
    <row r="7372" spans="1:7">
      <c r="A7372" t="s">
        <v>4589</v>
      </c>
      <c r="G7372" t="s">
        <v>4576</v>
      </c>
    </row>
    <row r="7373" spans="1:7">
      <c r="A7373" t="s">
        <v>4900</v>
      </c>
      <c r="G7373" t="s">
        <v>4576</v>
      </c>
    </row>
    <row r="7374" spans="1:7">
      <c r="A7374" t="s">
        <v>4417</v>
      </c>
      <c r="B7374">
        <v>4935097</v>
      </c>
      <c r="G7374" t="s">
        <v>4576</v>
      </c>
    </row>
    <row r="7375" spans="1:7">
      <c r="A7375" t="s">
        <v>4951</v>
      </c>
      <c r="G7375" t="s">
        <v>4576</v>
      </c>
    </row>
    <row r="7376" spans="1:7">
      <c r="A7376" t="s">
        <v>4178</v>
      </c>
      <c r="G7376" t="s">
        <v>4576</v>
      </c>
    </row>
    <row r="7377" spans="1:7">
      <c r="A7377" t="s">
        <v>5331</v>
      </c>
      <c r="G7377" t="s">
        <v>4576</v>
      </c>
    </row>
    <row r="7378" spans="1:7">
      <c r="A7378" t="s">
        <v>4870</v>
      </c>
      <c r="G7378" t="s">
        <v>4576</v>
      </c>
    </row>
    <row r="7379" spans="1:7">
      <c r="A7379" t="s">
        <v>5004</v>
      </c>
      <c r="G7379" t="s">
        <v>4576</v>
      </c>
    </row>
    <row r="7380" spans="1:7">
      <c r="A7380" t="s">
        <v>4372</v>
      </c>
      <c r="G7380" t="s">
        <v>4576</v>
      </c>
    </row>
    <row r="7381" spans="1:7">
      <c r="A7381" t="s">
        <v>5187</v>
      </c>
      <c r="G7381" t="s">
        <v>4576</v>
      </c>
    </row>
    <row r="7382" spans="1:7">
      <c r="A7382" t="s">
        <v>4734</v>
      </c>
      <c r="G7382" t="s">
        <v>4576</v>
      </c>
    </row>
    <row r="7383" spans="1:8">
      <c r="A7383" t="s">
        <v>5015</v>
      </c>
      <c r="G7383" t="s">
        <v>5481</v>
      </c>
      <c r="H7383">
        <v>4705097</v>
      </c>
    </row>
    <row r="7384" spans="1:8">
      <c r="A7384" t="s">
        <v>4594</v>
      </c>
      <c r="G7384" t="s">
        <v>5482</v>
      </c>
      <c r="H7384">
        <v>4776097</v>
      </c>
    </row>
    <row r="7385" spans="1:7">
      <c r="A7385" t="s">
        <v>4603</v>
      </c>
      <c r="G7385" t="s">
        <v>5482</v>
      </c>
    </row>
    <row r="7386" spans="1:7">
      <c r="A7386" t="s">
        <v>4455</v>
      </c>
      <c r="G7386" t="s">
        <v>5482</v>
      </c>
    </row>
    <row r="7387" spans="1:7">
      <c r="A7387" t="s">
        <v>4085</v>
      </c>
      <c r="G7387" t="s">
        <v>5482</v>
      </c>
    </row>
    <row r="7388" spans="1:7">
      <c r="A7388" t="s">
        <v>5138</v>
      </c>
      <c r="G7388" t="s">
        <v>5482</v>
      </c>
    </row>
    <row r="7389" spans="1:7">
      <c r="A7389" t="s">
        <v>4117</v>
      </c>
      <c r="G7389" t="s">
        <v>5482</v>
      </c>
    </row>
    <row r="7390" spans="1:7">
      <c r="A7390" t="s">
        <v>4589</v>
      </c>
      <c r="G7390" t="s">
        <v>5482</v>
      </c>
    </row>
    <row r="7391" spans="1:7">
      <c r="A7391" t="s">
        <v>4900</v>
      </c>
      <c r="G7391" t="s">
        <v>5482</v>
      </c>
    </row>
    <row r="7392" spans="1:7">
      <c r="A7392" t="s">
        <v>4084</v>
      </c>
      <c r="G7392" t="s">
        <v>5482</v>
      </c>
    </row>
    <row r="7393" spans="1:7">
      <c r="A7393" t="s">
        <v>4232</v>
      </c>
      <c r="G7393" t="s">
        <v>5483</v>
      </c>
    </row>
    <row r="7394" spans="1:7">
      <c r="A7394" t="s">
        <v>5484</v>
      </c>
      <c r="G7394" t="s">
        <v>5485</v>
      </c>
    </row>
    <row r="7395" spans="1:7">
      <c r="A7395" t="s">
        <v>4276</v>
      </c>
      <c r="G7395" t="s">
        <v>5435</v>
      </c>
    </row>
    <row r="7396" spans="1:7">
      <c r="A7396" t="s">
        <v>5332</v>
      </c>
      <c r="G7396" t="s">
        <v>5435</v>
      </c>
    </row>
    <row r="7397" spans="1:7">
      <c r="A7397" t="s">
        <v>4703</v>
      </c>
      <c r="G7397" t="s">
        <v>4077</v>
      </c>
    </row>
    <row r="7398" spans="1:7">
      <c r="A7398" t="s">
        <v>4098</v>
      </c>
      <c r="G7398" t="s">
        <v>4077</v>
      </c>
    </row>
    <row r="7399" spans="1:7">
      <c r="A7399" t="s">
        <v>5208</v>
      </c>
      <c r="G7399" t="s">
        <v>4077</v>
      </c>
    </row>
    <row r="7400" spans="1:7">
      <c r="A7400" t="s">
        <v>4136</v>
      </c>
      <c r="G7400" t="s">
        <v>4077</v>
      </c>
    </row>
    <row r="7401" spans="1:7">
      <c r="A7401" t="s">
        <v>4190</v>
      </c>
      <c r="G7401" t="s">
        <v>4077</v>
      </c>
    </row>
    <row r="7402" spans="1:7">
      <c r="A7402" t="s">
        <v>4656</v>
      </c>
      <c r="G7402" t="s">
        <v>5346</v>
      </c>
    </row>
    <row r="7403" spans="1:7">
      <c r="A7403" t="s">
        <v>4177</v>
      </c>
      <c r="G7403" t="s">
        <v>5346</v>
      </c>
    </row>
    <row r="7404" spans="1:7">
      <c r="A7404" t="s">
        <v>4109</v>
      </c>
      <c r="G7404" t="s">
        <v>5156</v>
      </c>
    </row>
    <row r="7405" spans="1:7">
      <c r="A7405" t="s">
        <v>4659</v>
      </c>
      <c r="G7405" t="s">
        <v>5156</v>
      </c>
    </row>
    <row r="7406" spans="1:7">
      <c r="A7406" t="s">
        <v>5139</v>
      </c>
      <c r="G7406" t="s">
        <v>5288</v>
      </c>
    </row>
    <row r="7407" spans="1:7">
      <c r="A7407" t="s">
        <v>4374</v>
      </c>
      <c r="G7407" t="s">
        <v>5288</v>
      </c>
    </row>
    <row r="7408" spans="1:7">
      <c r="A7408" t="s">
        <v>4956</v>
      </c>
      <c r="G7408" t="s">
        <v>4343</v>
      </c>
    </row>
    <row r="7409" spans="1:7">
      <c r="A7409" t="s">
        <v>4726</v>
      </c>
      <c r="G7409" t="s">
        <v>4343</v>
      </c>
    </row>
    <row r="7410" spans="1:7">
      <c r="A7410" t="s">
        <v>4132</v>
      </c>
      <c r="G7410" t="s">
        <v>4343</v>
      </c>
    </row>
    <row r="7411" spans="1:7">
      <c r="A7411" t="s">
        <v>5363</v>
      </c>
      <c r="G7411" t="s">
        <v>4343</v>
      </c>
    </row>
    <row r="7412" spans="1:7">
      <c r="A7412" t="s">
        <v>4126</v>
      </c>
      <c r="G7412" t="s">
        <v>4343</v>
      </c>
    </row>
    <row r="7413" spans="1:7">
      <c r="A7413" t="s">
        <v>4978</v>
      </c>
      <c r="G7413" t="s">
        <v>4343</v>
      </c>
    </row>
    <row r="7414" spans="1:7">
      <c r="A7414" t="s">
        <v>4007</v>
      </c>
      <c r="G7414" t="s">
        <v>4343</v>
      </c>
    </row>
    <row r="7415" spans="1:7">
      <c r="A7415" t="s">
        <v>4143</v>
      </c>
      <c r="G7415" t="s">
        <v>4343</v>
      </c>
    </row>
    <row r="7416" spans="1:7">
      <c r="A7416" t="s">
        <v>5262</v>
      </c>
      <c r="B7416">
        <v>4934097</v>
      </c>
      <c r="G7416" t="s">
        <v>4343</v>
      </c>
    </row>
    <row r="7417" spans="1:7">
      <c r="A7417" t="s">
        <v>4734</v>
      </c>
      <c r="G7417" t="s">
        <v>4343</v>
      </c>
    </row>
    <row r="7418" spans="1:7">
      <c r="A7418" t="s">
        <v>4951</v>
      </c>
      <c r="G7418" t="s">
        <v>4343</v>
      </c>
    </row>
    <row r="7419" spans="1:8">
      <c r="A7419" t="s">
        <v>5139</v>
      </c>
      <c r="G7419" t="s">
        <v>4343</v>
      </c>
      <c r="H7419">
        <v>4957097</v>
      </c>
    </row>
    <row r="7420" spans="1:7">
      <c r="A7420" t="s">
        <v>4372</v>
      </c>
      <c r="G7420" t="s">
        <v>4343</v>
      </c>
    </row>
    <row r="7421" spans="1:7">
      <c r="A7421" t="s">
        <v>4143</v>
      </c>
      <c r="G7421" t="s">
        <v>4343</v>
      </c>
    </row>
    <row r="7422" spans="1:7">
      <c r="A7422" t="s">
        <v>5187</v>
      </c>
      <c r="G7422" t="s">
        <v>4343</v>
      </c>
    </row>
    <row r="7423" spans="1:7">
      <c r="A7423" t="s">
        <v>4603</v>
      </c>
      <c r="G7423" t="s">
        <v>4343</v>
      </c>
    </row>
    <row r="7424" spans="1:7">
      <c r="A7424" t="s">
        <v>5004</v>
      </c>
      <c r="G7424" t="s">
        <v>4343</v>
      </c>
    </row>
    <row r="7425" spans="1:8">
      <c r="A7425" t="s">
        <v>4455</v>
      </c>
      <c r="G7425" t="s">
        <v>4343</v>
      </c>
      <c r="H7425">
        <v>4787097</v>
      </c>
    </row>
    <row r="7426" spans="1:7">
      <c r="A7426" t="s">
        <v>4079</v>
      </c>
      <c r="G7426" t="s">
        <v>4343</v>
      </c>
    </row>
    <row r="7427" spans="1:7">
      <c r="A7427" t="s">
        <v>4085</v>
      </c>
      <c r="G7427" t="s">
        <v>4343</v>
      </c>
    </row>
    <row r="7428" spans="1:7">
      <c r="A7428" t="s">
        <v>4117</v>
      </c>
      <c r="G7428" t="s">
        <v>4977</v>
      </c>
    </row>
    <row r="7429" spans="1:7">
      <c r="A7429" t="s">
        <v>4900</v>
      </c>
      <c r="G7429" t="s">
        <v>4977</v>
      </c>
    </row>
    <row r="7430" spans="1:7">
      <c r="A7430" t="s">
        <v>4589</v>
      </c>
      <c r="G7430" t="s">
        <v>5224</v>
      </c>
    </row>
    <row r="7431" spans="1:7">
      <c r="A7431" t="s">
        <v>4594</v>
      </c>
      <c r="G7431" t="s">
        <v>5224</v>
      </c>
    </row>
    <row r="7432" spans="1:8">
      <c r="A7432" t="s">
        <v>4370</v>
      </c>
      <c r="G7432" t="s">
        <v>5224</v>
      </c>
      <c r="H7432">
        <v>5119097</v>
      </c>
    </row>
    <row r="7433" spans="1:8">
      <c r="A7433" t="s">
        <v>4978</v>
      </c>
      <c r="G7433" t="s">
        <v>5224</v>
      </c>
      <c r="H7433">
        <v>5010097</v>
      </c>
    </row>
    <row r="7434" spans="1:7">
      <c r="A7434" t="s">
        <v>4084</v>
      </c>
      <c r="G7434" t="s">
        <v>5224</v>
      </c>
    </row>
    <row r="7435" spans="1:7">
      <c r="A7435" t="s">
        <v>4276</v>
      </c>
      <c r="G7435" t="s">
        <v>5224</v>
      </c>
    </row>
    <row r="7436" spans="1:7">
      <c r="A7436" t="s">
        <v>4244</v>
      </c>
      <c r="G7436" t="s">
        <v>5224</v>
      </c>
    </row>
    <row r="7437" spans="1:7">
      <c r="A7437" t="s">
        <v>4097</v>
      </c>
      <c r="G7437" t="s">
        <v>5253</v>
      </c>
    </row>
    <row r="7438" spans="1:7">
      <c r="A7438" t="s">
        <v>4374</v>
      </c>
      <c r="G7438" t="s">
        <v>5405</v>
      </c>
    </row>
    <row r="7439" spans="1:7">
      <c r="A7439" t="s">
        <v>4703</v>
      </c>
      <c r="G7439" t="s">
        <v>5405</v>
      </c>
    </row>
    <row r="7440" spans="1:7">
      <c r="A7440" t="s">
        <v>4136</v>
      </c>
      <c r="G7440" t="s">
        <v>5405</v>
      </c>
    </row>
    <row r="7441" spans="1:7">
      <c r="A7441" t="s">
        <v>5208</v>
      </c>
      <c r="G7441" t="s">
        <v>4623</v>
      </c>
    </row>
    <row r="7442" spans="1:7">
      <c r="A7442" t="s">
        <v>4656</v>
      </c>
      <c r="G7442" t="s">
        <v>4623</v>
      </c>
    </row>
    <row r="7443" spans="1:7">
      <c r="A7443" t="s">
        <v>5209</v>
      </c>
      <c r="G7443" t="s">
        <v>4623</v>
      </c>
    </row>
    <row r="7444" spans="1:7">
      <c r="A7444" t="s">
        <v>4109</v>
      </c>
      <c r="G7444" t="s">
        <v>4623</v>
      </c>
    </row>
    <row r="7445" spans="1:7">
      <c r="A7445" t="s">
        <v>4981</v>
      </c>
      <c r="G7445" t="s">
        <v>4623</v>
      </c>
    </row>
    <row r="7446" spans="1:8">
      <c r="A7446" t="s">
        <v>5133</v>
      </c>
      <c r="G7446" t="s">
        <v>4623</v>
      </c>
      <c r="H7446">
        <v>4973097</v>
      </c>
    </row>
    <row r="7447" spans="1:7">
      <c r="A7447" t="s">
        <v>5331</v>
      </c>
      <c r="G7447" t="s">
        <v>4623</v>
      </c>
    </row>
    <row r="7448" spans="1:7">
      <c r="A7448" t="s">
        <v>4726</v>
      </c>
      <c r="G7448" t="s">
        <v>4623</v>
      </c>
    </row>
    <row r="7449" spans="1:7">
      <c r="A7449" t="s">
        <v>4098</v>
      </c>
      <c r="G7449" t="s">
        <v>4623</v>
      </c>
    </row>
    <row r="7450" spans="1:7">
      <c r="A7450" t="s">
        <v>4126</v>
      </c>
      <c r="G7450" t="s">
        <v>4623</v>
      </c>
    </row>
    <row r="7451" spans="1:7">
      <c r="A7451" t="s">
        <v>4769</v>
      </c>
      <c r="G7451" t="s">
        <v>4623</v>
      </c>
    </row>
    <row r="7452" spans="1:7">
      <c r="A7452" t="s">
        <v>5138</v>
      </c>
      <c r="G7452" t="s">
        <v>4623</v>
      </c>
    </row>
    <row r="7453" spans="1:7">
      <c r="A7453" t="s">
        <v>5015</v>
      </c>
      <c r="G7453" t="s">
        <v>4623</v>
      </c>
    </row>
    <row r="7454" spans="1:7">
      <c r="A7454" t="s">
        <v>4232</v>
      </c>
      <c r="G7454" t="s">
        <v>4623</v>
      </c>
    </row>
    <row r="7455" spans="1:7">
      <c r="A7455" t="s">
        <v>4132</v>
      </c>
      <c r="G7455" t="s">
        <v>4623</v>
      </c>
    </row>
    <row r="7456" spans="1:7">
      <c r="A7456" t="s">
        <v>4242</v>
      </c>
      <c r="G7456" t="s">
        <v>4834</v>
      </c>
    </row>
    <row r="7457" spans="1:7">
      <c r="A7457" t="s">
        <v>4417</v>
      </c>
      <c r="G7457" t="s">
        <v>5374</v>
      </c>
    </row>
    <row r="7458" spans="1:7">
      <c r="A7458" t="s">
        <v>4588</v>
      </c>
      <c r="B7458">
        <v>4932097</v>
      </c>
      <c r="G7458" t="s">
        <v>5374</v>
      </c>
    </row>
    <row r="7459" spans="1:7">
      <c r="A7459" t="s">
        <v>4981</v>
      </c>
      <c r="G7459" t="s">
        <v>5374</v>
      </c>
    </row>
    <row r="7460" spans="1:7">
      <c r="A7460" t="s">
        <v>4800</v>
      </c>
      <c r="G7460" t="s">
        <v>5374</v>
      </c>
    </row>
    <row r="7461" spans="1:7">
      <c r="A7461" t="s">
        <v>4143</v>
      </c>
      <c r="G7461" t="s">
        <v>5283</v>
      </c>
    </row>
    <row r="7462" spans="1:7">
      <c r="A7462" t="s">
        <v>4417</v>
      </c>
      <c r="G7462" t="s">
        <v>5283</v>
      </c>
    </row>
    <row r="7463" spans="1:7">
      <c r="A7463" t="s">
        <v>4870</v>
      </c>
      <c r="G7463" t="s">
        <v>5283</v>
      </c>
    </row>
    <row r="7464" spans="1:7">
      <c r="A7464" t="s">
        <v>4232</v>
      </c>
      <c r="G7464" t="s">
        <v>5283</v>
      </c>
    </row>
    <row r="7465" spans="1:7">
      <c r="A7465" t="s">
        <v>4900</v>
      </c>
      <c r="G7465" t="s">
        <v>5283</v>
      </c>
    </row>
    <row r="7466" spans="1:7">
      <c r="A7466" t="s">
        <v>5004</v>
      </c>
      <c r="G7466" t="s">
        <v>5283</v>
      </c>
    </row>
    <row r="7467" spans="1:7">
      <c r="A7467" t="s">
        <v>4524</v>
      </c>
      <c r="G7467" t="s">
        <v>4667</v>
      </c>
    </row>
    <row r="7468" spans="1:7">
      <c r="A7468" t="s">
        <v>4589</v>
      </c>
      <c r="G7468" t="s">
        <v>4667</v>
      </c>
    </row>
    <row r="7469" spans="1:7">
      <c r="A7469" t="s">
        <v>4147</v>
      </c>
      <c r="G7469" t="s">
        <v>4667</v>
      </c>
    </row>
    <row r="7470" spans="1:7">
      <c r="A7470" t="s">
        <v>4878</v>
      </c>
      <c r="B7470">
        <v>4924097</v>
      </c>
      <c r="G7470" t="s">
        <v>5486</v>
      </c>
    </row>
    <row r="7471" spans="1:7">
      <c r="A7471" t="s">
        <v>4079</v>
      </c>
      <c r="G7471" t="s">
        <v>5384</v>
      </c>
    </row>
    <row r="7472" spans="1:8">
      <c r="A7472" t="s">
        <v>4455</v>
      </c>
      <c r="G7472" t="s">
        <v>5384</v>
      </c>
      <c r="H7472">
        <v>4997097</v>
      </c>
    </row>
    <row r="7473" spans="1:7">
      <c r="A7473" t="s">
        <v>4085</v>
      </c>
      <c r="G7473" t="s">
        <v>5056</v>
      </c>
    </row>
    <row r="7474" spans="1:7">
      <c r="A7474" t="s">
        <v>4117</v>
      </c>
      <c r="G7474" t="s">
        <v>5056</v>
      </c>
    </row>
    <row r="7475" spans="1:7">
      <c r="A7475" t="s">
        <v>5138</v>
      </c>
      <c r="G7475" t="s">
        <v>4922</v>
      </c>
    </row>
    <row r="7476" spans="1:7">
      <c r="A7476" t="s">
        <v>4132</v>
      </c>
      <c r="G7476" t="s">
        <v>4922</v>
      </c>
    </row>
    <row r="7477" spans="1:7">
      <c r="A7477" t="s">
        <v>4515</v>
      </c>
      <c r="G7477" t="s">
        <v>4922</v>
      </c>
    </row>
    <row r="7478" spans="1:7">
      <c r="A7478" t="s">
        <v>5300</v>
      </c>
      <c r="G7478" t="s">
        <v>4922</v>
      </c>
    </row>
    <row r="7479" spans="1:7">
      <c r="A7479" t="s">
        <v>4594</v>
      </c>
      <c r="G7479" t="s">
        <v>4922</v>
      </c>
    </row>
    <row r="7480" spans="1:7">
      <c r="A7480" t="s">
        <v>5015</v>
      </c>
      <c r="G7480" t="s">
        <v>4922</v>
      </c>
    </row>
    <row r="7481" spans="1:7">
      <c r="A7481" t="s">
        <v>4978</v>
      </c>
      <c r="G7481" t="s">
        <v>5194</v>
      </c>
    </row>
    <row r="7482" spans="1:8">
      <c r="A7482" t="s">
        <v>4084</v>
      </c>
      <c r="G7482" t="s">
        <v>3989</v>
      </c>
      <c r="H7482">
        <v>5662097</v>
      </c>
    </row>
    <row r="7483" spans="1:7">
      <c r="A7483" t="s">
        <v>4276</v>
      </c>
      <c r="G7483" t="s">
        <v>4660</v>
      </c>
    </row>
    <row r="7484" spans="1:7">
      <c r="A7484" t="s">
        <v>5234</v>
      </c>
      <c r="G7484" t="s">
        <v>5019</v>
      </c>
    </row>
    <row r="7485" spans="1:8">
      <c r="A7485" t="s">
        <v>4703</v>
      </c>
      <c r="G7485" t="s">
        <v>5019</v>
      </c>
      <c r="H7485">
        <v>4975097</v>
      </c>
    </row>
    <row r="7486" spans="1:7">
      <c r="A7486" t="s">
        <v>4799</v>
      </c>
      <c r="G7486" t="s">
        <v>5019</v>
      </c>
    </row>
    <row r="7487" spans="1:7">
      <c r="A7487" t="s">
        <v>5208</v>
      </c>
      <c r="G7487" t="s">
        <v>5019</v>
      </c>
    </row>
    <row r="7488" spans="1:7">
      <c r="A7488" t="s">
        <v>4136</v>
      </c>
      <c r="G7488" t="s">
        <v>5019</v>
      </c>
    </row>
    <row r="7489" spans="1:8">
      <c r="A7489" t="s">
        <v>4656</v>
      </c>
      <c r="G7489" t="s">
        <v>4156</v>
      </c>
      <c r="H7489">
        <v>5606097</v>
      </c>
    </row>
    <row r="7490" spans="1:7">
      <c r="A7490" t="s">
        <v>4109</v>
      </c>
      <c r="G7490" t="s">
        <v>4156</v>
      </c>
    </row>
    <row r="7491" spans="1:7">
      <c r="A7491" t="s">
        <v>5188</v>
      </c>
      <c r="G7491" t="s">
        <v>4156</v>
      </c>
    </row>
    <row r="7492" spans="1:7">
      <c r="A7492" t="s">
        <v>4687</v>
      </c>
      <c r="G7492" t="s">
        <v>4156</v>
      </c>
    </row>
    <row r="7493" spans="1:7">
      <c r="A7493" t="s">
        <v>4437</v>
      </c>
      <c r="G7493" t="s">
        <v>4156</v>
      </c>
    </row>
    <row r="7494" spans="1:7">
      <c r="A7494" t="s">
        <v>4415</v>
      </c>
      <c r="G7494" t="s">
        <v>4156</v>
      </c>
    </row>
    <row r="7495" spans="1:7">
      <c r="A7495" t="s">
        <v>5328</v>
      </c>
      <c r="B7495">
        <v>4930097</v>
      </c>
      <c r="G7495" t="s">
        <v>4156</v>
      </c>
    </row>
    <row r="7496" spans="1:7">
      <c r="A7496" t="s">
        <v>5427</v>
      </c>
      <c r="G7496" t="s">
        <v>4156</v>
      </c>
    </row>
    <row r="7497" spans="1:7">
      <c r="A7497" t="s">
        <v>5369</v>
      </c>
      <c r="G7497" t="s">
        <v>4156</v>
      </c>
    </row>
    <row r="7498" spans="1:7">
      <c r="A7498" t="s">
        <v>5374</v>
      </c>
      <c r="G7498" t="s">
        <v>4156</v>
      </c>
    </row>
    <row r="7499" spans="1:7">
      <c r="A7499" t="s">
        <v>4923</v>
      </c>
      <c r="G7499" t="s">
        <v>4156</v>
      </c>
    </row>
    <row r="7500" spans="1:7">
      <c r="A7500" t="s">
        <v>5332</v>
      </c>
      <c r="G7500" t="s">
        <v>4156</v>
      </c>
    </row>
    <row r="7501" spans="1:7">
      <c r="A7501" t="s">
        <v>4737</v>
      </c>
      <c r="G7501" t="s">
        <v>4190</v>
      </c>
    </row>
    <row r="7502" spans="1:7">
      <c r="A7502" t="s">
        <v>4990</v>
      </c>
      <c r="G7502" t="s">
        <v>4190</v>
      </c>
    </row>
    <row r="7503" spans="1:7">
      <c r="A7503" t="s">
        <v>5035</v>
      </c>
      <c r="G7503" t="s">
        <v>4190</v>
      </c>
    </row>
    <row r="7504" spans="1:7">
      <c r="A7504" t="s">
        <v>5413</v>
      </c>
      <c r="G7504" t="s">
        <v>4190</v>
      </c>
    </row>
    <row r="7505" spans="1:7">
      <c r="A7505" t="s">
        <v>4659</v>
      </c>
      <c r="G7505" t="s">
        <v>4190</v>
      </c>
    </row>
    <row r="7506" spans="1:7">
      <c r="A7506" t="s">
        <v>4131</v>
      </c>
      <c r="B7506">
        <v>4923097</v>
      </c>
      <c r="G7506" t="s">
        <v>4190</v>
      </c>
    </row>
    <row r="7507" spans="1:8">
      <c r="A7507" t="s">
        <v>4291</v>
      </c>
      <c r="G7507" t="s">
        <v>4190</v>
      </c>
      <c r="H7507">
        <v>4958097</v>
      </c>
    </row>
    <row r="7508" spans="1:7">
      <c r="A7508" t="s">
        <v>5015</v>
      </c>
      <c r="G7508" t="s">
        <v>4190</v>
      </c>
    </row>
    <row r="7509" spans="1:7">
      <c r="A7509" t="s">
        <v>4998</v>
      </c>
      <c r="G7509" t="s">
        <v>4190</v>
      </c>
    </row>
    <row r="7510" spans="1:7">
      <c r="A7510" t="s">
        <v>4921</v>
      </c>
      <c r="G7510" t="s">
        <v>4190</v>
      </c>
    </row>
    <row r="7511" spans="1:7">
      <c r="A7511" t="s">
        <v>5019</v>
      </c>
      <c r="G7511" t="s">
        <v>4190</v>
      </c>
    </row>
    <row r="7512" spans="1:7">
      <c r="A7512" t="s">
        <v>5049</v>
      </c>
      <c r="G7512" t="s">
        <v>4190</v>
      </c>
    </row>
    <row r="7513" spans="1:7">
      <c r="A7513" t="s">
        <v>4562</v>
      </c>
      <c r="G7513" t="s">
        <v>4190</v>
      </c>
    </row>
    <row r="7514" spans="1:7">
      <c r="A7514" t="s">
        <v>5367</v>
      </c>
      <c r="G7514" t="s">
        <v>4190</v>
      </c>
    </row>
    <row r="7515" spans="1:7">
      <c r="A7515" t="s">
        <v>5419</v>
      </c>
      <c r="G7515" t="s">
        <v>4190</v>
      </c>
    </row>
    <row r="7516" spans="1:8">
      <c r="A7516" t="s">
        <v>5335</v>
      </c>
      <c r="G7516" t="s">
        <v>5487</v>
      </c>
      <c r="H7516">
        <v>4774097</v>
      </c>
    </row>
    <row r="7517" spans="1:7">
      <c r="A7517" t="s">
        <v>5233</v>
      </c>
      <c r="G7517" t="s">
        <v>5487</v>
      </c>
    </row>
    <row r="7518" spans="1:7">
      <c r="A7518" t="s">
        <v>4374</v>
      </c>
      <c r="G7518" t="s">
        <v>5487</v>
      </c>
    </row>
    <row r="7519" spans="1:7">
      <c r="A7519" t="s">
        <v>5222</v>
      </c>
      <c r="G7519" t="s">
        <v>4989</v>
      </c>
    </row>
    <row r="7520" spans="1:7">
      <c r="A7520" t="s">
        <v>5322</v>
      </c>
      <c r="G7520" t="s">
        <v>4989</v>
      </c>
    </row>
    <row r="7521" spans="1:7">
      <c r="A7521" t="s">
        <v>4623</v>
      </c>
      <c r="G7521" t="s">
        <v>4989</v>
      </c>
    </row>
    <row r="7522" spans="1:7">
      <c r="A7522" t="s">
        <v>4809</v>
      </c>
      <c r="G7522" t="s">
        <v>4989</v>
      </c>
    </row>
    <row r="7523" spans="1:7">
      <c r="A7523" t="s">
        <v>5358</v>
      </c>
      <c r="G7523" t="s">
        <v>4989</v>
      </c>
    </row>
    <row r="7524" spans="1:7">
      <c r="A7524" t="s">
        <v>5370</v>
      </c>
      <c r="G7524" t="s">
        <v>4989</v>
      </c>
    </row>
    <row r="7525" spans="1:7">
      <c r="A7525" t="s">
        <v>4117</v>
      </c>
      <c r="G7525" t="s">
        <v>4989</v>
      </c>
    </row>
    <row r="7526" spans="1:7">
      <c r="A7526" t="s">
        <v>4993</v>
      </c>
      <c r="G7526" t="s">
        <v>4989</v>
      </c>
    </row>
    <row r="7527" spans="1:8">
      <c r="A7527" t="s">
        <v>4143</v>
      </c>
      <c r="G7527" t="s">
        <v>4989</v>
      </c>
      <c r="H7527">
        <v>4794097</v>
      </c>
    </row>
    <row r="7528" spans="1:7">
      <c r="A7528" t="s">
        <v>5488</v>
      </c>
      <c r="G7528" t="s">
        <v>4989</v>
      </c>
    </row>
    <row r="7529" spans="1:7">
      <c r="A7529" t="s">
        <v>5187</v>
      </c>
      <c r="G7529" t="s">
        <v>5489</v>
      </c>
    </row>
    <row r="7530" spans="1:7">
      <c r="A7530" t="s">
        <v>5375</v>
      </c>
      <c r="G7530" t="s">
        <v>5489</v>
      </c>
    </row>
    <row r="7531" spans="1:7">
      <c r="A7531" t="s">
        <v>4147</v>
      </c>
      <c r="G7531" t="s">
        <v>5489</v>
      </c>
    </row>
    <row r="7532" spans="1:7">
      <c r="A7532" t="s">
        <v>5486</v>
      </c>
      <c r="G7532" t="s">
        <v>5489</v>
      </c>
    </row>
    <row r="7533" spans="1:7">
      <c r="A7533" t="s">
        <v>4741</v>
      </c>
      <c r="G7533" t="s">
        <v>5410</v>
      </c>
    </row>
    <row r="7534" spans="1:7">
      <c r="A7534" t="s">
        <v>4153</v>
      </c>
      <c r="G7534" t="s">
        <v>5410</v>
      </c>
    </row>
    <row r="7535" spans="1:7">
      <c r="A7535" t="s">
        <v>5336</v>
      </c>
      <c r="G7535" t="s">
        <v>5410</v>
      </c>
    </row>
    <row r="7536" spans="1:7">
      <c r="A7536" t="s">
        <v>5373</v>
      </c>
      <c r="G7536" t="s">
        <v>5410</v>
      </c>
    </row>
    <row r="7537" spans="1:7">
      <c r="A7537" t="s">
        <v>4276</v>
      </c>
      <c r="G7537" t="s">
        <v>5410</v>
      </c>
    </row>
    <row r="7538" spans="1:7">
      <c r="A7538" t="s">
        <v>5371</v>
      </c>
      <c r="G7538" t="s">
        <v>5410</v>
      </c>
    </row>
    <row r="7539" spans="1:7">
      <c r="A7539" t="s">
        <v>4656</v>
      </c>
      <c r="G7539" t="s">
        <v>5490</v>
      </c>
    </row>
    <row r="7540" spans="1:7">
      <c r="A7540" t="s">
        <v>5138</v>
      </c>
      <c r="G7540" t="s">
        <v>5490</v>
      </c>
    </row>
    <row r="7541" spans="1:7">
      <c r="A7541" t="s">
        <v>4085</v>
      </c>
      <c r="G7541" t="s">
        <v>5490</v>
      </c>
    </row>
    <row r="7542" spans="1:7">
      <c r="A7542" t="s">
        <v>4190</v>
      </c>
      <c r="G7542" t="s">
        <v>5490</v>
      </c>
    </row>
    <row r="7543" spans="1:7">
      <c r="A7543" t="s">
        <v>5366</v>
      </c>
      <c r="G7543" t="s">
        <v>5490</v>
      </c>
    </row>
    <row r="7544" spans="1:7">
      <c r="A7544" t="s">
        <v>5234</v>
      </c>
      <c r="G7544" t="s">
        <v>4352</v>
      </c>
    </row>
    <row r="7545" spans="1:7">
      <c r="A7545" t="s">
        <v>4666</v>
      </c>
      <c r="G7545" t="s">
        <v>4352</v>
      </c>
    </row>
    <row r="7546" spans="1:7">
      <c r="A7546" t="s">
        <v>5367</v>
      </c>
      <c r="B7546">
        <v>4929097</v>
      </c>
      <c r="G7546" t="s">
        <v>4352</v>
      </c>
    </row>
    <row r="7547" spans="1:7">
      <c r="A7547" t="s">
        <v>5222</v>
      </c>
      <c r="G7547" t="s">
        <v>4352</v>
      </c>
    </row>
    <row r="7548" spans="1:7">
      <c r="A7548" t="s">
        <v>4731</v>
      </c>
      <c r="G7548" t="s">
        <v>4352</v>
      </c>
    </row>
    <row r="7549" spans="1:7">
      <c r="A7549" t="s">
        <v>5336</v>
      </c>
      <c r="G7549" t="s">
        <v>4352</v>
      </c>
    </row>
    <row r="7550" spans="1:7">
      <c r="A7550" t="s">
        <v>5480</v>
      </c>
      <c r="G7550" t="s">
        <v>4352</v>
      </c>
    </row>
    <row r="7551" spans="1:7">
      <c r="A7551" t="s">
        <v>4656</v>
      </c>
      <c r="G7551" t="s">
        <v>4352</v>
      </c>
    </row>
    <row r="7552" spans="1:7">
      <c r="A7552" t="s">
        <v>4085</v>
      </c>
      <c r="G7552" t="s">
        <v>4352</v>
      </c>
    </row>
    <row r="7553" spans="1:7">
      <c r="A7553" t="s">
        <v>5036</v>
      </c>
      <c r="B7553">
        <v>4922097</v>
      </c>
      <c r="G7553" t="s">
        <v>4352</v>
      </c>
    </row>
    <row r="7554" spans="1:7">
      <c r="A7554" t="s">
        <v>5138</v>
      </c>
      <c r="G7554" t="s">
        <v>4352</v>
      </c>
    </row>
    <row r="7555" spans="1:7">
      <c r="A7555" t="s">
        <v>4659</v>
      </c>
      <c r="G7555" t="s">
        <v>4352</v>
      </c>
    </row>
    <row r="7556" spans="1:7">
      <c r="A7556" t="s">
        <v>5366</v>
      </c>
      <c r="G7556" t="s">
        <v>4352</v>
      </c>
    </row>
    <row r="7557" spans="1:7">
      <c r="A7557" t="s">
        <v>5015</v>
      </c>
      <c r="G7557" t="s">
        <v>4352</v>
      </c>
    </row>
    <row r="7558" spans="1:7">
      <c r="A7558" t="s">
        <v>4276</v>
      </c>
      <c r="G7558" t="s">
        <v>4352</v>
      </c>
    </row>
    <row r="7559" spans="1:7">
      <c r="A7559" t="s">
        <v>4666</v>
      </c>
      <c r="G7559" t="s">
        <v>4352</v>
      </c>
    </row>
    <row r="7560" spans="1:7">
      <c r="A7560" t="s">
        <v>4169</v>
      </c>
      <c r="G7560" t="s">
        <v>4352</v>
      </c>
    </row>
    <row r="7561" spans="1:8">
      <c r="A7561" t="s">
        <v>4131</v>
      </c>
      <c r="G7561" t="s">
        <v>4352</v>
      </c>
      <c r="H7561">
        <v>4860097</v>
      </c>
    </row>
    <row r="7562" spans="1:7">
      <c r="A7562" t="s">
        <v>5234</v>
      </c>
      <c r="G7562" t="s">
        <v>4352</v>
      </c>
    </row>
    <row r="7563" spans="1:7">
      <c r="A7563" t="s">
        <v>4291</v>
      </c>
      <c r="G7563" t="s">
        <v>4352</v>
      </c>
    </row>
    <row r="7564" spans="1:7">
      <c r="A7564" t="s">
        <v>5368</v>
      </c>
      <c r="G7564" t="s">
        <v>4352</v>
      </c>
    </row>
    <row r="7565" spans="1:7">
      <c r="A7565" t="s">
        <v>5049</v>
      </c>
      <c r="G7565" t="s">
        <v>4352</v>
      </c>
    </row>
    <row r="7566" spans="1:7">
      <c r="A7566" t="s">
        <v>4562</v>
      </c>
      <c r="G7566" t="s">
        <v>4352</v>
      </c>
    </row>
    <row r="7567" spans="1:7">
      <c r="A7567" t="s">
        <v>5035</v>
      </c>
      <c r="G7567" t="s">
        <v>4352</v>
      </c>
    </row>
    <row r="7568" spans="1:7">
      <c r="A7568" t="s">
        <v>4921</v>
      </c>
      <c r="G7568" t="s">
        <v>4352</v>
      </c>
    </row>
    <row r="7569" spans="1:8">
      <c r="A7569" t="s">
        <v>5123</v>
      </c>
      <c r="G7569" t="s">
        <v>4352</v>
      </c>
      <c r="H7569">
        <v>4846097</v>
      </c>
    </row>
    <row r="7570" spans="1:7">
      <c r="A7570" t="s">
        <v>4623</v>
      </c>
      <c r="G7570" t="s">
        <v>4352</v>
      </c>
    </row>
    <row r="7571" spans="1:7">
      <c r="A7571" t="s">
        <v>4999</v>
      </c>
      <c r="G7571" t="s">
        <v>4352</v>
      </c>
    </row>
    <row r="7572" spans="1:7">
      <c r="A7572" t="s">
        <v>5333</v>
      </c>
      <c r="G7572" t="s">
        <v>4352</v>
      </c>
    </row>
    <row r="7573" spans="1:7">
      <c r="A7573" t="s">
        <v>5322</v>
      </c>
      <c r="G7573" t="s">
        <v>4352</v>
      </c>
    </row>
    <row r="7574" spans="1:7">
      <c r="A7574" t="s">
        <v>5328</v>
      </c>
      <c r="G7574" t="s">
        <v>4352</v>
      </c>
    </row>
    <row r="7575" spans="1:7">
      <c r="A7575" t="s">
        <v>5370</v>
      </c>
      <c r="G7575" t="s">
        <v>4352</v>
      </c>
    </row>
    <row r="7576" spans="1:7">
      <c r="A7576" t="s">
        <v>5491</v>
      </c>
      <c r="G7576" t="s">
        <v>4352</v>
      </c>
    </row>
    <row r="7577" spans="1:7">
      <c r="A7577" t="s">
        <v>4978</v>
      </c>
      <c r="G7577" t="s">
        <v>4352</v>
      </c>
    </row>
    <row r="7578" spans="1:7">
      <c r="A7578" t="s">
        <v>4534</v>
      </c>
      <c r="G7578" t="s">
        <v>4352</v>
      </c>
    </row>
    <row r="7579" spans="1:7">
      <c r="A7579" t="s">
        <v>4900</v>
      </c>
      <c r="G7579" t="s">
        <v>4352</v>
      </c>
    </row>
    <row r="7580" spans="1:7">
      <c r="A7580" t="s">
        <v>4117</v>
      </c>
      <c r="G7580" t="s">
        <v>4352</v>
      </c>
    </row>
    <row r="7581" spans="1:7">
      <c r="A7581" t="s">
        <v>5315</v>
      </c>
      <c r="G7581" t="s">
        <v>4352</v>
      </c>
    </row>
    <row r="7582" spans="1:7">
      <c r="A7582" t="s">
        <v>5492</v>
      </c>
      <c r="G7582" t="s">
        <v>4352</v>
      </c>
    </row>
    <row r="7583" spans="1:7">
      <c r="A7583" t="s">
        <v>5371</v>
      </c>
      <c r="G7583" t="s">
        <v>4352</v>
      </c>
    </row>
    <row r="7584" spans="1:7">
      <c r="A7584" t="s">
        <v>5493</v>
      </c>
      <c r="G7584" t="s">
        <v>4352</v>
      </c>
    </row>
    <row r="7585" spans="1:7">
      <c r="A7585" t="s">
        <v>4147</v>
      </c>
      <c r="G7585" t="s">
        <v>4352</v>
      </c>
    </row>
    <row r="7586" spans="1:7">
      <c r="A7586" t="s">
        <v>5045</v>
      </c>
      <c r="G7586" t="s">
        <v>4352</v>
      </c>
    </row>
    <row r="7587" spans="1:7">
      <c r="A7587" t="s">
        <v>4538</v>
      </c>
      <c r="G7587" t="s">
        <v>4352</v>
      </c>
    </row>
    <row r="7588" spans="1:7">
      <c r="A7588" t="s">
        <v>5373</v>
      </c>
      <c r="G7588" t="s">
        <v>4352</v>
      </c>
    </row>
    <row r="7589" spans="1:7">
      <c r="A7589" t="s">
        <v>4143</v>
      </c>
      <c r="G7589" t="s">
        <v>4352</v>
      </c>
    </row>
    <row r="7590" spans="1:7">
      <c r="A7590" t="s">
        <v>5375</v>
      </c>
      <c r="G7590" t="s">
        <v>4352</v>
      </c>
    </row>
    <row r="7591" spans="1:7">
      <c r="A7591" t="s">
        <v>5494</v>
      </c>
      <c r="G7591" t="s">
        <v>4352</v>
      </c>
    </row>
    <row r="7592" spans="1:7">
      <c r="A7592" t="s">
        <v>4052</v>
      </c>
      <c r="B7592">
        <v>4921097</v>
      </c>
      <c r="G7592" t="s">
        <v>4352</v>
      </c>
    </row>
    <row r="7593" spans="1:7">
      <c r="A7593" t="s">
        <v>4742</v>
      </c>
      <c r="G7593" t="s">
        <v>4352</v>
      </c>
    </row>
    <row r="7594" spans="1:7">
      <c r="A7594" t="s">
        <v>4153</v>
      </c>
      <c r="G7594" t="s">
        <v>4352</v>
      </c>
    </row>
    <row r="7595" spans="1:7">
      <c r="A7595" t="s">
        <v>4613</v>
      </c>
      <c r="G7595" t="s">
        <v>4352</v>
      </c>
    </row>
    <row r="7596" spans="1:7">
      <c r="A7596" t="s">
        <v>4998</v>
      </c>
      <c r="G7596" t="s">
        <v>4711</v>
      </c>
    </row>
    <row r="7597" spans="1:7">
      <c r="A7597" t="s">
        <v>4745</v>
      </c>
      <c r="G7597" t="s">
        <v>5441</v>
      </c>
    </row>
    <row r="7598" spans="1:7">
      <c r="A7598" t="s">
        <v>5413</v>
      </c>
      <c r="G7598" t="s">
        <v>5302</v>
      </c>
    </row>
    <row r="7599" spans="1:7">
      <c r="A7599" t="s">
        <v>4285</v>
      </c>
      <c r="G7599" t="s">
        <v>5302</v>
      </c>
    </row>
    <row r="7600" spans="1:7">
      <c r="A7600" t="s">
        <v>4545</v>
      </c>
      <c r="B7600">
        <v>4924097</v>
      </c>
      <c r="G7600" t="s">
        <v>5302</v>
      </c>
    </row>
    <row r="7601" spans="1:7">
      <c r="A7601" t="s">
        <v>4286</v>
      </c>
      <c r="G7601" t="s">
        <v>5302</v>
      </c>
    </row>
    <row r="7602" spans="1:7">
      <c r="A7602" t="s">
        <v>4088</v>
      </c>
      <c r="G7602" t="s">
        <v>4649</v>
      </c>
    </row>
    <row r="7603" spans="1:7">
      <c r="A7603" t="s">
        <v>5495</v>
      </c>
      <c r="G7603" t="s">
        <v>4362</v>
      </c>
    </row>
    <row r="7604" spans="1:7">
      <c r="A7604" t="s">
        <v>4264</v>
      </c>
      <c r="G7604" t="s">
        <v>4362</v>
      </c>
    </row>
    <row r="7605" spans="1:7">
      <c r="A7605" t="s">
        <v>4173</v>
      </c>
      <c r="G7605" t="s">
        <v>4362</v>
      </c>
    </row>
    <row r="7606" spans="1:7">
      <c r="A7606" t="s">
        <v>4103</v>
      </c>
      <c r="G7606" t="s">
        <v>4362</v>
      </c>
    </row>
    <row r="7607" spans="1:7">
      <c r="A7607" t="s">
        <v>5186</v>
      </c>
      <c r="G7607" t="s">
        <v>4362</v>
      </c>
    </row>
    <row r="7608" spans="1:7">
      <c r="A7608" t="s">
        <v>4422</v>
      </c>
      <c r="G7608" t="s">
        <v>4362</v>
      </c>
    </row>
    <row r="7609" spans="1:7">
      <c r="A7609" t="s">
        <v>4978</v>
      </c>
      <c r="G7609" t="s">
        <v>4362</v>
      </c>
    </row>
    <row r="7610" spans="1:7">
      <c r="A7610" t="s">
        <v>4132</v>
      </c>
      <c r="G7610" t="s">
        <v>4362</v>
      </c>
    </row>
    <row r="7611" spans="1:7">
      <c r="A7611" t="s">
        <v>4870</v>
      </c>
      <c r="G7611" t="s">
        <v>4362</v>
      </c>
    </row>
    <row r="7612" spans="1:7">
      <c r="A7612" t="s">
        <v>4092</v>
      </c>
      <c r="G7612" t="s">
        <v>4362</v>
      </c>
    </row>
    <row r="7613" spans="1:7">
      <c r="A7613" t="s">
        <v>4401</v>
      </c>
      <c r="G7613" t="s">
        <v>4362</v>
      </c>
    </row>
    <row r="7614" spans="1:7">
      <c r="A7614" t="s">
        <v>4147</v>
      </c>
      <c r="G7614" t="s">
        <v>4362</v>
      </c>
    </row>
    <row r="7615" spans="1:7">
      <c r="A7615" t="s">
        <v>4609</v>
      </c>
      <c r="G7615" t="s">
        <v>4362</v>
      </c>
    </row>
    <row r="7616" spans="1:7">
      <c r="A7616" t="s">
        <v>4996</v>
      </c>
      <c r="G7616" t="s">
        <v>4362</v>
      </c>
    </row>
    <row r="7617" spans="1:7">
      <c r="A7617" t="s">
        <v>4543</v>
      </c>
      <c r="G7617" t="s">
        <v>4362</v>
      </c>
    </row>
    <row r="7618" spans="1:7">
      <c r="A7618" t="s">
        <v>4879</v>
      </c>
      <c r="G7618" t="s">
        <v>4362</v>
      </c>
    </row>
    <row r="7619" spans="1:7">
      <c r="A7619" t="s">
        <v>4290</v>
      </c>
      <c r="G7619" t="s">
        <v>4362</v>
      </c>
    </row>
    <row r="7620" spans="1:7">
      <c r="A7620" t="s">
        <v>4705</v>
      </c>
      <c r="G7620" t="s">
        <v>4362</v>
      </c>
    </row>
    <row r="7621" spans="1:7">
      <c r="A7621" t="s">
        <v>4231</v>
      </c>
      <c r="G7621" t="s">
        <v>4362</v>
      </c>
    </row>
    <row r="7622" spans="1:7">
      <c r="A7622" t="s">
        <v>5249</v>
      </c>
      <c r="G7622" t="s">
        <v>4362</v>
      </c>
    </row>
    <row r="7623" spans="1:7">
      <c r="A7623" t="s">
        <v>4009</v>
      </c>
      <c r="G7623" t="s">
        <v>4362</v>
      </c>
    </row>
    <row r="7624" spans="1:7">
      <c r="A7624" t="s">
        <v>4153</v>
      </c>
      <c r="G7624" t="s">
        <v>4362</v>
      </c>
    </row>
    <row r="7625" spans="1:7">
      <c r="A7625" t="s">
        <v>4085</v>
      </c>
      <c r="G7625" t="s">
        <v>4362</v>
      </c>
    </row>
    <row r="7626" spans="1:7">
      <c r="A7626" t="s">
        <v>4982</v>
      </c>
      <c r="G7626" t="s">
        <v>4362</v>
      </c>
    </row>
    <row r="7627" spans="1:7">
      <c r="A7627" t="s">
        <v>4930</v>
      </c>
      <c r="G7627" t="s">
        <v>4362</v>
      </c>
    </row>
    <row r="7628" spans="1:7">
      <c r="A7628" t="s">
        <v>4736</v>
      </c>
      <c r="G7628" t="s">
        <v>4362</v>
      </c>
    </row>
    <row r="7629" spans="1:7">
      <c r="A7629" t="s">
        <v>4767</v>
      </c>
      <c r="G7629" t="s">
        <v>4362</v>
      </c>
    </row>
    <row r="7630" spans="1:7">
      <c r="A7630" t="s">
        <v>4277</v>
      </c>
      <c r="G7630" t="s">
        <v>4362</v>
      </c>
    </row>
    <row r="7631" spans="1:7">
      <c r="A7631" t="s">
        <v>4112</v>
      </c>
      <c r="G7631" t="s">
        <v>4362</v>
      </c>
    </row>
    <row r="7632" spans="1:7">
      <c r="A7632" t="s">
        <v>4211</v>
      </c>
      <c r="G7632" t="s">
        <v>4362</v>
      </c>
    </row>
    <row r="7633" spans="1:7">
      <c r="A7633" t="s">
        <v>5272</v>
      </c>
      <c r="G7633" t="s">
        <v>4362</v>
      </c>
    </row>
    <row r="7634" spans="1:7">
      <c r="A7634" t="s">
        <v>4189</v>
      </c>
      <c r="G7634" t="s">
        <v>4362</v>
      </c>
    </row>
    <row r="7635" spans="1:7">
      <c r="A7635" t="s">
        <v>4171</v>
      </c>
      <c r="G7635" t="s">
        <v>4362</v>
      </c>
    </row>
    <row r="7636" spans="1:7">
      <c r="A7636" t="s">
        <v>5332</v>
      </c>
      <c r="B7636">
        <v>4923097</v>
      </c>
      <c r="G7636" t="s">
        <v>4362</v>
      </c>
    </row>
    <row r="7637" spans="1:7">
      <c r="A7637" t="s">
        <v>5233</v>
      </c>
      <c r="G7637" t="s">
        <v>4362</v>
      </c>
    </row>
    <row r="7638" spans="1:7">
      <c r="A7638" t="s">
        <v>5419</v>
      </c>
      <c r="G7638" t="s">
        <v>4362</v>
      </c>
    </row>
    <row r="7639" spans="1:7">
      <c r="A7639" t="s">
        <v>5335</v>
      </c>
      <c r="G7639" t="s">
        <v>4362</v>
      </c>
    </row>
    <row r="7640" spans="1:7">
      <c r="A7640" t="s">
        <v>5366</v>
      </c>
      <c r="G7640" t="s">
        <v>4362</v>
      </c>
    </row>
    <row r="7641" spans="1:7">
      <c r="A7641" t="s">
        <v>4085</v>
      </c>
      <c r="G7641" t="s">
        <v>4362</v>
      </c>
    </row>
    <row r="7642" spans="1:7">
      <c r="A7642" t="s">
        <v>4190</v>
      </c>
      <c r="G7642" t="s">
        <v>4362</v>
      </c>
    </row>
    <row r="7643" spans="1:7">
      <c r="A7643" t="s">
        <v>4382</v>
      </c>
      <c r="G7643" t="s">
        <v>4362</v>
      </c>
    </row>
    <row r="7644" spans="1:7">
      <c r="A7644" t="s">
        <v>5414</v>
      </c>
      <c r="G7644" t="s">
        <v>4362</v>
      </c>
    </row>
    <row r="7645" spans="1:8">
      <c r="A7645" t="s">
        <v>4143</v>
      </c>
      <c r="G7645" t="s">
        <v>4362</v>
      </c>
      <c r="H7645">
        <v>4778097</v>
      </c>
    </row>
    <row r="7646" spans="1:8">
      <c r="A7646" t="s">
        <v>4276</v>
      </c>
      <c r="G7646" t="s">
        <v>4362</v>
      </c>
      <c r="H7646">
        <v>4759097</v>
      </c>
    </row>
    <row r="7647" spans="1:7">
      <c r="A7647" t="s">
        <v>4666</v>
      </c>
      <c r="G7647" t="s">
        <v>4362</v>
      </c>
    </row>
    <row r="7648" spans="1:7">
      <c r="A7648" t="s">
        <v>5138</v>
      </c>
      <c r="B7648">
        <v>4919097</v>
      </c>
      <c r="G7648" t="s">
        <v>4362</v>
      </c>
    </row>
    <row r="7649" spans="1:8">
      <c r="A7649" t="s">
        <v>4131</v>
      </c>
      <c r="G7649" t="s">
        <v>4362</v>
      </c>
      <c r="H7649">
        <v>4742097</v>
      </c>
    </row>
    <row r="7650" spans="1:7">
      <c r="A7650" t="s">
        <v>4291</v>
      </c>
      <c r="G7650" t="s">
        <v>4362</v>
      </c>
    </row>
    <row r="7651" spans="1:7">
      <c r="A7651" t="s">
        <v>5015</v>
      </c>
      <c r="G7651" t="s">
        <v>4362</v>
      </c>
    </row>
    <row r="7652" spans="1:7">
      <c r="A7652" t="s">
        <v>5234</v>
      </c>
      <c r="G7652" t="s">
        <v>5488</v>
      </c>
    </row>
    <row r="7653" spans="1:7">
      <c r="A7653" t="s">
        <v>5049</v>
      </c>
      <c r="G7653" t="s">
        <v>4860</v>
      </c>
    </row>
    <row r="7654" spans="1:7">
      <c r="A7654" t="s">
        <v>4562</v>
      </c>
      <c r="G7654" t="s">
        <v>4860</v>
      </c>
    </row>
    <row r="7655" spans="1:7">
      <c r="A7655" t="s">
        <v>4921</v>
      </c>
      <c r="G7655" t="s">
        <v>4380</v>
      </c>
    </row>
    <row r="7656" spans="1:7">
      <c r="A7656" t="s">
        <v>4475</v>
      </c>
      <c r="G7656" t="s">
        <v>5433</v>
      </c>
    </row>
    <row r="7657" spans="1:7">
      <c r="A7657" t="s">
        <v>5367</v>
      </c>
      <c r="G7657" t="s">
        <v>5433</v>
      </c>
    </row>
    <row r="7658" spans="1:7">
      <c r="A7658" t="s">
        <v>5462</v>
      </c>
      <c r="G7658" t="s">
        <v>5433</v>
      </c>
    </row>
    <row r="7659" spans="1:7">
      <c r="A7659" t="s">
        <v>5322</v>
      </c>
      <c r="G7659" t="s">
        <v>5342</v>
      </c>
    </row>
    <row r="7660" spans="1:7">
      <c r="A7660" t="s">
        <v>5222</v>
      </c>
      <c r="G7660" t="s">
        <v>5496</v>
      </c>
    </row>
    <row r="7661" spans="1:7">
      <c r="A7661" t="s">
        <v>4623</v>
      </c>
      <c r="G7661" t="s">
        <v>4350</v>
      </c>
    </row>
    <row r="7662" spans="1:7">
      <c r="A7662" t="s">
        <v>5432</v>
      </c>
      <c r="B7662">
        <v>4915097</v>
      </c>
      <c r="G7662" t="s">
        <v>4844</v>
      </c>
    </row>
    <row r="7663" spans="1:7">
      <c r="A7663" t="s">
        <v>4998</v>
      </c>
      <c r="G7663" t="s">
        <v>4844</v>
      </c>
    </row>
    <row r="7664" spans="1:7">
      <c r="A7664" t="s">
        <v>5375</v>
      </c>
      <c r="G7664" t="s">
        <v>4844</v>
      </c>
    </row>
    <row r="7665" spans="1:7">
      <c r="A7665" t="s">
        <v>4147</v>
      </c>
      <c r="G7665" t="s">
        <v>4844</v>
      </c>
    </row>
    <row r="7666" spans="1:7">
      <c r="A7666" t="s">
        <v>5410</v>
      </c>
      <c r="G7666" t="s">
        <v>5340</v>
      </c>
    </row>
    <row r="7667" spans="1:7">
      <c r="A7667" t="s">
        <v>5373</v>
      </c>
      <c r="G7667" t="s">
        <v>5340</v>
      </c>
    </row>
    <row r="7668" spans="1:7">
      <c r="A7668" t="s">
        <v>5370</v>
      </c>
      <c r="G7668" t="s">
        <v>5201</v>
      </c>
    </row>
    <row r="7669" spans="1:7">
      <c r="A7669" t="s">
        <v>5371</v>
      </c>
      <c r="G7669" t="s">
        <v>5201</v>
      </c>
    </row>
    <row r="7670" spans="1:7">
      <c r="A7670" t="s">
        <v>5433</v>
      </c>
      <c r="G7670" t="s">
        <v>5201</v>
      </c>
    </row>
    <row r="7671" spans="1:7">
      <c r="A7671" t="s">
        <v>4117</v>
      </c>
      <c r="G7671" t="s">
        <v>5201</v>
      </c>
    </row>
    <row r="7672" spans="1:7">
      <c r="A7672" t="s">
        <v>5121</v>
      </c>
      <c r="G7672" t="s">
        <v>5201</v>
      </c>
    </row>
    <row r="7673" spans="1:7">
      <c r="A7673" t="s">
        <v>5124</v>
      </c>
      <c r="G7673" t="s">
        <v>5201</v>
      </c>
    </row>
    <row r="7674" spans="1:7">
      <c r="A7674" t="s">
        <v>5336</v>
      </c>
      <c r="G7674" t="s">
        <v>5201</v>
      </c>
    </row>
    <row r="7675" spans="1:7">
      <c r="A7675" t="s">
        <v>4613</v>
      </c>
      <c r="G7675" t="s">
        <v>5201</v>
      </c>
    </row>
    <row r="7676" spans="1:7">
      <c r="A7676" t="s">
        <v>4153</v>
      </c>
      <c r="G7676" t="s">
        <v>5201</v>
      </c>
    </row>
    <row r="7677" spans="1:7">
      <c r="A7677" t="s">
        <v>5427</v>
      </c>
      <c r="G7677" t="s">
        <v>5201</v>
      </c>
    </row>
    <row r="7678" spans="1:7">
      <c r="A7678" t="s">
        <v>4232</v>
      </c>
      <c r="G7678" t="s">
        <v>5201</v>
      </c>
    </row>
    <row r="7679" spans="1:7">
      <c r="A7679" t="s">
        <v>5461</v>
      </c>
      <c r="G7679" t="s">
        <v>5201</v>
      </c>
    </row>
    <row r="7680" spans="1:7">
      <c r="A7680" t="s">
        <v>4659</v>
      </c>
      <c r="G7680" t="s">
        <v>4853</v>
      </c>
    </row>
    <row r="7681" spans="1:7">
      <c r="A7681" t="s">
        <v>4656</v>
      </c>
      <c r="G7681" t="s">
        <v>5394</v>
      </c>
    </row>
    <row r="7682" spans="1:7">
      <c r="A7682" t="s">
        <v>5413</v>
      </c>
      <c r="B7682">
        <v>4914097</v>
      </c>
      <c r="G7682" t="s">
        <v>4219</v>
      </c>
    </row>
    <row r="7683" spans="1:7">
      <c r="A7683" t="s">
        <v>4745</v>
      </c>
      <c r="B7683">
        <v>4922097</v>
      </c>
      <c r="G7683" t="s">
        <v>4219</v>
      </c>
    </row>
    <row r="7684" spans="1:8">
      <c r="A7684" t="s">
        <v>4659</v>
      </c>
      <c r="G7684" t="s">
        <v>4727</v>
      </c>
      <c r="H7684">
        <v>5470097</v>
      </c>
    </row>
    <row r="7685" spans="1:7">
      <c r="A7685" t="s">
        <v>5497</v>
      </c>
      <c r="G7685" t="s">
        <v>4727</v>
      </c>
    </row>
    <row r="7686" spans="1:7">
      <c r="A7686" t="s">
        <v>4190</v>
      </c>
      <c r="G7686" t="s">
        <v>4727</v>
      </c>
    </row>
    <row r="7687" spans="1:7">
      <c r="A7687" t="s">
        <v>5366</v>
      </c>
      <c r="G7687" t="s">
        <v>4727</v>
      </c>
    </row>
    <row r="7688" spans="1:7">
      <c r="A7688" t="s">
        <v>5413</v>
      </c>
      <c r="G7688" t="s">
        <v>4727</v>
      </c>
    </row>
    <row r="7689" spans="1:7">
      <c r="A7689" t="s">
        <v>4656</v>
      </c>
      <c r="G7689" t="s">
        <v>5411</v>
      </c>
    </row>
    <row r="7690" spans="1:8">
      <c r="A7690" t="s">
        <v>4085</v>
      </c>
      <c r="G7690" t="s">
        <v>5411</v>
      </c>
      <c r="H7690">
        <v>4973097</v>
      </c>
    </row>
    <row r="7691" spans="1:7">
      <c r="A7691" t="s">
        <v>4738</v>
      </c>
      <c r="G7691" t="s">
        <v>5411</v>
      </c>
    </row>
    <row r="7692" spans="1:7">
      <c r="A7692" t="s">
        <v>4276</v>
      </c>
      <c r="G7692" t="s">
        <v>5411</v>
      </c>
    </row>
    <row r="7693" spans="1:7">
      <c r="A7693" t="s">
        <v>5138</v>
      </c>
      <c r="G7693" t="s">
        <v>5411</v>
      </c>
    </row>
    <row r="7694" spans="1:7">
      <c r="A7694" t="s">
        <v>5467</v>
      </c>
      <c r="G7694" t="s">
        <v>5343</v>
      </c>
    </row>
    <row r="7695" spans="1:8">
      <c r="A7695" t="s">
        <v>5234</v>
      </c>
      <c r="G7695" t="s">
        <v>5343</v>
      </c>
      <c r="H7695">
        <v>4879097</v>
      </c>
    </row>
    <row r="7696" spans="1:8">
      <c r="A7696" t="s">
        <v>4291</v>
      </c>
      <c r="G7696" t="s">
        <v>5343</v>
      </c>
      <c r="H7696">
        <v>4773097</v>
      </c>
    </row>
    <row r="7697" spans="1:7">
      <c r="A7697" t="s">
        <v>4131</v>
      </c>
      <c r="G7697" t="s">
        <v>5165</v>
      </c>
    </row>
    <row r="7698" spans="1:7">
      <c r="A7698" t="s">
        <v>5015</v>
      </c>
      <c r="G7698" t="s">
        <v>5387</v>
      </c>
    </row>
    <row r="7699" spans="1:7">
      <c r="A7699" t="s">
        <v>5049</v>
      </c>
      <c r="G7699" t="s">
        <v>5387</v>
      </c>
    </row>
    <row r="7700" spans="1:7">
      <c r="A7700" t="s">
        <v>4562</v>
      </c>
      <c r="G7700" t="s">
        <v>5387</v>
      </c>
    </row>
    <row r="7701" spans="1:7">
      <c r="A7701" t="s">
        <v>4921</v>
      </c>
      <c r="G7701" t="s">
        <v>5387</v>
      </c>
    </row>
    <row r="7702" spans="1:7">
      <c r="A7702" t="s">
        <v>4666</v>
      </c>
      <c r="B7702">
        <v>4912097</v>
      </c>
      <c r="G7702" t="s">
        <v>5387</v>
      </c>
    </row>
    <row r="7703" spans="1:7">
      <c r="A7703" t="s">
        <v>5419</v>
      </c>
      <c r="G7703" t="s">
        <v>5498</v>
      </c>
    </row>
    <row r="7704" spans="1:7">
      <c r="A7704" t="s">
        <v>5233</v>
      </c>
      <c r="G7704" t="s">
        <v>5281</v>
      </c>
    </row>
    <row r="7705" spans="1:8">
      <c r="A7705" t="s">
        <v>5322</v>
      </c>
      <c r="G7705" t="s">
        <v>5270</v>
      </c>
      <c r="H7705">
        <v>5132097</v>
      </c>
    </row>
    <row r="7706" spans="1:7">
      <c r="A7706" t="s">
        <v>4623</v>
      </c>
      <c r="G7706" t="s">
        <v>5270</v>
      </c>
    </row>
    <row r="7707" spans="1:7">
      <c r="A7707" t="s">
        <v>5371</v>
      </c>
      <c r="G7707" t="s">
        <v>5339</v>
      </c>
    </row>
    <row r="7708" spans="1:7">
      <c r="A7708" t="s">
        <v>5410</v>
      </c>
      <c r="G7708" t="s">
        <v>5339</v>
      </c>
    </row>
    <row r="7709" spans="1:7">
      <c r="A7709" t="s">
        <v>5370</v>
      </c>
      <c r="G7709" t="s">
        <v>5477</v>
      </c>
    </row>
    <row r="7710" spans="1:7">
      <c r="A7710" t="s">
        <v>4147</v>
      </c>
      <c r="G7710" t="s">
        <v>5499</v>
      </c>
    </row>
    <row r="7711" spans="1:7">
      <c r="A7711" t="s">
        <v>4998</v>
      </c>
      <c r="G7711" t="s">
        <v>4830</v>
      </c>
    </row>
    <row r="7712" spans="1:7">
      <c r="A7712" t="s">
        <v>4731</v>
      </c>
      <c r="G7712" t="s">
        <v>4830</v>
      </c>
    </row>
    <row r="7713" spans="1:7">
      <c r="A7713" t="s">
        <v>4117</v>
      </c>
      <c r="G7713" t="s">
        <v>4830</v>
      </c>
    </row>
    <row r="7714" spans="1:7">
      <c r="A7714" t="s">
        <v>5373</v>
      </c>
      <c r="G7714" t="s">
        <v>4830</v>
      </c>
    </row>
    <row r="7715" spans="1:7">
      <c r="A7715" t="s">
        <v>4143</v>
      </c>
      <c r="G7715" t="s">
        <v>4830</v>
      </c>
    </row>
    <row r="7716" spans="1:8">
      <c r="A7716" t="s">
        <v>5375</v>
      </c>
      <c r="G7716" t="s">
        <v>5152</v>
      </c>
      <c r="H7716">
        <v>5250097</v>
      </c>
    </row>
    <row r="7717" spans="1:7">
      <c r="A7717" t="s">
        <v>4613</v>
      </c>
      <c r="G7717" t="s">
        <v>5152</v>
      </c>
    </row>
    <row r="7718" spans="1:7">
      <c r="A7718" t="s">
        <v>5336</v>
      </c>
      <c r="B7718">
        <v>4910097</v>
      </c>
      <c r="G7718" t="s">
        <v>5152</v>
      </c>
    </row>
    <row r="7719" spans="1:7">
      <c r="A7719" t="s">
        <v>4374</v>
      </c>
      <c r="G7719" t="s">
        <v>5023</v>
      </c>
    </row>
    <row r="7720" spans="1:7">
      <c r="A7720" t="s">
        <v>4153</v>
      </c>
      <c r="G7720" t="s">
        <v>4386</v>
      </c>
    </row>
    <row r="7721" spans="1:7">
      <c r="A7721" t="s">
        <v>5367</v>
      </c>
      <c r="G7721" t="s">
        <v>4386</v>
      </c>
    </row>
    <row r="7722" spans="1:7">
      <c r="A7722" t="s">
        <v>5369</v>
      </c>
      <c r="B7722">
        <v>4921097</v>
      </c>
      <c r="G7722" t="s">
        <v>4386</v>
      </c>
    </row>
    <row r="7723" spans="1:7">
      <c r="A7723" t="s">
        <v>4923</v>
      </c>
      <c r="G7723" t="s">
        <v>4386</v>
      </c>
    </row>
    <row r="7724" spans="1:7">
      <c r="A7724" t="s">
        <v>5035</v>
      </c>
      <c r="G7724" t="s">
        <v>4386</v>
      </c>
    </row>
    <row r="7725" spans="1:8">
      <c r="A7725" t="s">
        <v>4176</v>
      </c>
      <c r="G7725" t="s">
        <v>4386</v>
      </c>
      <c r="H7725">
        <v>4774097</v>
      </c>
    </row>
    <row r="7726" spans="1:7">
      <c r="A7726" t="s">
        <v>4745</v>
      </c>
      <c r="G7726" t="s">
        <v>4386</v>
      </c>
    </row>
    <row r="7727" spans="1:7">
      <c r="A7727" t="s">
        <v>4160</v>
      </c>
      <c r="G7727" t="s">
        <v>4386</v>
      </c>
    </row>
    <row r="7728" spans="1:7">
      <c r="A7728" t="s">
        <v>5413</v>
      </c>
      <c r="G7728" t="s">
        <v>4386</v>
      </c>
    </row>
    <row r="7729" spans="1:7">
      <c r="A7729" t="s">
        <v>4285</v>
      </c>
      <c r="G7729" t="s">
        <v>4386</v>
      </c>
    </row>
    <row r="7730" spans="1:7">
      <c r="A7730" t="s">
        <v>4112</v>
      </c>
      <c r="G7730" t="s">
        <v>4386</v>
      </c>
    </row>
    <row r="7731" spans="1:7">
      <c r="A7731" t="s">
        <v>4085</v>
      </c>
      <c r="G7731" t="s">
        <v>4386</v>
      </c>
    </row>
    <row r="7732" spans="1:7">
      <c r="A7732" t="s">
        <v>5014</v>
      </c>
      <c r="G7732" t="s">
        <v>4386</v>
      </c>
    </row>
    <row r="7733" spans="1:8">
      <c r="A7733" t="s">
        <v>4131</v>
      </c>
      <c r="G7733" t="s">
        <v>4510</v>
      </c>
      <c r="H7733">
        <v>5494097</v>
      </c>
    </row>
    <row r="7734" spans="1:7">
      <c r="A7734" t="s">
        <v>4382</v>
      </c>
      <c r="G7734" t="s">
        <v>4680</v>
      </c>
    </row>
    <row r="7735" spans="1:7">
      <c r="A7735" t="s">
        <v>5366</v>
      </c>
      <c r="G7735" t="s">
        <v>5010</v>
      </c>
    </row>
    <row r="7736" spans="1:7">
      <c r="A7736" t="s">
        <v>4276</v>
      </c>
      <c r="G7736" t="s">
        <v>5453</v>
      </c>
    </row>
    <row r="7737" spans="1:7">
      <c r="A7737" t="s">
        <v>4143</v>
      </c>
      <c r="B7737">
        <v>4909097</v>
      </c>
      <c r="G7737" t="s">
        <v>5453</v>
      </c>
    </row>
    <row r="7738" spans="1:7">
      <c r="A7738" t="s">
        <v>4742</v>
      </c>
      <c r="G7738" t="s">
        <v>5381</v>
      </c>
    </row>
    <row r="7739" spans="1:7">
      <c r="A7739" t="s">
        <v>5138</v>
      </c>
      <c r="G7739" t="s">
        <v>4842</v>
      </c>
    </row>
    <row r="7740" spans="1:7">
      <c r="A7740" t="s">
        <v>5444</v>
      </c>
      <c r="G7740" t="s">
        <v>4842</v>
      </c>
    </row>
    <row r="7741" spans="1:7">
      <c r="A7741" t="s">
        <v>4930</v>
      </c>
      <c r="G7741" t="s">
        <v>4836</v>
      </c>
    </row>
    <row r="7742" spans="1:7">
      <c r="A7742" t="s">
        <v>4291</v>
      </c>
      <c r="G7742" t="s">
        <v>5426</v>
      </c>
    </row>
    <row r="7743" spans="1:7">
      <c r="A7743" t="s">
        <v>4097</v>
      </c>
      <c r="G7743" t="s">
        <v>4497</v>
      </c>
    </row>
    <row r="7744" spans="1:7">
      <c r="A7744" t="s">
        <v>5015</v>
      </c>
      <c r="G7744" t="s">
        <v>4497</v>
      </c>
    </row>
    <row r="7745" spans="1:7">
      <c r="A7745" t="s">
        <v>5234</v>
      </c>
      <c r="G7745" t="s">
        <v>4497</v>
      </c>
    </row>
    <row r="7746" spans="1:7">
      <c r="A7746" t="s">
        <v>5324</v>
      </c>
      <c r="G7746" t="s">
        <v>4497</v>
      </c>
    </row>
    <row r="7747" spans="1:7">
      <c r="A7747" t="s">
        <v>4921</v>
      </c>
      <c r="G7747" t="s">
        <v>4497</v>
      </c>
    </row>
    <row r="7748" spans="1:8">
      <c r="A7748" t="s">
        <v>5049</v>
      </c>
      <c r="G7748" t="s">
        <v>4497</v>
      </c>
      <c r="H7748">
        <v>5316097</v>
      </c>
    </row>
    <row r="7749" spans="1:7">
      <c r="A7749" t="s">
        <v>4562</v>
      </c>
      <c r="G7749" t="s">
        <v>4379</v>
      </c>
    </row>
    <row r="7750" spans="1:7">
      <c r="A7750" t="s">
        <v>5367</v>
      </c>
      <c r="G7750" t="s">
        <v>4379</v>
      </c>
    </row>
    <row r="7751" spans="1:7">
      <c r="A7751" t="s">
        <v>5322</v>
      </c>
      <c r="G7751" t="s">
        <v>4379</v>
      </c>
    </row>
    <row r="7752" spans="1:7">
      <c r="A7752" t="s">
        <v>5297</v>
      </c>
      <c r="G7752" t="s">
        <v>4379</v>
      </c>
    </row>
    <row r="7753" spans="1:7">
      <c r="A7753" t="s">
        <v>4999</v>
      </c>
      <c r="G7753" t="s">
        <v>4379</v>
      </c>
    </row>
    <row r="7754" spans="1:7">
      <c r="A7754" t="s">
        <v>5222</v>
      </c>
      <c r="G7754" t="s">
        <v>4379</v>
      </c>
    </row>
    <row r="7755" spans="1:7">
      <c r="A7755" t="s">
        <v>5368</v>
      </c>
      <c r="G7755" t="s">
        <v>4379</v>
      </c>
    </row>
    <row r="7756" spans="1:7">
      <c r="A7756" t="s">
        <v>4623</v>
      </c>
      <c r="G7756" t="s">
        <v>4379</v>
      </c>
    </row>
    <row r="7757" spans="1:7">
      <c r="A7757" t="s">
        <v>5371</v>
      </c>
      <c r="B7757">
        <v>4900097</v>
      </c>
      <c r="G7757" t="s">
        <v>4379</v>
      </c>
    </row>
    <row r="7758" spans="1:7">
      <c r="A7758" t="s">
        <v>4290</v>
      </c>
      <c r="G7758" t="s">
        <v>4379</v>
      </c>
    </row>
    <row r="7759" spans="1:7">
      <c r="A7759" t="s">
        <v>5370</v>
      </c>
      <c r="G7759" t="s">
        <v>4379</v>
      </c>
    </row>
    <row r="7760" spans="1:7">
      <c r="A7760" t="s">
        <v>4117</v>
      </c>
      <c r="G7760" t="s">
        <v>4379</v>
      </c>
    </row>
    <row r="7761" spans="1:7">
      <c r="A7761" t="s">
        <v>4731</v>
      </c>
      <c r="G7761" t="s">
        <v>4379</v>
      </c>
    </row>
    <row r="7762" spans="1:7">
      <c r="A7762" t="s">
        <v>5373</v>
      </c>
      <c r="G7762" t="s">
        <v>4379</v>
      </c>
    </row>
    <row r="7763" spans="1:7">
      <c r="A7763" t="s">
        <v>5374</v>
      </c>
      <c r="G7763" t="s">
        <v>4379</v>
      </c>
    </row>
    <row r="7764" spans="1:7">
      <c r="A7764" t="s">
        <v>4727</v>
      </c>
      <c r="G7764" t="s">
        <v>4379</v>
      </c>
    </row>
    <row r="7765" spans="1:7">
      <c r="A7765" t="s">
        <v>5375</v>
      </c>
      <c r="G7765" t="s">
        <v>4379</v>
      </c>
    </row>
    <row r="7766" spans="1:7">
      <c r="A7766" t="s">
        <v>4147</v>
      </c>
      <c r="G7766" t="s">
        <v>4379</v>
      </c>
    </row>
    <row r="7767" spans="1:7">
      <c r="A7767" t="s">
        <v>4998</v>
      </c>
      <c r="G7767" t="s">
        <v>4379</v>
      </c>
    </row>
    <row r="7768" spans="1:7">
      <c r="A7768" t="s">
        <v>5480</v>
      </c>
      <c r="G7768" t="s">
        <v>4379</v>
      </c>
    </row>
    <row r="7769" spans="1:7">
      <c r="A7769" t="s">
        <v>4092</v>
      </c>
      <c r="G7769" t="s">
        <v>4379</v>
      </c>
    </row>
    <row r="7770" spans="1:7">
      <c r="A7770" t="s">
        <v>4055</v>
      </c>
      <c r="G7770" t="s">
        <v>4379</v>
      </c>
    </row>
    <row r="7771" spans="1:7">
      <c r="A7771" t="s">
        <v>4613</v>
      </c>
      <c r="G7771" t="s">
        <v>4379</v>
      </c>
    </row>
    <row r="7772" spans="1:7">
      <c r="A7772" t="s">
        <v>4153</v>
      </c>
      <c r="G7772" t="s">
        <v>4379</v>
      </c>
    </row>
    <row r="7773" spans="1:7">
      <c r="A7773" t="s">
        <v>5336</v>
      </c>
      <c r="G7773" t="s">
        <v>4379</v>
      </c>
    </row>
    <row r="7774" spans="1:7">
      <c r="A7774" t="s">
        <v>4737</v>
      </c>
      <c r="G7774" t="s">
        <v>4379</v>
      </c>
    </row>
    <row r="7775" spans="1:7">
      <c r="A7775" t="s">
        <v>4659</v>
      </c>
      <c r="B7775">
        <v>4898097</v>
      </c>
      <c r="G7775" t="s">
        <v>4379</v>
      </c>
    </row>
    <row r="7776" spans="1:7">
      <c r="A7776" t="s">
        <v>4656</v>
      </c>
      <c r="G7776" t="s">
        <v>4379</v>
      </c>
    </row>
    <row r="7777" spans="1:7">
      <c r="A7777" t="s">
        <v>4666</v>
      </c>
      <c r="G7777" t="s">
        <v>4379</v>
      </c>
    </row>
    <row r="7778" spans="1:7">
      <c r="A7778" t="s">
        <v>4571</v>
      </c>
      <c r="B7778">
        <v>4919097</v>
      </c>
      <c r="G7778" t="s">
        <v>4379</v>
      </c>
    </row>
    <row r="7779" spans="1:7">
      <c r="A7779" t="s">
        <v>5352</v>
      </c>
      <c r="G7779" t="s">
        <v>4379</v>
      </c>
    </row>
    <row r="7780" spans="1:7">
      <c r="A7780" t="s">
        <v>4264</v>
      </c>
      <c r="G7780" t="s">
        <v>4379</v>
      </c>
    </row>
    <row r="7781" spans="1:7">
      <c r="A7781" t="s">
        <v>5390</v>
      </c>
      <c r="G7781" t="s">
        <v>4379</v>
      </c>
    </row>
    <row r="7782" spans="1:7">
      <c r="A7782" t="s">
        <v>4215</v>
      </c>
      <c r="G7782" t="s">
        <v>4275</v>
      </c>
    </row>
    <row r="7783" spans="1:7">
      <c r="A7783" t="s">
        <v>4132</v>
      </c>
      <c r="G7783" t="s">
        <v>4145</v>
      </c>
    </row>
    <row r="7784" spans="1:7">
      <c r="A7784" t="s">
        <v>4084</v>
      </c>
      <c r="G7784" t="s">
        <v>5469</v>
      </c>
    </row>
    <row r="7785" spans="1:7">
      <c r="A7785" t="s">
        <v>4909</v>
      </c>
      <c r="G7785" t="s">
        <v>4640</v>
      </c>
    </row>
    <row r="7786" spans="1:7">
      <c r="A7786" t="s">
        <v>5268</v>
      </c>
      <c r="G7786" t="s">
        <v>5324</v>
      </c>
    </row>
    <row r="7787" spans="1:7">
      <c r="A7787" t="s">
        <v>4085</v>
      </c>
      <c r="G7787" t="s">
        <v>5324</v>
      </c>
    </row>
    <row r="7788" spans="1:7">
      <c r="A7788" t="s">
        <v>4115</v>
      </c>
      <c r="G7788" t="s">
        <v>5324</v>
      </c>
    </row>
    <row r="7789" spans="1:7">
      <c r="A7789" t="s">
        <v>4959</v>
      </c>
      <c r="G7789" t="s">
        <v>5415</v>
      </c>
    </row>
    <row r="7790" spans="1:7">
      <c r="A7790" t="s">
        <v>5500</v>
      </c>
      <c r="G7790" t="s">
        <v>5415</v>
      </c>
    </row>
    <row r="7791" spans="1:7">
      <c r="A7791" t="s">
        <v>5207</v>
      </c>
      <c r="B7791">
        <v>4897097</v>
      </c>
      <c r="G7791" t="s">
        <v>4784</v>
      </c>
    </row>
    <row r="7792" spans="1:7">
      <c r="A7792" t="s">
        <v>4363</v>
      </c>
      <c r="B7792">
        <v>4915097</v>
      </c>
      <c r="G7792" t="s">
        <v>4784</v>
      </c>
    </row>
    <row r="7793" spans="1:7">
      <c r="A7793" t="s">
        <v>5296</v>
      </c>
      <c r="G7793" t="s">
        <v>4642</v>
      </c>
    </row>
    <row r="7794" spans="1:7">
      <c r="A7794" t="s">
        <v>5449</v>
      </c>
      <c r="G7794" t="s">
        <v>4642</v>
      </c>
    </row>
    <row r="7795" spans="1:7">
      <c r="A7795" t="s">
        <v>5175</v>
      </c>
      <c r="G7795" t="s">
        <v>5282</v>
      </c>
    </row>
    <row r="7796" spans="1:7">
      <c r="A7796" t="s">
        <v>4340</v>
      </c>
      <c r="G7796" t="s">
        <v>5282</v>
      </c>
    </row>
    <row r="7797" spans="1:7">
      <c r="A7797" t="s">
        <v>5443</v>
      </c>
      <c r="G7797" t="s">
        <v>5282</v>
      </c>
    </row>
    <row r="7798" spans="1:7">
      <c r="A7798" t="s">
        <v>5450</v>
      </c>
      <c r="G7798" t="s">
        <v>4384</v>
      </c>
    </row>
    <row r="7799" spans="1:7">
      <c r="A7799" t="s">
        <v>5445</v>
      </c>
      <c r="G7799" t="s">
        <v>4384</v>
      </c>
    </row>
    <row r="7800" spans="1:7">
      <c r="A7800" t="s">
        <v>5119</v>
      </c>
      <c r="G7800" t="s">
        <v>4384</v>
      </c>
    </row>
    <row r="7801" spans="1:7">
      <c r="A7801" t="s">
        <v>5434</v>
      </c>
      <c r="G7801" t="s">
        <v>4384</v>
      </c>
    </row>
    <row r="7802" spans="1:7">
      <c r="A7802" t="s">
        <v>4686</v>
      </c>
      <c r="G7802" t="s">
        <v>4384</v>
      </c>
    </row>
    <row r="7803" spans="1:7">
      <c r="A7803" t="s">
        <v>4379</v>
      </c>
      <c r="G7803" t="s">
        <v>4384</v>
      </c>
    </row>
    <row r="7804" spans="1:7">
      <c r="A7804" t="s">
        <v>5174</v>
      </c>
      <c r="G7804" t="s">
        <v>4384</v>
      </c>
    </row>
    <row r="7805" spans="1:7">
      <c r="A7805" t="s">
        <v>5424</v>
      </c>
      <c r="B7805">
        <v>4890097</v>
      </c>
      <c r="G7805" t="s">
        <v>4384</v>
      </c>
    </row>
    <row r="7806" spans="1:7">
      <c r="A7806" t="s">
        <v>4085</v>
      </c>
      <c r="G7806" t="s">
        <v>4384</v>
      </c>
    </row>
    <row r="7807" spans="1:7">
      <c r="A7807" t="s">
        <v>4358</v>
      </c>
      <c r="G7807" t="s">
        <v>4384</v>
      </c>
    </row>
    <row r="7808" spans="1:7">
      <c r="A7808" t="s">
        <v>4356</v>
      </c>
      <c r="G7808" t="s">
        <v>4384</v>
      </c>
    </row>
    <row r="7809" spans="1:7">
      <c r="A7809" t="s">
        <v>4354</v>
      </c>
      <c r="G7809" t="s">
        <v>4384</v>
      </c>
    </row>
    <row r="7810" spans="1:7">
      <c r="A7810" t="s">
        <v>4364</v>
      </c>
      <c r="G7810" t="s">
        <v>4384</v>
      </c>
    </row>
    <row r="7811" spans="1:7">
      <c r="A7811" t="s">
        <v>4361</v>
      </c>
      <c r="G7811" t="s">
        <v>4384</v>
      </c>
    </row>
    <row r="7812" spans="1:7">
      <c r="A7812" t="s">
        <v>4354</v>
      </c>
      <c r="B7812">
        <v>4914097</v>
      </c>
      <c r="G7812" t="s">
        <v>4384</v>
      </c>
    </row>
    <row r="7813" spans="1:7">
      <c r="A7813" t="s">
        <v>5449</v>
      </c>
      <c r="G7813" t="s">
        <v>4384</v>
      </c>
    </row>
    <row r="7814" spans="1:7">
      <c r="A7814" t="s">
        <v>4364</v>
      </c>
      <c r="G7814" t="s">
        <v>4384</v>
      </c>
    </row>
    <row r="7815" spans="1:7">
      <c r="A7815" t="s">
        <v>5175</v>
      </c>
      <c r="G7815" t="s">
        <v>4384</v>
      </c>
    </row>
    <row r="7816" spans="1:7">
      <c r="A7816" t="s">
        <v>4340</v>
      </c>
      <c r="B7816">
        <v>4889097</v>
      </c>
      <c r="G7816" t="s">
        <v>4384</v>
      </c>
    </row>
    <row r="7817" spans="1:7">
      <c r="A7817" t="s">
        <v>5443</v>
      </c>
      <c r="G7817" t="s">
        <v>4384</v>
      </c>
    </row>
    <row r="7818" spans="1:7">
      <c r="A7818" t="s">
        <v>5450</v>
      </c>
      <c r="G7818" t="s">
        <v>4384</v>
      </c>
    </row>
    <row r="7819" spans="1:7">
      <c r="A7819" t="s">
        <v>5445</v>
      </c>
      <c r="G7819" t="s">
        <v>4384</v>
      </c>
    </row>
    <row r="7820" spans="1:7">
      <c r="A7820" t="s">
        <v>5119</v>
      </c>
      <c r="G7820" t="s">
        <v>4384</v>
      </c>
    </row>
    <row r="7821" spans="1:7">
      <c r="A7821" t="s">
        <v>4686</v>
      </c>
      <c r="G7821" t="s">
        <v>4384</v>
      </c>
    </row>
    <row r="7822" spans="1:7">
      <c r="A7822" t="s">
        <v>4914</v>
      </c>
      <c r="G7822" t="s">
        <v>4384</v>
      </c>
    </row>
    <row r="7823" spans="1:7">
      <c r="A7823" t="s">
        <v>4379</v>
      </c>
      <c r="G7823" t="s">
        <v>4384</v>
      </c>
    </row>
    <row r="7824" spans="1:7">
      <c r="A7824" t="s">
        <v>5174</v>
      </c>
      <c r="G7824" t="s">
        <v>4384</v>
      </c>
    </row>
    <row r="7825" spans="1:7">
      <c r="A7825" t="s">
        <v>5434</v>
      </c>
      <c r="G7825" t="s">
        <v>4384</v>
      </c>
    </row>
    <row r="7826" spans="1:7">
      <c r="A7826" t="s">
        <v>5424</v>
      </c>
      <c r="G7826" t="s">
        <v>4384</v>
      </c>
    </row>
    <row r="7827" spans="1:7">
      <c r="A7827" t="s">
        <v>4356</v>
      </c>
      <c r="G7827" t="s">
        <v>5279</v>
      </c>
    </row>
    <row r="7828" spans="1:8">
      <c r="A7828" t="s">
        <v>4085</v>
      </c>
      <c r="G7828" t="s">
        <v>4191</v>
      </c>
      <c r="H7828">
        <v>5623097</v>
      </c>
    </row>
    <row r="7829" spans="1:7">
      <c r="A7829" t="s">
        <v>4358</v>
      </c>
      <c r="G7829" t="s">
        <v>5369</v>
      </c>
    </row>
    <row r="7830" spans="1:7">
      <c r="A7830" t="s">
        <v>4363</v>
      </c>
      <c r="G7830" t="s">
        <v>5369</v>
      </c>
    </row>
    <row r="7831" spans="1:7">
      <c r="A7831" t="s">
        <v>4361</v>
      </c>
      <c r="G7831" t="s">
        <v>5369</v>
      </c>
    </row>
    <row r="7832" spans="1:7">
      <c r="A7832" t="s">
        <v>4356</v>
      </c>
      <c r="B7832">
        <v>4912097</v>
      </c>
      <c r="G7832" t="s">
        <v>5369</v>
      </c>
    </row>
    <row r="7833" spans="1:8">
      <c r="A7833" t="s">
        <v>4832</v>
      </c>
      <c r="G7833" t="s">
        <v>5369</v>
      </c>
      <c r="H7833">
        <v>4921097</v>
      </c>
    </row>
    <row r="7834" spans="1:7">
      <c r="A7834" t="s">
        <v>4358</v>
      </c>
      <c r="G7834" t="s">
        <v>5501</v>
      </c>
    </row>
    <row r="7835" spans="1:7">
      <c r="A7835" t="s">
        <v>4338</v>
      </c>
      <c r="B7835">
        <v>4887097</v>
      </c>
      <c r="G7835" t="s">
        <v>5502</v>
      </c>
    </row>
    <row r="7836" spans="1:7">
      <c r="A7836" t="s">
        <v>5449</v>
      </c>
      <c r="G7836" t="s">
        <v>5502</v>
      </c>
    </row>
    <row r="7837" spans="1:7">
      <c r="A7837" t="s">
        <v>5175</v>
      </c>
      <c r="G7837" t="s">
        <v>5502</v>
      </c>
    </row>
    <row r="7838" spans="1:7">
      <c r="A7838" t="s">
        <v>4340</v>
      </c>
      <c r="G7838" t="s">
        <v>5448</v>
      </c>
    </row>
    <row r="7839" spans="1:8">
      <c r="A7839" t="s">
        <v>5443</v>
      </c>
      <c r="G7839" t="s">
        <v>5503</v>
      </c>
      <c r="H7839">
        <v>4758097</v>
      </c>
    </row>
    <row r="7840" spans="1:7">
      <c r="A7840" t="s">
        <v>5450</v>
      </c>
      <c r="G7840" t="s">
        <v>4227</v>
      </c>
    </row>
    <row r="7841" spans="1:7">
      <c r="A7841" t="s">
        <v>5119</v>
      </c>
      <c r="G7841" t="s">
        <v>5412</v>
      </c>
    </row>
    <row r="7842" spans="1:7">
      <c r="A7842" t="s">
        <v>5445</v>
      </c>
      <c r="G7842" t="s">
        <v>5412</v>
      </c>
    </row>
    <row r="7843" spans="1:7">
      <c r="A7843" t="s">
        <v>4379</v>
      </c>
      <c r="G7843" t="s">
        <v>5412</v>
      </c>
    </row>
    <row r="7844" spans="1:7">
      <c r="A7844" t="s">
        <v>5174</v>
      </c>
      <c r="G7844" t="s">
        <v>4050</v>
      </c>
    </row>
    <row r="7845" spans="1:7">
      <c r="A7845" t="s">
        <v>4363</v>
      </c>
      <c r="G7845" t="s">
        <v>4050</v>
      </c>
    </row>
    <row r="7846" spans="1:8">
      <c r="A7846" t="s">
        <v>4364</v>
      </c>
      <c r="G7846" t="s">
        <v>4841</v>
      </c>
      <c r="H7846">
        <v>5426097</v>
      </c>
    </row>
    <row r="7847" spans="1:7">
      <c r="A7847" t="s">
        <v>4361</v>
      </c>
      <c r="G7847" t="s">
        <v>4137</v>
      </c>
    </row>
    <row r="7848" spans="1:7">
      <c r="A7848" t="s">
        <v>4334</v>
      </c>
      <c r="B7848">
        <v>4910097</v>
      </c>
      <c r="G7848" t="s">
        <v>5215</v>
      </c>
    </row>
    <row r="7849" spans="1:7">
      <c r="A7849" t="s">
        <v>5205</v>
      </c>
      <c r="G7849" t="s">
        <v>5215</v>
      </c>
    </row>
    <row r="7850" spans="1:7">
      <c r="A7850" t="s">
        <v>4354</v>
      </c>
      <c r="G7850" t="s">
        <v>5215</v>
      </c>
    </row>
    <row r="7851" spans="1:7">
      <c r="A7851" t="s">
        <v>4376</v>
      </c>
      <c r="G7851" t="s">
        <v>5215</v>
      </c>
    </row>
    <row r="7852" spans="1:7">
      <c r="A7852" t="s">
        <v>4340</v>
      </c>
      <c r="B7852">
        <v>4883097</v>
      </c>
      <c r="G7852" t="s">
        <v>5215</v>
      </c>
    </row>
    <row r="7853" spans="1:7">
      <c r="A7853" t="s">
        <v>4085</v>
      </c>
      <c r="G7853" t="s">
        <v>5215</v>
      </c>
    </row>
    <row r="7854" spans="1:7">
      <c r="A7854" t="s">
        <v>4336</v>
      </c>
      <c r="G7854" t="s">
        <v>5215</v>
      </c>
    </row>
    <row r="7855" spans="1:7">
      <c r="A7855" t="s">
        <v>4292</v>
      </c>
      <c r="G7855" t="s">
        <v>5215</v>
      </c>
    </row>
    <row r="7856" spans="1:7">
      <c r="A7856" t="s">
        <v>4377</v>
      </c>
      <c r="G7856" t="s">
        <v>4118</v>
      </c>
    </row>
    <row r="7857" spans="1:7">
      <c r="A7857" t="s">
        <v>4319</v>
      </c>
      <c r="G7857" t="s">
        <v>5504</v>
      </c>
    </row>
    <row r="7858" spans="1:7">
      <c r="A7858" t="s">
        <v>5301</v>
      </c>
      <c r="G7858" t="s">
        <v>5504</v>
      </c>
    </row>
    <row r="7859" spans="1:7">
      <c r="A7859" t="s">
        <v>5505</v>
      </c>
      <c r="G7859" t="s">
        <v>5504</v>
      </c>
    </row>
    <row r="7860" spans="1:7">
      <c r="A7860" t="s">
        <v>4379</v>
      </c>
      <c r="G7860" t="s">
        <v>5504</v>
      </c>
    </row>
    <row r="7861" spans="1:7">
      <c r="A7861" t="s">
        <v>4382</v>
      </c>
      <c r="G7861" t="s">
        <v>5504</v>
      </c>
    </row>
    <row r="7862" spans="1:7">
      <c r="A7862" t="s">
        <v>4969</v>
      </c>
      <c r="G7862" t="s">
        <v>5504</v>
      </c>
    </row>
    <row r="7863" spans="1:7">
      <c r="A7863" t="s">
        <v>4356</v>
      </c>
      <c r="G7863" t="s">
        <v>5504</v>
      </c>
    </row>
    <row r="7864" spans="1:7">
      <c r="A7864" t="s">
        <v>4358</v>
      </c>
      <c r="G7864" t="s">
        <v>5504</v>
      </c>
    </row>
    <row r="7865" spans="1:8">
      <c r="A7865" t="s">
        <v>5387</v>
      </c>
      <c r="G7865" t="s">
        <v>5504</v>
      </c>
      <c r="H7865">
        <v>4848097</v>
      </c>
    </row>
    <row r="7866" spans="1:7">
      <c r="A7866" t="s">
        <v>4363</v>
      </c>
      <c r="G7866" t="s">
        <v>5504</v>
      </c>
    </row>
    <row r="7867" spans="1:7">
      <c r="A7867" t="s">
        <v>4363</v>
      </c>
      <c r="B7867">
        <v>4909097</v>
      </c>
      <c r="G7867" t="s">
        <v>5504</v>
      </c>
    </row>
    <row r="7868" spans="1:7">
      <c r="A7868" t="s">
        <v>4356</v>
      </c>
      <c r="G7868" t="s">
        <v>5504</v>
      </c>
    </row>
    <row r="7869" spans="1:7">
      <c r="A7869" t="s">
        <v>4358</v>
      </c>
      <c r="G7869" t="s">
        <v>5504</v>
      </c>
    </row>
    <row r="7870" spans="1:7">
      <c r="A7870" t="s">
        <v>5205</v>
      </c>
      <c r="G7870" t="s">
        <v>5504</v>
      </c>
    </row>
    <row r="7871" spans="1:7">
      <c r="A7871" t="s">
        <v>5505</v>
      </c>
      <c r="G7871" t="s">
        <v>5504</v>
      </c>
    </row>
    <row r="7872" spans="1:7">
      <c r="A7872" t="s">
        <v>4354</v>
      </c>
      <c r="G7872" t="s">
        <v>5504</v>
      </c>
    </row>
    <row r="7873" spans="1:7">
      <c r="A7873" t="s">
        <v>5283</v>
      </c>
      <c r="G7873" t="s">
        <v>5504</v>
      </c>
    </row>
    <row r="7874" spans="1:7">
      <c r="A7874" t="s">
        <v>4376</v>
      </c>
      <c r="G7874" t="s">
        <v>5504</v>
      </c>
    </row>
    <row r="7875" spans="1:7">
      <c r="A7875" t="s">
        <v>4334</v>
      </c>
      <c r="G7875" t="s">
        <v>5504</v>
      </c>
    </row>
    <row r="7876" spans="1:7">
      <c r="A7876" t="s">
        <v>4340</v>
      </c>
      <c r="G7876" t="s">
        <v>5504</v>
      </c>
    </row>
    <row r="7877" spans="1:7">
      <c r="A7877" t="s">
        <v>5387</v>
      </c>
      <c r="G7877" t="s">
        <v>5504</v>
      </c>
    </row>
    <row r="7878" spans="1:7">
      <c r="A7878" t="s">
        <v>4336</v>
      </c>
      <c r="G7878" t="s">
        <v>5504</v>
      </c>
    </row>
    <row r="7879" spans="1:7">
      <c r="A7879" t="s">
        <v>4319</v>
      </c>
      <c r="G7879" t="s">
        <v>5504</v>
      </c>
    </row>
    <row r="7880" spans="1:7">
      <c r="A7880" t="s">
        <v>4377</v>
      </c>
      <c r="G7880" t="s">
        <v>5504</v>
      </c>
    </row>
    <row r="7881" spans="1:7">
      <c r="A7881" t="s">
        <v>5301</v>
      </c>
      <c r="G7881" t="s">
        <v>5504</v>
      </c>
    </row>
    <row r="7882" spans="1:7">
      <c r="A7882" t="s">
        <v>4379</v>
      </c>
      <c r="G7882" t="s">
        <v>5504</v>
      </c>
    </row>
    <row r="7883" spans="1:7">
      <c r="A7883" t="s">
        <v>4384</v>
      </c>
      <c r="G7883" t="s">
        <v>5504</v>
      </c>
    </row>
    <row r="7884" spans="1:7">
      <c r="A7884" t="s">
        <v>4382</v>
      </c>
      <c r="G7884" t="s">
        <v>5504</v>
      </c>
    </row>
    <row r="7885" spans="1:7">
      <c r="A7885" t="s">
        <v>4969</v>
      </c>
      <c r="G7885" t="s">
        <v>5504</v>
      </c>
    </row>
    <row r="7886" spans="1:7">
      <c r="A7886" t="s">
        <v>4914</v>
      </c>
      <c r="G7886" t="s">
        <v>5504</v>
      </c>
    </row>
    <row r="7887" spans="1:7">
      <c r="A7887" t="s">
        <v>4333</v>
      </c>
      <c r="B7887">
        <v>4900097</v>
      </c>
      <c r="G7887" t="s">
        <v>5504</v>
      </c>
    </row>
    <row r="7888" spans="1:7">
      <c r="A7888" t="s">
        <v>4338</v>
      </c>
      <c r="G7888" t="s">
        <v>5504</v>
      </c>
    </row>
    <row r="7889" spans="1:7">
      <c r="A7889" t="s">
        <v>4349</v>
      </c>
      <c r="G7889" t="s">
        <v>4163</v>
      </c>
    </row>
    <row r="7890" spans="1:7">
      <c r="A7890" t="s">
        <v>5150</v>
      </c>
      <c r="B7890">
        <v>4879097</v>
      </c>
      <c r="G7890" t="s">
        <v>4163</v>
      </c>
    </row>
    <row r="7891" spans="1:7">
      <c r="A7891" t="s">
        <v>5293</v>
      </c>
      <c r="G7891" t="s">
        <v>4163</v>
      </c>
    </row>
    <row r="7892" spans="1:7">
      <c r="A7892" t="s">
        <v>4625</v>
      </c>
      <c r="G7892" t="s">
        <v>4163</v>
      </c>
    </row>
    <row r="7893" spans="1:7">
      <c r="A7893" t="s">
        <v>4354</v>
      </c>
      <c r="G7893" t="s">
        <v>4163</v>
      </c>
    </row>
    <row r="7894" spans="1:7">
      <c r="A7894" t="s">
        <v>4985</v>
      </c>
      <c r="G7894" t="s">
        <v>5316</v>
      </c>
    </row>
    <row r="7895" spans="1:7">
      <c r="A7895" t="s">
        <v>5321</v>
      </c>
      <c r="G7895" t="s">
        <v>5316</v>
      </c>
    </row>
    <row r="7896" spans="1:7">
      <c r="A7896" t="s">
        <v>4772</v>
      </c>
      <c r="G7896" t="s">
        <v>5316</v>
      </c>
    </row>
    <row r="7897" spans="1:7">
      <c r="A7897" t="s">
        <v>5144</v>
      </c>
      <c r="G7897" t="s">
        <v>4993</v>
      </c>
    </row>
    <row r="7898" spans="1:7">
      <c r="A7898" t="s">
        <v>4388</v>
      </c>
      <c r="G7898" t="s">
        <v>4993</v>
      </c>
    </row>
    <row r="7899" spans="1:7">
      <c r="A7899" t="s">
        <v>4481</v>
      </c>
      <c r="G7899" t="s">
        <v>4993</v>
      </c>
    </row>
    <row r="7900" spans="1:7">
      <c r="A7900" t="s">
        <v>5301</v>
      </c>
      <c r="G7900" t="s">
        <v>5414</v>
      </c>
    </row>
    <row r="7901" spans="1:7">
      <c r="A7901" t="s">
        <v>4362</v>
      </c>
      <c r="G7901" t="s">
        <v>5414</v>
      </c>
    </row>
    <row r="7902" spans="1:7">
      <c r="A7902" t="s">
        <v>4340</v>
      </c>
      <c r="G7902" t="s">
        <v>5414</v>
      </c>
    </row>
    <row r="7903" spans="1:7">
      <c r="A7903" t="s">
        <v>4832</v>
      </c>
      <c r="G7903" t="s">
        <v>5414</v>
      </c>
    </row>
    <row r="7904" spans="1:7">
      <c r="A7904" t="s">
        <v>4352</v>
      </c>
      <c r="G7904" t="s">
        <v>5333</v>
      </c>
    </row>
    <row r="7905" spans="1:7">
      <c r="A7905" t="s">
        <v>4338</v>
      </c>
      <c r="B7905">
        <v>4898097</v>
      </c>
      <c r="G7905" t="s">
        <v>5333</v>
      </c>
    </row>
    <row r="7906" spans="1:7">
      <c r="A7906" t="s">
        <v>4331</v>
      </c>
      <c r="G7906" t="s">
        <v>5333</v>
      </c>
    </row>
    <row r="7907" spans="1:7">
      <c r="A7907" t="s">
        <v>4342</v>
      </c>
      <c r="G7907" t="s">
        <v>5018</v>
      </c>
    </row>
    <row r="7908" spans="1:7">
      <c r="A7908" t="s">
        <v>5269</v>
      </c>
      <c r="G7908" t="s">
        <v>4159</v>
      </c>
    </row>
    <row r="7909" spans="1:7">
      <c r="A7909" t="s">
        <v>5302</v>
      </c>
      <c r="G7909" t="s">
        <v>4159</v>
      </c>
    </row>
    <row r="7910" spans="1:7">
      <c r="A7910" t="s">
        <v>5120</v>
      </c>
      <c r="G7910" t="s">
        <v>4159</v>
      </c>
    </row>
    <row r="7911" spans="1:8">
      <c r="A7911" t="s">
        <v>4385</v>
      </c>
      <c r="G7911" t="s">
        <v>4159</v>
      </c>
      <c r="H7911">
        <v>5335097</v>
      </c>
    </row>
    <row r="7912" spans="1:7">
      <c r="A7912" t="s">
        <v>4379</v>
      </c>
      <c r="G7912" t="s">
        <v>4159</v>
      </c>
    </row>
    <row r="7913" spans="1:7">
      <c r="A7913" t="s">
        <v>4683</v>
      </c>
      <c r="G7913" t="s">
        <v>4159</v>
      </c>
    </row>
    <row r="7914" spans="1:7">
      <c r="A7914" t="s">
        <v>4959</v>
      </c>
      <c r="G7914" t="s">
        <v>4159</v>
      </c>
    </row>
    <row r="7915" spans="1:7">
      <c r="A7915" t="s">
        <v>4382</v>
      </c>
      <c r="G7915" t="s">
        <v>5506</v>
      </c>
    </row>
    <row r="7916" spans="1:7">
      <c r="A7916" t="s">
        <v>4684</v>
      </c>
      <c r="G7916" t="s">
        <v>5507</v>
      </c>
    </row>
    <row r="7917" spans="1:7">
      <c r="A7917" t="s">
        <v>5172</v>
      </c>
      <c r="G7917" t="s">
        <v>5507</v>
      </c>
    </row>
    <row r="7918" spans="1:7">
      <c r="A7918" t="s">
        <v>4361</v>
      </c>
      <c r="G7918" t="s">
        <v>5341</v>
      </c>
    </row>
    <row r="7919" spans="1:7">
      <c r="A7919" t="s">
        <v>4832</v>
      </c>
      <c r="G7919" t="s">
        <v>5025</v>
      </c>
    </row>
    <row r="7920" spans="1:7">
      <c r="A7920" t="s">
        <v>4349</v>
      </c>
      <c r="G7920" t="s">
        <v>5025</v>
      </c>
    </row>
    <row r="7921" spans="1:7">
      <c r="A7921" t="s">
        <v>4336</v>
      </c>
      <c r="B7921">
        <v>4897097</v>
      </c>
      <c r="G7921" t="s">
        <v>5025</v>
      </c>
    </row>
    <row r="7922" spans="1:7">
      <c r="A7922" t="s">
        <v>4362</v>
      </c>
      <c r="G7922" t="s">
        <v>5025</v>
      </c>
    </row>
    <row r="7923" spans="1:7">
      <c r="A7923" t="s">
        <v>5033</v>
      </c>
      <c r="G7923" t="s">
        <v>5025</v>
      </c>
    </row>
    <row r="7924" spans="1:7">
      <c r="A7924" t="s">
        <v>4377</v>
      </c>
      <c r="G7924" t="s">
        <v>5025</v>
      </c>
    </row>
    <row r="7925" spans="1:7">
      <c r="A7925" t="s">
        <v>5283</v>
      </c>
      <c r="G7925" t="s">
        <v>5025</v>
      </c>
    </row>
    <row r="7926" spans="1:7">
      <c r="A7926" t="s">
        <v>4103</v>
      </c>
      <c r="G7926" t="s">
        <v>5025</v>
      </c>
    </row>
    <row r="7927" spans="1:7">
      <c r="A7927" t="s">
        <v>5255</v>
      </c>
      <c r="G7927" t="s">
        <v>4146</v>
      </c>
    </row>
    <row r="7928" spans="1:7">
      <c r="A7928" t="s">
        <v>4821</v>
      </c>
      <c r="G7928" t="s">
        <v>5248</v>
      </c>
    </row>
    <row r="7929" spans="1:7">
      <c r="A7929" t="s">
        <v>4356</v>
      </c>
      <c r="G7929" t="s">
        <v>5508</v>
      </c>
    </row>
    <row r="7930" spans="1:7">
      <c r="A7930" t="s">
        <v>4985</v>
      </c>
      <c r="B7930">
        <v>4870097</v>
      </c>
      <c r="G7930" t="s">
        <v>5508</v>
      </c>
    </row>
    <row r="7931" spans="1:7">
      <c r="A7931" t="s">
        <v>4338</v>
      </c>
      <c r="G7931" t="s">
        <v>5508</v>
      </c>
    </row>
    <row r="7932" spans="1:7">
      <c r="A7932" t="s">
        <v>4364</v>
      </c>
      <c r="G7932" t="s">
        <v>5508</v>
      </c>
    </row>
    <row r="7933" spans="1:7">
      <c r="A7933" t="s">
        <v>4379</v>
      </c>
      <c r="G7933" t="s">
        <v>5386</v>
      </c>
    </row>
    <row r="7934" spans="1:7">
      <c r="A7934" t="s">
        <v>4772</v>
      </c>
      <c r="G7934" t="s">
        <v>5386</v>
      </c>
    </row>
    <row r="7935" spans="1:7">
      <c r="A7935" t="s">
        <v>4363</v>
      </c>
      <c r="B7935">
        <v>4890097</v>
      </c>
      <c r="G7935" t="s">
        <v>5386</v>
      </c>
    </row>
    <row r="7936" spans="1:7">
      <c r="A7936" t="s">
        <v>5434</v>
      </c>
      <c r="G7936" t="s">
        <v>5317</v>
      </c>
    </row>
    <row r="7937" spans="1:7">
      <c r="A7937" t="s">
        <v>4351</v>
      </c>
      <c r="G7937" t="s">
        <v>4809</v>
      </c>
    </row>
    <row r="7938" spans="1:7">
      <c r="A7938" t="s">
        <v>4336</v>
      </c>
      <c r="G7938" t="s">
        <v>4809</v>
      </c>
    </row>
    <row r="7939" spans="1:8">
      <c r="A7939" t="s">
        <v>4377</v>
      </c>
      <c r="G7939" t="s">
        <v>4809</v>
      </c>
      <c r="H7939">
        <v>5375097</v>
      </c>
    </row>
    <row r="7940" spans="1:7">
      <c r="A7940" t="s">
        <v>4113</v>
      </c>
      <c r="G7940" t="s">
        <v>4809</v>
      </c>
    </row>
    <row r="7941" spans="1:7">
      <c r="A7941" t="s">
        <v>4340</v>
      </c>
      <c r="G7941" t="s">
        <v>4809</v>
      </c>
    </row>
    <row r="7942" spans="1:7">
      <c r="A7942" t="s">
        <v>4364</v>
      </c>
      <c r="G7942" t="s">
        <v>4809</v>
      </c>
    </row>
    <row r="7943" spans="1:7">
      <c r="A7943" t="s">
        <v>4356</v>
      </c>
      <c r="G7943" t="s">
        <v>4809</v>
      </c>
    </row>
    <row r="7944" spans="1:8">
      <c r="A7944" t="s">
        <v>4358</v>
      </c>
      <c r="G7944" t="s">
        <v>4852</v>
      </c>
      <c r="H7944">
        <v>5425097</v>
      </c>
    </row>
    <row r="7945" spans="1:7">
      <c r="A7945" t="s">
        <v>4354</v>
      </c>
      <c r="G7945" t="s">
        <v>5022</v>
      </c>
    </row>
    <row r="7946" spans="1:7">
      <c r="A7946" t="s">
        <v>4351</v>
      </c>
      <c r="B7946">
        <v>4889097</v>
      </c>
      <c r="G7946" t="s">
        <v>4403</v>
      </c>
    </row>
    <row r="7947" spans="1:7">
      <c r="A7947" t="s">
        <v>4354</v>
      </c>
      <c r="G7947" t="s">
        <v>4403</v>
      </c>
    </row>
    <row r="7948" spans="1:7">
      <c r="A7948" t="s">
        <v>5450</v>
      </c>
      <c r="G7948" t="s">
        <v>4403</v>
      </c>
    </row>
    <row r="7949" spans="1:7">
      <c r="A7949" t="s">
        <v>5449</v>
      </c>
      <c r="G7949" t="s">
        <v>4403</v>
      </c>
    </row>
    <row r="7950" spans="1:7">
      <c r="A7950" t="s">
        <v>4972</v>
      </c>
      <c r="G7950" t="s">
        <v>4403</v>
      </c>
    </row>
    <row r="7951" spans="1:7">
      <c r="A7951" t="s">
        <v>5443</v>
      </c>
      <c r="G7951" t="s">
        <v>5509</v>
      </c>
    </row>
    <row r="7952" spans="1:8">
      <c r="A7952" t="s">
        <v>5119</v>
      </c>
      <c r="G7952" t="s">
        <v>5311</v>
      </c>
      <c r="H7952">
        <v>5077097</v>
      </c>
    </row>
    <row r="7953" spans="1:7">
      <c r="A7953" t="s">
        <v>4364</v>
      </c>
      <c r="G7953" t="s">
        <v>5311</v>
      </c>
    </row>
    <row r="7954" spans="1:7">
      <c r="A7954" t="s">
        <v>4686</v>
      </c>
      <c r="B7954">
        <v>4868097</v>
      </c>
      <c r="G7954" t="s">
        <v>4904</v>
      </c>
    </row>
    <row r="7955" spans="1:7">
      <c r="A7955" t="s">
        <v>5442</v>
      </c>
      <c r="G7955" t="s">
        <v>4904</v>
      </c>
    </row>
    <row r="7956" spans="1:7">
      <c r="A7956" t="s">
        <v>5175</v>
      </c>
      <c r="G7956" t="s">
        <v>4904</v>
      </c>
    </row>
    <row r="7957" spans="1:7">
      <c r="A7957" t="s">
        <v>4379</v>
      </c>
      <c r="G7957" t="s">
        <v>4904</v>
      </c>
    </row>
    <row r="7958" spans="1:7">
      <c r="A7958" t="s">
        <v>5174</v>
      </c>
      <c r="G7958" t="s">
        <v>4764</v>
      </c>
    </row>
    <row r="7959" spans="1:7">
      <c r="A7959" t="s">
        <v>5434</v>
      </c>
      <c r="G7959" t="s">
        <v>4764</v>
      </c>
    </row>
    <row r="7960" spans="1:7">
      <c r="A7960" t="s">
        <v>4356</v>
      </c>
      <c r="G7960" t="s">
        <v>4764</v>
      </c>
    </row>
    <row r="7961" spans="1:7">
      <c r="A7961" t="s">
        <v>4338</v>
      </c>
      <c r="G7961" t="s">
        <v>4764</v>
      </c>
    </row>
    <row r="7962" spans="1:7">
      <c r="A7962" t="s">
        <v>4363</v>
      </c>
      <c r="G7962" t="s">
        <v>4764</v>
      </c>
    </row>
    <row r="7963" spans="1:7">
      <c r="A7963" t="s">
        <v>4340</v>
      </c>
      <c r="G7963" t="s">
        <v>4764</v>
      </c>
    </row>
    <row r="7964" spans="1:7">
      <c r="A7964" t="s">
        <v>4358</v>
      </c>
      <c r="G7964" t="s">
        <v>4764</v>
      </c>
    </row>
    <row r="7965" spans="1:7">
      <c r="A7965" t="s">
        <v>5466</v>
      </c>
      <c r="B7965">
        <v>4887097</v>
      </c>
      <c r="G7965" t="s">
        <v>4764</v>
      </c>
    </row>
    <row r="7966" spans="1:7">
      <c r="A7966" t="s">
        <v>5471</v>
      </c>
      <c r="G7966" t="s">
        <v>4764</v>
      </c>
    </row>
    <row r="7967" spans="1:7">
      <c r="A7967" t="s">
        <v>5472</v>
      </c>
      <c r="G7967" t="s">
        <v>5312</v>
      </c>
    </row>
    <row r="7968" spans="1:8">
      <c r="A7968" t="s">
        <v>4084</v>
      </c>
      <c r="G7968" t="s">
        <v>4223</v>
      </c>
      <c r="H7968">
        <v>5609097</v>
      </c>
    </row>
    <row r="7969" spans="1:7">
      <c r="A7969" t="s">
        <v>4997</v>
      </c>
      <c r="G7969" t="s">
        <v>4893</v>
      </c>
    </row>
    <row r="7970" spans="1:7">
      <c r="A7970" t="s">
        <v>5437</v>
      </c>
      <c r="G7970" t="s">
        <v>4893</v>
      </c>
    </row>
    <row r="7971" spans="1:7">
      <c r="A7971" t="s">
        <v>5485</v>
      </c>
      <c r="G7971" t="s">
        <v>4377</v>
      </c>
    </row>
    <row r="7972" spans="1:7">
      <c r="A7972" t="s">
        <v>4823</v>
      </c>
      <c r="G7972" t="s">
        <v>4377</v>
      </c>
    </row>
    <row r="7973" spans="1:8">
      <c r="A7973" t="s">
        <v>5327</v>
      </c>
      <c r="G7973" t="s">
        <v>4377</v>
      </c>
      <c r="H7973">
        <v>5534097</v>
      </c>
    </row>
    <row r="7974" spans="1:7">
      <c r="A7974" t="s">
        <v>5463</v>
      </c>
      <c r="G7974" t="s">
        <v>4377</v>
      </c>
    </row>
    <row r="7975" spans="1:7">
      <c r="A7975" t="s">
        <v>5510</v>
      </c>
      <c r="G7975" t="s">
        <v>4377</v>
      </c>
    </row>
    <row r="7976" spans="1:7">
      <c r="A7976" t="s">
        <v>5121</v>
      </c>
      <c r="B7976">
        <v>4866097</v>
      </c>
      <c r="G7976" t="s">
        <v>4377</v>
      </c>
    </row>
    <row r="7977" spans="1:7">
      <c r="A7977" t="s">
        <v>5511</v>
      </c>
      <c r="G7977" t="s">
        <v>4377</v>
      </c>
    </row>
    <row r="7978" spans="1:7">
      <c r="A7978" t="s">
        <v>4871</v>
      </c>
      <c r="G7978" t="s">
        <v>4377</v>
      </c>
    </row>
    <row r="7979" spans="1:7">
      <c r="A7979" t="s">
        <v>5362</v>
      </c>
      <c r="G7979" t="s">
        <v>4377</v>
      </c>
    </row>
    <row r="7980" spans="1:8">
      <c r="A7980" t="s">
        <v>4085</v>
      </c>
      <c r="G7980" t="s">
        <v>4377</v>
      </c>
      <c r="H7980">
        <v>5040097</v>
      </c>
    </row>
    <row r="7981" spans="1:8">
      <c r="A7981" t="s">
        <v>5286</v>
      </c>
      <c r="G7981" t="s">
        <v>4377</v>
      </c>
      <c r="H7981">
        <v>5039097</v>
      </c>
    </row>
    <row r="7982" spans="1:7">
      <c r="A7982" t="s">
        <v>4377</v>
      </c>
      <c r="B7982">
        <v>4883097</v>
      </c>
      <c r="G7982" t="s">
        <v>4377</v>
      </c>
    </row>
    <row r="7983" spans="1:7">
      <c r="A7983" t="s">
        <v>4391</v>
      </c>
      <c r="G7983" t="s">
        <v>4377</v>
      </c>
    </row>
    <row r="7984" spans="1:7">
      <c r="A7984" t="s">
        <v>4384</v>
      </c>
      <c r="G7984" t="s">
        <v>4377</v>
      </c>
    </row>
    <row r="7985" spans="1:7">
      <c r="A7985" t="s">
        <v>4085</v>
      </c>
      <c r="G7985" t="s">
        <v>4377</v>
      </c>
    </row>
    <row r="7986" spans="1:7">
      <c r="A7986" t="s">
        <v>4110</v>
      </c>
      <c r="G7986" t="s">
        <v>4377</v>
      </c>
    </row>
    <row r="7987" spans="1:7">
      <c r="A7987" t="s">
        <v>4336</v>
      </c>
      <c r="G7987" t="s">
        <v>4377</v>
      </c>
    </row>
    <row r="7988" spans="1:7">
      <c r="A7988" t="s">
        <v>4381</v>
      </c>
      <c r="G7988" t="s">
        <v>4377</v>
      </c>
    </row>
    <row r="7989" spans="1:7">
      <c r="A7989" t="s">
        <v>4345</v>
      </c>
      <c r="G7989" t="s">
        <v>4377</v>
      </c>
    </row>
    <row r="7990" spans="1:7">
      <c r="A7990" t="s">
        <v>5195</v>
      </c>
      <c r="G7990" t="s">
        <v>4377</v>
      </c>
    </row>
    <row r="7991" spans="1:7">
      <c r="A7991" t="s">
        <v>4363</v>
      </c>
      <c r="G7991" t="s">
        <v>4377</v>
      </c>
    </row>
    <row r="7992" spans="1:7">
      <c r="A7992" t="s">
        <v>4352</v>
      </c>
      <c r="G7992" t="s">
        <v>4377</v>
      </c>
    </row>
    <row r="7993" spans="1:7">
      <c r="A7993" t="s">
        <v>5212</v>
      </c>
      <c r="G7993" t="s">
        <v>4377</v>
      </c>
    </row>
    <row r="7994" spans="1:8">
      <c r="A7994" t="s">
        <v>4376</v>
      </c>
      <c r="G7994" t="s">
        <v>4377</v>
      </c>
      <c r="H7994">
        <v>4883097</v>
      </c>
    </row>
    <row r="7995" spans="1:7">
      <c r="A7995" t="s">
        <v>4364</v>
      </c>
      <c r="G7995" t="s">
        <v>4377</v>
      </c>
    </row>
    <row r="7996" spans="1:7">
      <c r="A7996" t="s">
        <v>4362</v>
      </c>
      <c r="G7996" t="s">
        <v>4377</v>
      </c>
    </row>
    <row r="7997" spans="1:7">
      <c r="A7997" t="s">
        <v>4985</v>
      </c>
      <c r="G7997" t="s">
        <v>4377</v>
      </c>
    </row>
    <row r="7998" spans="1:7">
      <c r="A7998" t="s">
        <v>5016</v>
      </c>
      <c r="G7998" t="s">
        <v>4377</v>
      </c>
    </row>
    <row r="7999" spans="1:8">
      <c r="A7999" t="s">
        <v>5458</v>
      </c>
      <c r="G7999" t="s">
        <v>4377</v>
      </c>
      <c r="H7999">
        <v>4864097</v>
      </c>
    </row>
    <row r="8000" spans="1:8">
      <c r="A8000" t="s">
        <v>4382</v>
      </c>
      <c r="B8000">
        <v>4864097</v>
      </c>
      <c r="G8000" t="s">
        <v>4377</v>
      </c>
      <c r="H8000">
        <v>4862097</v>
      </c>
    </row>
    <row r="8001" spans="1:7">
      <c r="A8001" t="s">
        <v>4358</v>
      </c>
      <c r="G8001" t="s">
        <v>4377</v>
      </c>
    </row>
    <row r="8002" spans="1:7">
      <c r="A8002" t="s">
        <v>5033</v>
      </c>
      <c r="G8002" t="s">
        <v>4377</v>
      </c>
    </row>
    <row r="8003" spans="1:7">
      <c r="A8003" t="s">
        <v>4573</v>
      </c>
      <c r="G8003" t="s">
        <v>4377</v>
      </c>
    </row>
    <row r="8004" spans="1:7">
      <c r="A8004" t="s">
        <v>4378</v>
      </c>
      <c r="G8004" t="s">
        <v>4377</v>
      </c>
    </row>
    <row r="8005" spans="1:7">
      <c r="A8005" t="s">
        <v>4356</v>
      </c>
      <c r="G8005" t="s">
        <v>4377</v>
      </c>
    </row>
    <row r="8006" spans="1:7">
      <c r="A8006" t="s">
        <v>4340</v>
      </c>
      <c r="G8006" t="s">
        <v>4377</v>
      </c>
    </row>
    <row r="8007" spans="1:8">
      <c r="A8007" t="s">
        <v>5301</v>
      </c>
      <c r="G8007" t="s">
        <v>4377</v>
      </c>
      <c r="H8007">
        <v>4848097</v>
      </c>
    </row>
    <row r="8008" spans="1:7">
      <c r="A8008" t="s">
        <v>4632</v>
      </c>
      <c r="G8008" t="s">
        <v>4377</v>
      </c>
    </row>
    <row r="8009" spans="1:7">
      <c r="A8009" t="s">
        <v>4342</v>
      </c>
      <c r="G8009" t="s">
        <v>4377</v>
      </c>
    </row>
    <row r="8010" spans="1:8">
      <c r="A8010" t="s">
        <v>4387</v>
      </c>
      <c r="G8010" t="s">
        <v>4377</v>
      </c>
      <c r="H8010">
        <v>4826097</v>
      </c>
    </row>
    <row r="8011" spans="1:7">
      <c r="A8011" t="s">
        <v>5309</v>
      </c>
      <c r="G8011" t="s">
        <v>4377</v>
      </c>
    </row>
    <row r="8012" spans="1:7">
      <c r="A8012" t="s">
        <v>5442</v>
      </c>
      <c r="G8012" t="s">
        <v>4377</v>
      </c>
    </row>
    <row r="8013" spans="1:7">
      <c r="A8013" t="s">
        <v>5351</v>
      </c>
      <c r="G8013" t="s">
        <v>4377</v>
      </c>
    </row>
    <row r="8014" spans="1:7">
      <c r="A8014" t="s">
        <v>5512</v>
      </c>
      <c r="G8014" t="s">
        <v>4377</v>
      </c>
    </row>
    <row r="8015" spans="1:7">
      <c r="A8015" t="s">
        <v>4361</v>
      </c>
      <c r="G8015" t="s">
        <v>4377</v>
      </c>
    </row>
    <row r="8016" spans="1:7">
      <c r="A8016" t="s">
        <v>4955</v>
      </c>
      <c r="G8016" t="s">
        <v>4377</v>
      </c>
    </row>
    <row r="8017" spans="1:7">
      <c r="A8017" t="s">
        <v>4388</v>
      </c>
      <c r="G8017" t="s">
        <v>4377</v>
      </c>
    </row>
    <row r="8018" spans="1:7">
      <c r="A8018" t="s">
        <v>4385</v>
      </c>
      <c r="G8018" t="s">
        <v>4377</v>
      </c>
    </row>
    <row r="8019" spans="1:8">
      <c r="A8019" t="s">
        <v>5504</v>
      </c>
      <c r="G8019" t="s">
        <v>4377</v>
      </c>
      <c r="H8019">
        <v>4781097</v>
      </c>
    </row>
    <row r="8020" spans="1:7">
      <c r="A8020" t="s">
        <v>5343</v>
      </c>
      <c r="B8020">
        <v>4879097</v>
      </c>
      <c r="G8020" t="s">
        <v>4377</v>
      </c>
    </row>
    <row r="8021" spans="1:7">
      <c r="A8021" t="s">
        <v>5104</v>
      </c>
      <c r="G8021" t="s">
        <v>4377</v>
      </c>
    </row>
    <row r="8022" spans="1:7">
      <c r="A8022" t="s">
        <v>4004</v>
      </c>
      <c r="G8022" t="s">
        <v>4377</v>
      </c>
    </row>
    <row r="8023" spans="1:7">
      <c r="A8023" t="s">
        <v>4645</v>
      </c>
      <c r="B8023">
        <v>4862097</v>
      </c>
      <c r="G8023" t="s">
        <v>4377</v>
      </c>
    </row>
    <row r="8024" spans="1:7">
      <c r="A8024" t="s">
        <v>5452</v>
      </c>
      <c r="G8024" t="s">
        <v>4377</v>
      </c>
    </row>
    <row r="8025" spans="1:8">
      <c r="A8025" t="s">
        <v>5513</v>
      </c>
      <c r="G8025" t="s">
        <v>4377</v>
      </c>
      <c r="H8025">
        <v>4758097</v>
      </c>
    </row>
    <row r="8026" spans="1:7">
      <c r="A8026" t="s">
        <v>4860</v>
      </c>
      <c r="G8026" t="s">
        <v>4377</v>
      </c>
    </row>
    <row r="8027" spans="1:7">
      <c r="A8027" t="s">
        <v>5294</v>
      </c>
      <c r="G8027" t="s">
        <v>4377</v>
      </c>
    </row>
    <row r="8028" spans="1:7">
      <c r="A8028" t="s">
        <v>4643</v>
      </c>
      <c r="G8028" t="s">
        <v>4856</v>
      </c>
    </row>
    <row r="8029" spans="1:7">
      <c r="A8029" t="s">
        <v>4153</v>
      </c>
      <c r="G8029" t="s">
        <v>5177</v>
      </c>
    </row>
    <row r="8030" spans="1:7">
      <c r="A8030" t="s">
        <v>5325</v>
      </c>
      <c r="G8030" t="s">
        <v>5177</v>
      </c>
    </row>
    <row r="8031" spans="1:7">
      <c r="A8031" t="s">
        <v>4959</v>
      </c>
      <c r="G8031" t="s">
        <v>5177</v>
      </c>
    </row>
    <row r="8032" spans="1:7">
      <c r="A8032" t="s">
        <v>4871</v>
      </c>
      <c r="G8032" t="s">
        <v>5177</v>
      </c>
    </row>
    <row r="8033" spans="1:7">
      <c r="A8033" t="s">
        <v>5121</v>
      </c>
      <c r="G8033" t="s">
        <v>5177</v>
      </c>
    </row>
    <row r="8034" spans="1:7">
      <c r="A8034" t="s">
        <v>4488</v>
      </c>
      <c r="G8034" t="s">
        <v>4826</v>
      </c>
    </row>
    <row r="8035" spans="1:7">
      <c r="A8035" t="s">
        <v>4391</v>
      </c>
      <c r="B8035">
        <v>4872097</v>
      </c>
      <c r="G8035" t="s">
        <v>4826</v>
      </c>
    </row>
    <row r="8036" spans="1:7">
      <c r="A8036" t="s">
        <v>5514</v>
      </c>
      <c r="G8036" t="s">
        <v>4826</v>
      </c>
    </row>
    <row r="8037" spans="1:7">
      <c r="A8037" t="s">
        <v>4381</v>
      </c>
      <c r="G8037" t="s">
        <v>4826</v>
      </c>
    </row>
    <row r="8038" spans="1:7">
      <c r="A8038" t="s">
        <v>5033</v>
      </c>
      <c r="G8038" t="s">
        <v>4826</v>
      </c>
    </row>
    <row r="8039" spans="1:7">
      <c r="A8039" t="s">
        <v>5504</v>
      </c>
      <c r="G8039" t="s">
        <v>4826</v>
      </c>
    </row>
    <row r="8040" spans="1:7">
      <c r="A8040" t="s">
        <v>5351</v>
      </c>
      <c r="G8040" t="s">
        <v>4826</v>
      </c>
    </row>
    <row r="8041" spans="1:7">
      <c r="A8041" t="s">
        <v>4376</v>
      </c>
      <c r="G8041" t="s">
        <v>4826</v>
      </c>
    </row>
    <row r="8042" spans="1:7">
      <c r="A8042" t="s">
        <v>4085</v>
      </c>
      <c r="G8042" t="s">
        <v>4826</v>
      </c>
    </row>
    <row r="8043" spans="1:7">
      <c r="A8043" t="s">
        <v>4362</v>
      </c>
      <c r="G8043" t="s">
        <v>4826</v>
      </c>
    </row>
    <row r="8044" spans="1:7">
      <c r="A8044" t="s">
        <v>4632</v>
      </c>
      <c r="G8044" t="s">
        <v>4826</v>
      </c>
    </row>
    <row r="8045" spans="1:7">
      <c r="A8045" t="s">
        <v>4377</v>
      </c>
      <c r="G8045" t="s">
        <v>4826</v>
      </c>
    </row>
    <row r="8046" spans="1:7">
      <c r="A8046" t="s">
        <v>4388</v>
      </c>
      <c r="G8046" t="s">
        <v>4826</v>
      </c>
    </row>
    <row r="8047" spans="1:7">
      <c r="A8047" t="s">
        <v>4659</v>
      </c>
      <c r="G8047" t="s">
        <v>4826</v>
      </c>
    </row>
    <row r="8048" spans="1:7">
      <c r="A8048" t="s">
        <v>4364</v>
      </c>
      <c r="G8048" t="s">
        <v>4826</v>
      </c>
    </row>
    <row r="8049" spans="1:7">
      <c r="A8049" t="s">
        <v>5515</v>
      </c>
      <c r="G8049" t="s">
        <v>4826</v>
      </c>
    </row>
    <row r="8050" spans="1:7">
      <c r="A8050" t="s">
        <v>5512</v>
      </c>
      <c r="G8050" t="s">
        <v>4826</v>
      </c>
    </row>
    <row r="8051" spans="1:7">
      <c r="A8051" t="s">
        <v>4342</v>
      </c>
      <c r="G8051" t="s">
        <v>4826</v>
      </c>
    </row>
    <row r="8052" spans="1:7">
      <c r="A8052" t="s">
        <v>4384</v>
      </c>
      <c r="G8052" t="s">
        <v>4826</v>
      </c>
    </row>
    <row r="8053" spans="1:7">
      <c r="A8053" t="s">
        <v>4955</v>
      </c>
      <c r="G8053" t="s">
        <v>4826</v>
      </c>
    </row>
    <row r="8054" spans="1:8">
      <c r="A8054" t="s">
        <v>4378</v>
      </c>
      <c r="G8054" t="s">
        <v>4826</v>
      </c>
      <c r="H8054">
        <v>5269097</v>
      </c>
    </row>
    <row r="8055" spans="1:7">
      <c r="A8055" t="s">
        <v>4382</v>
      </c>
      <c r="G8055" t="s">
        <v>4826</v>
      </c>
    </row>
    <row r="8056" spans="1:7">
      <c r="A8056" t="s">
        <v>4302</v>
      </c>
      <c r="G8056" t="s">
        <v>4826</v>
      </c>
    </row>
    <row r="8057" spans="1:7">
      <c r="A8057" t="s">
        <v>4336</v>
      </c>
      <c r="G8057" t="s">
        <v>4826</v>
      </c>
    </row>
    <row r="8058" spans="1:7">
      <c r="A8058" t="s">
        <v>4361</v>
      </c>
      <c r="G8058" t="s">
        <v>4826</v>
      </c>
    </row>
    <row r="8059" spans="1:7">
      <c r="A8059" t="s">
        <v>4352</v>
      </c>
      <c r="B8059">
        <v>4860097</v>
      </c>
      <c r="G8059" t="s">
        <v>4826</v>
      </c>
    </row>
    <row r="8060" spans="1:7">
      <c r="A8060" t="s">
        <v>4378</v>
      </c>
      <c r="B8060">
        <v>4870097</v>
      </c>
      <c r="G8060" t="s">
        <v>4826</v>
      </c>
    </row>
    <row r="8061" spans="1:7">
      <c r="A8061" t="s">
        <v>4361</v>
      </c>
      <c r="G8061" t="s">
        <v>4826</v>
      </c>
    </row>
    <row r="8062" spans="1:7">
      <c r="A8062" t="s">
        <v>5351</v>
      </c>
      <c r="G8062" t="s">
        <v>5155</v>
      </c>
    </row>
    <row r="8063" spans="1:7">
      <c r="A8063" t="s">
        <v>4342</v>
      </c>
      <c r="G8063" t="s">
        <v>5443</v>
      </c>
    </row>
    <row r="8064" spans="1:7">
      <c r="A8064" t="s">
        <v>4085</v>
      </c>
      <c r="G8064" t="s">
        <v>5443</v>
      </c>
    </row>
    <row r="8065" spans="1:7">
      <c r="A8065" t="s">
        <v>5033</v>
      </c>
      <c r="G8065" t="s">
        <v>5443</v>
      </c>
    </row>
    <row r="8066" spans="1:7">
      <c r="A8066" t="s">
        <v>5504</v>
      </c>
      <c r="G8066" t="s">
        <v>5443</v>
      </c>
    </row>
    <row r="8067" spans="1:7">
      <c r="A8067" t="s">
        <v>4376</v>
      </c>
      <c r="G8067" t="s">
        <v>5443</v>
      </c>
    </row>
    <row r="8068" spans="1:7">
      <c r="A8068" t="s">
        <v>4381</v>
      </c>
      <c r="G8068" t="s">
        <v>5443</v>
      </c>
    </row>
    <row r="8069" spans="1:7">
      <c r="A8069" t="s">
        <v>4362</v>
      </c>
      <c r="G8069" t="s">
        <v>5443</v>
      </c>
    </row>
    <row r="8070" spans="1:7">
      <c r="A8070" t="s">
        <v>4632</v>
      </c>
      <c r="G8070" t="s">
        <v>5443</v>
      </c>
    </row>
    <row r="8071" spans="1:7">
      <c r="A8071" t="s">
        <v>4382</v>
      </c>
      <c r="G8071" t="s">
        <v>5443</v>
      </c>
    </row>
    <row r="8072" spans="1:7">
      <c r="A8072" t="s">
        <v>4336</v>
      </c>
      <c r="G8072" t="s">
        <v>5443</v>
      </c>
    </row>
    <row r="8073" spans="1:7">
      <c r="A8073" t="s">
        <v>5234</v>
      </c>
      <c r="G8073" t="s">
        <v>5443</v>
      </c>
    </row>
    <row r="8074" spans="1:7">
      <c r="A8074" t="s">
        <v>4388</v>
      </c>
      <c r="G8074" t="s">
        <v>5443</v>
      </c>
    </row>
    <row r="8075" spans="1:7">
      <c r="A8075" t="s">
        <v>4377</v>
      </c>
      <c r="G8075" t="s">
        <v>5443</v>
      </c>
    </row>
    <row r="8076" spans="1:7">
      <c r="A8076" t="s">
        <v>5512</v>
      </c>
      <c r="G8076" t="s">
        <v>5443</v>
      </c>
    </row>
    <row r="8077" spans="1:7">
      <c r="A8077" t="s">
        <v>4955</v>
      </c>
      <c r="G8077" t="s">
        <v>5416</v>
      </c>
    </row>
    <row r="8078" spans="1:7">
      <c r="A8078" t="s">
        <v>4391</v>
      </c>
      <c r="G8078" t="s">
        <v>5416</v>
      </c>
    </row>
    <row r="8079" spans="1:7">
      <c r="A8079" t="s">
        <v>4302</v>
      </c>
      <c r="G8079" t="s">
        <v>5416</v>
      </c>
    </row>
    <row r="8080" spans="1:7">
      <c r="A8080" t="s">
        <v>5443</v>
      </c>
      <c r="G8080" t="s">
        <v>5241</v>
      </c>
    </row>
    <row r="8081" spans="1:7">
      <c r="A8081" t="s">
        <v>4379</v>
      </c>
      <c r="G8081" t="s">
        <v>5241</v>
      </c>
    </row>
    <row r="8082" spans="1:7">
      <c r="A8082" t="s">
        <v>4352</v>
      </c>
      <c r="G8082" t="s">
        <v>4282</v>
      </c>
    </row>
    <row r="8083" spans="1:7">
      <c r="A8083" t="s">
        <v>4364</v>
      </c>
      <c r="G8083" t="s">
        <v>4282</v>
      </c>
    </row>
    <row r="8084" spans="1:7">
      <c r="A8084" t="s">
        <v>4378</v>
      </c>
      <c r="B8084">
        <v>4868097</v>
      </c>
      <c r="G8084" t="s">
        <v>4282</v>
      </c>
    </row>
    <row r="8085" spans="1:7">
      <c r="A8085" t="s">
        <v>4381</v>
      </c>
      <c r="G8085" t="s">
        <v>4282</v>
      </c>
    </row>
    <row r="8086" spans="1:7">
      <c r="A8086" t="s">
        <v>5504</v>
      </c>
      <c r="G8086" t="s">
        <v>4998</v>
      </c>
    </row>
    <row r="8087" spans="1:7">
      <c r="A8087" t="s">
        <v>4659</v>
      </c>
      <c r="G8087" t="s">
        <v>4998</v>
      </c>
    </row>
    <row r="8088" spans="1:7">
      <c r="A8088" t="s">
        <v>4376</v>
      </c>
      <c r="G8088" t="s">
        <v>4998</v>
      </c>
    </row>
    <row r="8089" spans="1:7">
      <c r="A8089" t="s">
        <v>4362</v>
      </c>
      <c r="G8089" t="s">
        <v>4998</v>
      </c>
    </row>
    <row r="8090" spans="1:7">
      <c r="A8090" t="s">
        <v>4085</v>
      </c>
      <c r="G8090" t="s">
        <v>4998</v>
      </c>
    </row>
    <row r="8091" spans="1:7">
      <c r="A8091" t="s">
        <v>4632</v>
      </c>
      <c r="G8091" t="s">
        <v>4998</v>
      </c>
    </row>
    <row r="8092" spans="1:7">
      <c r="A8092" t="s">
        <v>4382</v>
      </c>
      <c r="G8092" t="s">
        <v>4998</v>
      </c>
    </row>
    <row r="8093" spans="1:7">
      <c r="A8093" t="s">
        <v>4364</v>
      </c>
      <c r="G8093" t="s">
        <v>4998</v>
      </c>
    </row>
    <row r="8094" spans="1:7">
      <c r="A8094" t="s">
        <v>4391</v>
      </c>
      <c r="G8094" t="s">
        <v>4998</v>
      </c>
    </row>
    <row r="8095" spans="1:7">
      <c r="A8095" t="s">
        <v>4388</v>
      </c>
      <c r="B8095">
        <v>4858097</v>
      </c>
      <c r="G8095" t="s">
        <v>4998</v>
      </c>
    </row>
    <row r="8096" spans="1:7">
      <c r="A8096" t="s">
        <v>4377</v>
      </c>
      <c r="G8096" t="s">
        <v>4998</v>
      </c>
    </row>
    <row r="8097" spans="1:7">
      <c r="A8097" t="s">
        <v>4342</v>
      </c>
      <c r="G8097" t="s">
        <v>4998</v>
      </c>
    </row>
    <row r="8098" spans="1:7">
      <c r="A8098" t="s">
        <v>5512</v>
      </c>
      <c r="G8098" t="s">
        <v>4998</v>
      </c>
    </row>
    <row r="8099" spans="1:7">
      <c r="A8099" t="s">
        <v>4384</v>
      </c>
      <c r="G8099" t="s">
        <v>4998</v>
      </c>
    </row>
    <row r="8100" spans="1:7">
      <c r="A8100" t="s">
        <v>5351</v>
      </c>
      <c r="G8100" t="s">
        <v>4998</v>
      </c>
    </row>
    <row r="8101" spans="1:7">
      <c r="A8101" t="s">
        <v>4302</v>
      </c>
      <c r="G8101" t="s">
        <v>4998</v>
      </c>
    </row>
    <row r="8102" spans="1:7">
      <c r="A8102" t="s">
        <v>4361</v>
      </c>
      <c r="G8102" t="s">
        <v>4998</v>
      </c>
    </row>
    <row r="8103" spans="1:7">
      <c r="A8103" t="s">
        <v>4336</v>
      </c>
      <c r="G8103" t="s">
        <v>5516</v>
      </c>
    </row>
    <row r="8104" spans="1:7">
      <c r="A8104" t="s">
        <v>4955</v>
      </c>
      <c r="G8104" t="s">
        <v>4958</v>
      </c>
    </row>
    <row r="8105" spans="1:7">
      <c r="A8105" t="s">
        <v>4352</v>
      </c>
      <c r="G8105" t="s">
        <v>4958</v>
      </c>
    </row>
    <row r="8106" spans="1:7">
      <c r="A8106" t="s">
        <v>4378</v>
      </c>
      <c r="B8106">
        <v>4866097</v>
      </c>
      <c r="G8106" t="s">
        <v>4958</v>
      </c>
    </row>
    <row r="8107" spans="1:7">
      <c r="A8107" t="s">
        <v>4381</v>
      </c>
      <c r="G8107" t="s">
        <v>4958</v>
      </c>
    </row>
    <row r="8108" spans="1:7">
      <c r="A8108" t="s">
        <v>4085</v>
      </c>
      <c r="G8108" t="s">
        <v>4958</v>
      </c>
    </row>
    <row r="8109" spans="1:7">
      <c r="A8109" t="s">
        <v>5504</v>
      </c>
      <c r="G8109" t="s">
        <v>4958</v>
      </c>
    </row>
    <row r="8110" spans="1:7">
      <c r="A8110" t="s">
        <v>5033</v>
      </c>
      <c r="G8110" t="s">
        <v>4958</v>
      </c>
    </row>
    <row r="8111" spans="1:7">
      <c r="A8111" t="s">
        <v>4376</v>
      </c>
      <c r="G8111" t="s">
        <v>4958</v>
      </c>
    </row>
    <row r="8112" spans="1:8">
      <c r="A8112" t="s">
        <v>4362</v>
      </c>
      <c r="G8112" t="s">
        <v>4958</v>
      </c>
      <c r="H8112">
        <v>4960097</v>
      </c>
    </row>
    <row r="8113" spans="1:7">
      <c r="A8113" t="s">
        <v>4632</v>
      </c>
      <c r="G8113" t="s">
        <v>4958</v>
      </c>
    </row>
    <row r="8114" spans="1:8">
      <c r="A8114" t="s">
        <v>4364</v>
      </c>
      <c r="G8114" t="s">
        <v>4958</v>
      </c>
      <c r="H8114">
        <v>4782097</v>
      </c>
    </row>
    <row r="8115" spans="1:7">
      <c r="A8115" t="s">
        <v>5234</v>
      </c>
      <c r="G8115" t="s">
        <v>4958</v>
      </c>
    </row>
    <row r="8116" spans="1:7">
      <c r="A8116" t="s">
        <v>4388</v>
      </c>
      <c r="G8116" t="s">
        <v>4958</v>
      </c>
    </row>
    <row r="8117" spans="1:7">
      <c r="A8117" t="s">
        <v>4377</v>
      </c>
      <c r="G8117" t="s">
        <v>4719</v>
      </c>
    </row>
    <row r="8118" spans="1:7">
      <c r="A8118" t="s">
        <v>5351</v>
      </c>
      <c r="B8118">
        <v>4856097</v>
      </c>
      <c r="G8118" t="s">
        <v>4719</v>
      </c>
    </row>
    <row r="8119" spans="1:7">
      <c r="A8119" t="s">
        <v>5512</v>
      </c>
      <c r="G8119" t="s">
        <v>4719</v>
      </c>
    </row>
    <row r="8120" spans="1:7">
      <c r="A8120" t="s">
        <v>4342</v>
      </c>
      <c r="G8120" t="s">
        <v>4719</v>
      </c>
    </row>
    <row r="8121" spans="1:7">
      <c r="A8121" t="s">
        <v>4352</v>
      </c>
      <c r="G8121" t="s">
        <v>4719</v>
      </c>
    </row>
    <row r="8122" spans="1:7">
      <c r="A8122" t="s">
        <v>4955</v>
      </c>
      <c r="G8122" t="s">
        <v>4719</v>
      </c>
    </row>
    <row r="8123" spans="1:7">
      <c r="A8123" t="s">
        <v>4391</v>
      </c>
      <c r="G8123" t="s">
        <v>4719</v>
      </c>
    </row>
    <row r="8124" spans="1:7">
      <c r="A8124" t="s">
        <v>4379</v>
      </c>
      <c r="G8124" t="s">
        <v>5439</v>
      </c>
    </row>
    <row r="8125" spans="1:7">
      <c r="A8125" t="s">
        <v>4302</v>
      </c>
      <c r="G8125" t="s">
        <v>5212</v>
      </c>
    </row>
    <row r="8126" spans="1:7">
      <c r="A8126" t="s">
        <v>5443</v>
      </c>
      <c r="G8126" t="s">
        <v>5212</v>
      </c>
    </row>
    <row r="8127" spans="1:7">
      <c r="A8127" t="s">
        <v>4361</v>
      </c>
      <c r="G8127" t="s">
        <v>5212</v>
      </c>
    </row>
    <row r="8128" spans="1:7">
      <c r="A8128" t="s">
        <v>4336</v>
      </c>
      <c r="G8128" t="s">
        <v>5212</v>
      </c>
    </row>
    <row r="8129" spans="1:7">
      <c r="A8129" t="s">
        <v>4382</v>
      </c>
      <c r="G8129" t="s">
        <v>5212</v>
      </c>
    </row>
    <row r="8130" spans="1:7">
      <c r="A8130" t="s">
        <v>4377</v>
      </c>
      <c r="B8130">
        <v>4864097</v>
      </c>
      <c r="G8130" t="s">
        <v>5212</v>
      </c>
    </row>
    <row r="8131" spans="1:7">
      <c r="A8131" t="s">
        <v>4381</v>
      </c>
      <c r="G8131" t="s">
        <v>5212</v>
      </c>
    </row>
    <row r="8132" spans="1:7">
      <c r="A8132" t="s">
        <v>5033</v>
      </c>
      <c r="G8132" t="s">
        <v>5212</v>
      </c>
    </row>
    <row r="8133" spans="1:7">
      <c r="A8133" t="s">
        <v>4085</v>
      </c>
      <c r="G8133" t="s">
        <v>5212</v>
      </c>
    </row>
    <row r="8134" spans="1:7">
      <c r="A8134" t="s">
        <v>5504</v>
      </c>
      <c r="G8134" t="s">
        <v>5212</v>
      </c>
    </row>
    <row r="8135" spans="1:7">
      <c r="A8135" t="s">
        <v>4376</v>
      </c>
      <c r="G8135" t="s">
        <v>5212</v>
      </c>
    </row>
    <row r="8136" spans="1:7">
      <c r="A8136" t="s">
        <v>4362</v>
      </c>
      <c r="G8136" t="s">
        <v>5212</v>
      </c>
    </row>
    <row r="8137" spans="1:7">
      <c r="A8137" t="s">
        <v>4364</v>
      </c>
      <c r="G8137" t="s">
        <v>5212</v>
      </c>
    </row>
    <row r="8138" spans="1:7">
      <c r="A8138" t="s">
        <v>4632</v>
      </c>
      <c r="G8138" t="s">
        <v>5212</v>
      </c>
    </row>
    <row r="8139" spans="1:7">
      <c r="A8139" t="s">
        <v>4388</v>
      </c>
      <c r="G8139" t="s">
        <v>5212</v>
      </c>
    </row>
    <row r="8140" spans="1:7">
      <c r="A8140" t="s">
        <v>4382</v>
      </c>
      <c r="G8140" t="s">
        <v>5212</v>
      </c>
    </row>
    <row r="8141" spans="1:7">
      <c r="A8141" t="s">
        <v>4955</v>
      </c>
      <c r="G8141" t="s">
        <v>5212</v>
      </c>
    </row>
    <row r="8142" spans="1:7">
      <c r="A8142" t="s">
        <v>5512</v>
      </c>
      <c r="B8142">
        <v>4854097</v>
      </c>
      <c r="G8142" t="s">
        <v>5212</v>
      </c>
    </row>
    <row r="8143" spans="1:7">
      <c r="A8143" t="s">
        <v>4352</v>
      </c>
      <c r="G8143" t="s">
        <v>4636</v>
      </c>
    </row>
    <row r="8144" spans="1:7">
      <c r="A8144" t="s">
        <v>4378</v>
      </c>
      <c r="G8144" t="s">
        <v>4636</v>
      </c>
    </row>
    <row r="8145" spans="1:7">
      <c r="A8145" t="s">
        <v>4302</v>
      </c>
      <c r="G8145" t="s">
        <v>4636</v>
      </c>
    </row>
    <row r="8146" spans="1:7">
      <c r="A8146" t="s">
        <v>4391</v>
      </c>
      <c r="G8146" t="s">
        <v>5401</v>
      </c>
    </row>
    <row r="8147" spans="1:7">
      <c r="A8147" t="s">
        <v>4379</v>
      </c>
      <c r="G8147" t="s">
        <v>5401</v>
      </c>
    </row>
    <row r="8148" spans="1:7">
      <c r="A8148" t="s">
        <v>5351</v>
      </c>
      <c r="G8148" t="s">
        <v>5401</v>
      </c>
    </row>
    <row r="8149" spans="1:7">
      <c r="A8149" t="s">
        <v>5443</v>
      </c>
      <c r="G8149" t="s">
        <v>5401</v>
      </c>
    </row>
    <row r="8150" spans="1:7">
      <c r="A8150" t="s">
        <v>4336</v>
      </c>
      <c r="G8150" t="s">
        <v>5401</v>
      </c>
    </row>
    <row r="8151" spans="1:7">
      <c r="A8151" t="s">
        <v>4361</v>
      </c>
      <c r="G8151" t="s">
        <v>5401</v>
      </c>
    </row>
    <row r="8152" spans="1:7">
      <c r="A8152" t="s">
        <v>4342</v>
      </c>
      <c r="G8152" t="s">
        <v>5401</v>
      </c>
    </row>
    <row r="8153" spans="1:7">
      <c r="A8153" t="s">
        <v>4377</v>
      </c>
      <c r="B8153">
        <v>4862097</v>
      </c>
      <c r="G8153" t="s">
        <v>5347</v>
      </c>
    </row>
    <row r="8154" spans="1:7">
      <c r="A8154" t="s">
        <v>4391</v>
      </c>
      <c r="G8154" t="s">
        <v>5370</v>
      </c>
    </row>
    <row r="8155" spans="1:7">
      <c r="A8155" t="s">
        <v>4085</v>
      </c>
      <c r="G8155" t="s">
        <v>5370</v>
      </c>
    </row>
    <row r="8156" spans="1:7">
      <c r="A8156" t="s">
        <v>4110</v>
      </c>
      <c r="G8156" t="s">
        <v>5370</v>
      </c>
    </row>
    <row r="8157" spans="1:7">
      <c r="A8157" t="s">
        <v>4345</v>
      </c>
      <c r="G8157" t="s">
        <v>5370</v>
      </c>
    </row>
    <row r="8158" spans="1:7">
      <c r="A8158" t="s">
        <v>4381</v>
      </c>
      <c r="G8158" t="s">
        <v>5370</v>
      </c>
    </row>
    <row r="8159" spans="1:8">
      <c r="A8159" t="s">
        <v>4376</v>
      </c>
      <c r="G8159" t="s">
        <v>5370</v>
      </c>
      <c r="H8159">
        <v>4934097</v>
      </c>
    </row>
    <row r="8160" spans="1:7">
      <c r="A8160" t="s">
        <v>5504</v>
      </c>
      <c r="G8160" t="s">
        <v>5370</v>
      </c>
    </row>
    <row r="8161" spans="1:7">
      <c r="A8161" t="s">
        <v>4384</v>
      </c>
      <c r="G8161" t="s">
        <v>5370</v>
      </c>
    </row>
    <row r="8162" spans="1:7">
      <c r="A8162" t="s">
        <v>4336</v>
      </c>
      <c r="G8162" t="s">
        <v>5370</v>
      </c>
    </row>
    <row r="8163" spans="1:7">
      <c r="A8163" t="s">
        <v>4382</v>
      </c>
      <c r="G8163" t="s">
        <v>5370</v>
      </c>
    </row>
    <row r="8164" spans="1:7">
      <c r="A8164" t="s">
        <v>4352</v>
      </c>
      <c r="G8164" t="s">
        <v>5370</v>
      </c>
    </row>
    <row r="8165" spans="1:7">
      <c r="A8165" t="s">
        <v>5301</v>
      </c>
      <c r="G8165" t="s">
        <v>4637</v>
      </c>
    </row>
    <row r="8166" spans="1:7">
      <c r="A8166" t="s">
        <v>4362</v>
      </c>
      <c r="G8166" t="s">
        <v>5310</v>
      </c>
    </row>
    <row r="8167" spans="1:8">
      <c r="A8167" t="s">
        <v>4625</v>
      </c>
      <c r="G8167" t="s">
        <v>5365</v>
      </c>
      <c r="H8167">
        <v>5023097</v>
      </c>
    </row>
    <row r="8168" spans="1:7">
      <c r="A8168" t="s">
        <v>5033</v>
      </c>
      <c r="G8168" t="s">
        <v>4924</v>
      </c>
    </row>
    <row r="8169" spans="1:7">
      <c r="A8169" t="s">
        <v>4573</v>
      </c>
      <c r="G8169" t="s">
        <v>5517</v>
      </c>
    </row>
    <row r="8170" spans="1:7">
      <c r="A8170" t="s">
        <v>5458</v>
      </c>
      <c r="G8170" t="s">
        <v>5043</v>
      </c>
    </row>
    <row r="8171" spans="1:7">
      <c r="A8171" t="s">
        <v>4378</v>
      </c>
      <c r="G8171" t="s">
        <v>4745</v>
      </c>
    </row>
    <row r="8172" spans="1:7">
      <c r="A8172" t="s">
        <v>4356</v>
      </c>
      <c r="G8172" t="s">
        <v>4745</v>
      </c>
    </row>
    <row r="8173" spans="1:7">
      <c r="A8173" t="s">
        <v>4363</v>
      </c>
      <c r="G8173" t="s">
        <v>4745</v>
      </c>
    </row>
    <row r="8174" spans="1:7">
      <c r="A8174" t="s">
        <v>5212</v>
      </c>
      <c r="G8174" t="s">
        <v>4745</v>
      </c>
    </row>
    <row r="8175" spans="1:8">
      <c r="A8175" t="s">
        <v>4632</v>
      </c>
      <c r="G8175" t="s">
        <v>4745</v>
      </c>
      <c r="H8175">
        <v>4922097</v>
      </c>
    </row>
    <row r="8176" spans="1:7">
      <c r="A8176" t="s">
        <v>4342</v>
      </c>
      <c r="B8176">
        <v>4852097</v>
      </c>
      <c r="G8176" t="s">
        <v>4745</v>
      </c>
    </row>
    <row r="8177" spans="1:7">
      <c r="A8177" t="s">
        <v>4387</v>
      </c>
      <c r="G8177" t="s">
        <v>5434</v>
      </c>
    </row>
    <row r="8178" spans="1:7">
      <c r="A8178" t="s">
        <v>4364</v>
      </c>
      <c r="G8178" t="s">
        <v>5434</v>
      </c>
    </row>
    <row r="8179" spans="1:8">
      <c r="A8179" t="s">
        <v>5442</v>
      </c>
      <c r="G8179" t="s">
        <v>5434</v>
      </c>
      <c r="H8179">
        <v>4951097</v>
      </c>
    </row>
    <row r="8180" spans="1:7">
      <c r="A8180" t="s">
        <v>4361</v>
      </c>
      <c r="G8180" t="s">
        <v>5434</v>
      </c>
    </row>
    <row r="8181" spans="1:7">
      <c r="A8181" t="s">
        <v>4955</v>
      </c>
      <c r="G8181" t="s">
        <v>5434</v>
      </c>
    </row>
    <row r="8182" spans="1:7">
      <c r="A8182" t="s">
        <v>5351</v>
      </c>
      <c r="G8182" t="s">
        <v>5434</v>
      </c>
    </row>
    <row r="8183" spans="1:7">
      <c r="A8183" t="s">
        <v>4340</v>
      </c>
      <c r="G8183" t="s">
        <v>5434</v>
      </c>
    </row>
    <row r="8184" spans="1:7">
      <c r="A8184" t="s">
        <v>4358</v>
      </c>
      <c r="G8184" t="s">
        <v>5434</v>
      </c>
    </row>
    <row r="8185" spans="1:7">
      <c r="A8185" t="s">
        <v>5512</v>
      </c>
      <c r="G8185" t="s">
        <v>4931</v>
      </c>
    </row>
    <row r="8186" spans="1:7">
      <c r="A8186" t="s">
        <v>4388</v>
      </c>
      <c r="G8186" t="s">
        <v>4276</v>
      </c>
    </row>
    <row r="8187" spans="1:7">
      <c r="A8187" t="s">
        <v>4385</v>
      </c>
      <c r="G8187" t="s">
        <v>4276</v>
      </c>
    </row>
    <row r="8188" spans="1:7">
      <c r="A8188" t="s">
        <v>5195</v>
      </c>
      <c r="G8188" t="s">
        <v>4276</v>
      </c>
    </row>
    <row r="8189" spans="1:7">
      <c r="A8189" t="s">
        <v>4632</v>
      </c>
      <c r="B8189">
        <v>4860097</v>
      </c>
      <c r="G8189" t="s">
        <v>4276</v>
      </c>
    </row>
    <row r="8190" spans="1:7">
      <c r="A8190" t="s">
        <v>4110</v>
      </c>
      <c r="G8190" t="s">
        <v>4276</v>
      </c>
    </row>
    <row r="8191" spans="1:7">
      <c r="A8191" t="s">
        <v>4381</v>
      </c>
      <c r="G8191" t="s">
        <v>4276</v>
      </c>
    </row>
    <row r="8192" spans="1:7">
      <c r="A8192" t="s">
        <v>5504</v>
      </c>
      <c r="G8192" t="s">
        <v>4276</v>
      </c>
    </row>
    <row r="8193" spans="1:7">
      <c r="A8193" t="s">
        <v>4345</v>
      </c>
      <c r="G8193" t="s">
        <v>4276</v>
      </c>
    </row>
    <row r="8194" spans="1:7">
      <c r="A8194" t="s">
        <v>4382</v>
      </c>
      <c r="G8194" t="s">
        <v>4276</v>
      </c>
    </row>
    <row r="8195" spans="1:7">
      <c r="A8195" t="s">
        <v>4336</v>
      </c>
      <c r="G8195" t="s">
        <v>4276</v>
      </c>
    </row>
    <row r="8196" spans="1:8">
      <c r="A8196" t="s">
        <v>4384</v>
      </c>
      <c r="G8196" t="s">
        <v>4276</v>
      </c>
      <c r="H8196">
        <v>5507097</v>
      </c>
    </row>
    <row r="8197" spans="1:7">
      <c r="A8197" t="s">
        <v>5195</v>
      </c>
      <c r="G8197" t="s">
        <v>4276</v>
      </c>
    </row>
    <row r="8198" spans="1:7">
      <c r="A8198" t="s">
        <v>4388</v>
      </c>
      <c r="B8198">
        <v>4850097</v>
      </c>
      <c r="G8198" t="s">
        <v>4276</v>
      </c>
    </row>
    <row r="8199" spans="1:7">
      <c r="A8199" t="s">
        <v>4376</v>
      </c>
      <c r="G8199" t="s">
        <v>4276</v>
      </c>
    </row>
    <row r="8200" spans="1:8">
      <c r="A8200" t="s">
        <v>4362</v>
      </c>
      <c r="G8200" t="s">
        <v>4276</v>
      </c>
      <c r="H8200">
        <v>5500097</v>
      </c>
    </row>
    <row r="8201" spans="1:8">
      <c r="A8201" t="s">
        <v>4356</v>
      </c>
      <c r="G8201" t="s">
        <v>4276</v>
      </c>
      <c r="H8201">
        <v>5499097</v>
      </c>
    </row>
    <row r="8202" spans="1:7">
      <c r="A8202" t="s">
        <v>5033</v>
      </c>
      <c r="G8202" t="s">
        <v>4276</v>
      </c>
    </row>
    <row r="8203" spans="1:7">
      <c r="A8203" t="s">
        <v>4573</v>
      </c>
      <c r="G8203" t="s">
        <v>4276</v>
      </c>
    </row>
    <row r="8204" spans="1:7">
      <c r="A8204" t="s">
        <v>5458</v>
      </c>
      <c r="G8204" t="s">
        <v>4276</v>
      </c>
    </row>
    <row r="8205" spans="1:7">
      <c r="A8205" t="s">
        <v>4391</v>
      </c>
      <c r="G8205" t="s">
        <v>4276</v>
      </c>
    </row>
    <row r="8206" spans="1:7">
      <c r="A8206" t="s">
        <v>4085</v>
      </c>
      <c r="G8206" t="s">
        <v>4276</v>
      </c>
    </row>
    <row r="8207" spans="1:7">
      <c r="A8207" t="s">
        <v>4342</v>
      </c>
      <c r="G8207" t="s">
        <v>4276</v>
      </c>
    </row>
    <row r="8208" spans="1:8">
      <c r="A8208" t="s">
        <v>4387</v>
      </c>
      <c r="G8208" t="s">
        <v>4276</v>
      </c>
      <c r="H8208">
        <v>5386097</v>
      </c>
    </row>
    <row r="8209" spans="1:7">
      <c r="A8209" t="s">
        <v>4955</v>
      </c>
      <c r="G8209" t="s">
        <v>4276</v>
      </c>
    </row>
    <row r="8210" spans="1:7">
      <c r="A8210" t="s">
        <v>4377</v>
      </c>
      <c r="G8210" t="s">
        <v>4276</v>
      </c>
    </row>
    <row r="8211" spans="1:8">
      <c r="A8211" t="s">
        <v>5309</v>
      </c>
      <c r="G8211" t="s">
        <v>4276</v>
      </c>
      <c r="H8211">
        <v>5151097</v>
      </c>
    </row>
    <row r="8212" spans="1:7">
      <c r="A8212" t="s">
        <v>4385</v>
      </c>
      <c r="G8212" t="s">
        <v>4276</v>
      </c>
    </row>
    <row r="8213" spans="1:7">
      <c r="A8213" t="s">
        <v>5442</v>
      </c>
      <c r="G8213" t="s">
        <v>4276</v>
      </c>
    </row>
    <row r="8214" spans="1:7">
      <c r="A8214" t="s">
        <v>5351</v>
      </c>
      <c r="G8214" t="s">
        <v>4276</v>
      </c>
    </row>
    <row r="8215" spans="1:7">
      <c r="A8215" t="s">
        <v>4358</v>
      </c>
      <c r="G8215" t="s">
        <v>4276</v>
      </c>
    </row>
    <row r="8216" spans="1:7">
      <c r="A8216" t="s">
        <v>4363</v>
      </c>
      <c r="G8216" t="s">
        <v>4276</v>
      </c>
    </row>
    <row r="8217" spans="1:7">
      <c r="A8217" t="s">
        <v>4340</v>
      </c>
      <c r="G8217" t="s">
        <v>4276</v>
      </c>
    </row>
    <row r="8218" spans="1:7">
      <c r="A8218" t="s">
        <v>4378</v>
      </c>
      <c r="G8218" t="s">
        <v>4276</v>
      </c>
    </row>
    <row r="8219" spans="1:7">
      <c r="A8219" t="s">
        <v>4352</v>
      </c>
      <c r="G8219" t="s">
        <v>4276</v>
      </c>
    </row>
    <row r="8220" spans="1:7">
      <c r="A8220" t="s">
        <v>4361</v>
      </c>
      <c r="G8220" t="s">
        <v>4276</v>
      </c>
    </row>
    <row r="8221" spans="1:7">
      <c r="A8221" t="s">
        <v>4338</v>
      </c>
      <c r="G8221" t="s">
        <v>4276</v>
      </c>
    </row>
    <row r="8222" spans="1:7">
      <c r="A8222" t="s">
        <v>5301</v>
      </c>
      <c r="G8222" t="s">
        <v>4276</v>
      </c>
    </row>
    <row r="8223" spans="1:7">
      <c r="A8223" t="s">
        <v>5212</v>
      </c>
      <c r="G8223" t="s">
        <v>4276</v>
      </c>
    </row>
    <row r="8224" spans="1:7">
      <c r="A8224" t="s">
        <v>5512</v>
      </c>
      <c r="G8224" t="s">
        <v>4276</v>
      </c>
    </row>
    <row r="8225" spans="1:7">
      <c r="A8225" t="s">
        <v>4336</v>
      </c>
      <c r="B8225">
        <v>4858097</v>
      </c>
      <c r="G8225" t="s">
        <v>4276</v>
      </c>
    </row>
    <row r="8226" spans="1:7">
      <c r="A8226" t="s">
        <v>4352</v>
      </c>
      <c r="G8226" t="s">
        <v>4276</v>
      </c>
    </row>
    <row r="8227" spans="1:7">
      <c r="A8227" t="s">
        <v>4361</v>
      </c>
      <c r="G8227" t="s">
        <v>4276</v>
      </c>
    </row>
    <row r="8228" spans="1:7">
      <c r="A8228" t="s">
        <v>4391</v>
      </c>
      <c r="G8228" t="s">
        <v>4276</v>
      </c>
    </row>
    <row r="8229" spans="1:7">
      <c r="A8229" t="s">
        <v>4364</v>
      </c>
      <c r="G8229" t="s">
        <v>4276</v>
      </c>
    </row>
    <row r="8230" spans="1:7">
      <c r="A8230" t="s">
        <v>4381</v>
      </c>
      <c r="G8230" t="s">
        <v>4276</v>
      </c>
    </row>
    <row r="8231" spans="1:7">
      <c r="A8231" t="s">
        <v>5351</v>
      </c>
      <c r="G8231" t="s">
        <v>4276</v>
      </c>
    </row>
    <row r="8232" spans="1:7">
      <c r="A8232" t="s">
        <v>5504</v>
      </c>
      <c r="B8232">
        <v>4848097</v>
      </c>
      <c r="G8232" t="s">
        <v>4276</v>
      </c>
    </row>
    <row r="8233" spans="1:7">
      <c r="A8233" t="s">
        <v>4362</v>
      </c>
      <c r="G8233" t="s">
        <v>4276</v>
      </c>
    </row>
    <row r="8234" spans="1:7">
      <c r="A8234" t="s">
        <v>4376</v>
      </c>
      <c r="G8234" t="s">
        <v>4276</v>
      </c>
    </row>
    <row r="8235" spans="1:7">
      <c r="A8235" t="s">
        <v>4085</v>
      </c>
      <c r="G8235" t="s">
        <v>4276</v>
      </c>
    </row>
    <row r="8236" spans="1:7">
      <c r="A8236" t="s">
        <v>4632</v>
      </c>
      <c r="G8236" t="s">
        <v>4276</v>
      </c>
    </row>
    <row r="8237" spans="1:7">
      <c r="A8237" t="s">
        <v>4742</v>
      </c>
      <c r="G8237" t="s">
        <v>4276</v>
      </c>
    </row>
    <row r="8238" spans="1:7">
      <c r="A8238" t="s">
        <v>5514</v>
      </c>
      <c r="G8238" t="s">
        <v>4276</v>
      </c>
    </row>
    <row r="8239" spans="1:7">
      <c r="A8239" t="s">
        <v>4388</v>
      </c>
      <c r="G8239" t="s">
        <v>4276</v>
      </c>
    </row>
    <row r="8240" spans="1:7">
      <c r="A8240" t="s">
        <v>4377</v>
      </c>
      <c r="G8240" t="s">
        <v>4276</v>
      </c>
    </row>
    <row r="8241" spans="1:7">
      <c r="A8241" t="s">
        <v>4342</v>
      </c>
      <c r="G8241" t="s">
        <v>4276</v>
      </c>
    </row>
    <row r="8242" spans="1:7">
      <c r="A8242" t="s">
        <v>4382</v>
      </c>
      <c r="G8242" t="s">
        <v>4276</v>
      </c>
    </row>
    <row r="8243" spans="1:7">
      <c r="A8243" t="s">
        <v>5512</v>
      </c>
      <c r="G8243" t="s">
        <v>4276</v>
      </c>
    </row>
    <row r="8244" spans="1:7">
      <c r="A8244" t="s">
        <v>4955</v>
      </c>
      <c r="G8244" t="s">
        <v>4276</v>
      </c>
    </row>
    <row r="8245" spans="1:7">
      <c r="A8245" t="s">
        <v>4378</v>
      </c>
      <c r="G8245" t="s">
        <v>5303</v>
      </c>
    </row>
    <row r="8246" spans="1:7">
      <c r="A8246" t="s">
        <v>4302</v>
      </c>
      <c r="G8246" t="s">
        <v>5303</v>
      </c>
    </row>
    <row r="8247" spans="1:7">
      <c r="A8247" t="s">
        <v>4384</v>
      </c>
      <c r="G8247" t="s">
        <v>5303</v>
      </c>
    </row>
    <row r="8248" spans="1:7">
      <c r="A8248" t="s">
        <v>4382</v>
      </c>
      <c r="B8248">
        <v>4856097</v>
      </c>
      <c r="G8248" t="s">
        <v>4005</v>
      </c>
    </row>
    <row r="8249" spans="1:7">
      <c r="A8249" t="s">
        <v>4391</v>
      </c>
      <c r="G8249" t="s">
        <v>4005</v>
      </c>
    </row>
    <row r="8250" spans="1:7">
      <c r="A8250" t="s">
        <v>4377</v>
      </c>
      <c r="G8250" t="s">
        <v>4005</v>
      </c>
    </row>
    <row r="8251" spans="1:7">
      <c r="A8251" t="s">
        <v>4378</v>
      </c>
      <c r="G8251" t="s">
        <v>5315</v>
      </c>
    </row>
    <row r="8252" spans="1:7">
      <c r="A8252" t="s">
        <v>5514</v>
      </c>
      <c r="G8252" t="s">
        <v>5315</v>
      </c>
    </row>
    <row r="8253" spans="1:7">
      <c r="A8253" t="s">
        <v>4955</v>
      </c>
      <c r="G8253" t="s">
        <v>5315</v>
      </c>
    </row>
    <row r="8254" spans="1:7">
      <c r="A8254" t="s">
        <v>4364</v>
      </c>
      <c r="G8254" t="s">
        <v>5315</v>
      </c>
    </row>
    <row r="8255" spans="1:7">
      <c r="A8255" t="s">
        <v>4381</v>
      </c>
      <c r="G8255" t="s">
        <v>5315</v>
      </c>
    </row>
    <row r="8256" spans="1:7">
      <c r="A8256" t="s">
        <v>4388</v>
      </c>
      <c r="G8256" t="s">
        <v>5315</v>
      </c>
    </row>
    <row r="8257" spans="1:7">
      <c r="A8257" t="s">
        <v>4085</v>
      </c>
      <c r="G8257" t="s">
        <v>5315</v>
      </c>
    </row>
    <row r="8258" spans="1:7">
      <c r="A8258" t="s">
        <v>5351</v>
      </c>
      <c r="G8258" t="s">
        <v>5174</v>
      </c>
    </row>
    <row r="8259" spans="1:7">
      <c r="A8259" t="s">
        <v>5504</v>
      </c>
      <c r="G8259" t="s">
        <v>5174</v>
      </c>
    </row>
    <row r="8260" spans="1:7">
      <c r="A8260" t="s">
        <v>5301</v>
      </c>
      <c r="G8260" t="s">
        <v>5174</v>
      </c>
    </row>
    <row r="8261" spans="1:7">
      <c r="A8261" t="s">
        <v>4376</v>
      </c>
      <c r="G8261" t="s">
        <v>5174</v>
      </c>
    </row>
    <row r="8262" spans="1:7">
      <c r="A8262" t="s">
        <v>4362</v>
      </c>
      <c r="G8262" t="s">
        <v>5174</v>
      </c>
    </row>
    <row r="8263" spans="1:7">
      <c r="A8263" t="s">
        <v>4632</v>
      </c>
      <c r="G8263" t="s">
        <v>5174</v>
      </c>
    </row>
    <row r="8264" spans="1:7">
      <c r="A8264" t="s">
        <v>4742</v>
      </c>
      <c r="G8264" t="s">
        <v>5174</v>
      </c>
    </row>
    <row r="8265" spans="1:7">
      <c r="A8265" t="s">
        <v>4342</v>
      </c>
      <c r="G8265" t="s">
        <v>5174</v>
      </c>
    </row>
    <row r="8266" spans="1:7">
      <c r="A8266" t="s">
        <v>4352</v>
      </c>
      <c r="B8266">
        <v>4846097</v>
      </c>
      <c r="G8266" t="s">
        <v>5174</v>
      </c>
    </row>
    <row r="8267" spans="1:7">
      <c r="A8267" t="s">
        <v>5512</v>
      </c>
      <c r="G8267" t="s">
        <v>5174</v>
      </c>
    </row>
    <row r="8268" spans="1:7">
      <c r="A8268" t="s">
        <v>4985</v>
      </c>
      <c r="G8268" t="s">
        <v>5174</v>
      </c>
    </row>
    <row r="8269" spans="1:7">
      <c r="A8269" t="s">
        <v>4336</v>
      </c>
      <c r="G8269" t="s">
        <v>5123</v>
      </c>
    </row>
    <row r="8270" spans="1:7">
      <c r="A8270" t="s">
        <v>4302</v>
      </c>
      <c r="G8270" t="s">
        <v>5123</v>
      </c>
    </row>
    <row r="8271" spans="1:7">
      <c r="A8271" t="s">
        <v>4361</v>
      </c>
      <c r="G8271" t="s">
        <v>4506</v>
      </c>
    </row>
    <row r="8272" spans="1:7">
      <c r="A8272" t="s">
        <v>4955</v>
      </c>
      <c r="B8272">
        <v>4854097</v>
      </c>
      <c r="G8272" t="s">
        <v>4506</v>
      </c>
    </row>
    <row r="8273" spans="1:7">
      <c r="A8273" t="s">
        <v>5504</v>
      </c>
      <c r="G8273" t="s">
        <v>5329</v>
      </c>
    </row>
    <row r="8274" spans="1:8">
      <c r="A8274" t="s">
        <v>4110</v>
      </c>
      <c r="G8274" t="s">
        <v>5329</v>
      </c>
      <c r="H8274">
        <v>5013097</v>
      </c>
    </row>
    <row r="8275" spans="1:7">
      <c r="A8275" t="s">
        <v>4381</v>
      </c>
      <c r="G8275" t="s">
        <v>5518</v>
      </c>
    </row>
    <row r="8276" spans="1:7">
      <c r="A8276" t="s">
        <v>4336</v>
      </c>
      <c r="G8276" t="s">
        <v>5518</v>
      </c>
    </row>
    <row r="8277" spans="1:7">
      <c r="A8277" t="s">
        <v>5212</v>
      </c>
      <c r="G8277" t="s">
        <v>5518</v>
      </c>
    </row>
    <row r="8278" spans="1:7">
      <c r="A8278" t="s">
        <v>4384</v>
      </c>
      <c r="G8278" t="s">
        <v>5518</v>
      </c>
    </row>
    <row r="8279" spans="1:7">
      <c r="A8279" t="s">
        <v>4345</v>
      </c>
      <c r="G8279" t="s">
        <v>4670</v>
      </c>
    </row>
    <row r="8280" spans="1:7">
      <c r="A8280" t="s">
        <v>4632</v>
      </c>
      <c r="G8280" t="s">
        <v>4670</v>
      </c>
    </row>
    <row r="8281" spans="1:7">
      <c r="A8281" t="s">
        <v>4376</v>
      </c>
      <c r="G8281" t="s">
        <v>5007</v>
      </c>
    </row>
    <row r="8282" spans="1:7">
      <c r="A8282" t="s">
        <v>4388</v>
      </c>
      <c r="G8282" t="s">
        <v>5007</v>
      </c>
    </row>
    <row r="8283" spans="1:7">
      <c r="A8283" t="s">
        <v>4362</v>
      </c>
      <c r="G8283" t="s">
        <v>5402</v>
      </c>
    </row>
    <row r="8284" spans="1:7">
      <c r="A8284" t="s">
        <v>4382</v>
      </c>
      <c r="G8284" t="s">
        <v>5402</v>
      </c>
    </row>
    <row r="8285" spans="1:7">
      <c r="A8285" t="s">
        <v>4573</v>
      </c>
      <c r="G8285" t="s">
        <v>5519</v>
      </c>
    </row>
    <row r="8286" spans="1:7">
      <c r="A8286" t="s">
        <v>5033</v>
      </c>
      <c r="G8286" t="s">
        <v>5519</v>
      </c>
    </row>
    <row r="8287" spans="1:7">
      <c r="A8287" t="s">
        <v>4085</v>
      </c>
      <c r="G8287" t="s">
        <v>4732</v>
      </c>
    </row>
    <row r="8288" spans="1:7">
      <c r="A8288" t="s">
        <v>4356</v>
      </c>
      <c r="B8288">
        <v>4844097</v>
      </c>
      <c r="G8288" t="s">
        <v>4732</v>
      </c>
    </row>
    <row r="8289" spans="1:7">
      <c r="A8289" t="s">
        <v>5458</v>
      </c>
      <c r="G8289" t="s">
        <v>4732</v>
      </c>
    </row>
    <row r="8290" spans="1:7">
      <c r="A8290" t="s">
        <v>4342</v>
      </c>
      <c r="G8290" t="s">
        <v>4732</v>
      </c>
    </row>
    <row r="8291" spans="1:7">
      <c r="A8291" t="s">
        <v>4361</v>
      </c>
      <c r="G8291" t="s">
        <v>5520</v>
      </c>
    </row>
    <row r="8292" spans="1:7">
      <c r="A8292" t="s">
        <v>4387</v>
      </c>
      <c r="G8292" t="s">
        <v>5393</v>
      </c>
    </row>
    <row r="8293" spans="1:7">
      <c r="A8293" t="s">
        <v>4377</v>
      </c>
      <c r="G8293" t="s">
        <v>5216</v>
      </c>
    </row>
    <row r="8294" spans="1:7">
      <c r="A8294" t="s">
        <v>4364</v>
      </c>
      <c r="G8294" t="s">
        <v>5521</v>
      </c>
    </row>
    <row r="8295" spans="1:7">
      <c r="A8295" t="s">
        <v>4385</v>
      </c>
      <c r="G8295" t="s">
        <v>5021</v>
      </c>
    </row>
    <row r="8296" spans="1:8">
      <c r="A8296" t="s">
        <v>5351</v>
      </c>
      <c r="G8296" t="s">
        <v>5522</v>
      </c>
      <c r="H8296">
        <v>4781097</v>
      </c>
    </row>
    <row r="8297" spans="1:7">
      <c r="A8297" t="s">
        <v>5442</v>
      </c>
      <c r="G8297" t="s">
        <v>5522</v>
      </c>
    </row>
    <row r="8298" spans="1:7">
      <c r="A8298" t="s">
        <v>5512</v>
      </c>
      <c r="G8298" t="s">
        <v>5522</v>
      </c>
    </row>
    <row r="8299" spans="1:7">
      <c r="A8299" t="s">
        <v>4352</v>
      </c>
      <c r="G8299" t="s">
        <v>4217</v>
      </c>
    </row>
    <row r="8300" spans="1:7">
      <c r="A8300" t="s">
        <v>4340</v>
      </c>
      <c r="G8300" t="s">
        <v>4217</v>
      </c>
    </row>
    <row r="8301" spans="1:7">
      <c r="A8301" t="s">
        <v>4363</v>
      </c>
      <c r="G8301" t="s">
        <v>4217</v>
      </c>
    </row>
    <row r="8302" spans="1:7">
      <c r="A8302" t="s">
        <v>4391</v>
      </c>
      <c r="G8302" t="s">
        <v>5523</v>
      </c>
    </row>
    <row r="8303" spans="1:7">
      <c r="A8303" t="s">
        <v>4378</v>
      </c>
      <c r="G8303" t="s">
        <v>5523</v>
      </c>
    </row>
    <row r="8304" spans="1:7">
      <c r="A8304" t="s">
        <v>5301</v>
      </c>
      <c r="G8304" t="s">
        <v>5523</v>
      </c>
    </row>
    <row r="8305" spans="1:7">
      <c r="A8305" t="s">
        <v>4358</v>
      </c>
      <c r="G8305" t="s">
        <v>5523</v>
      </c>
    </row>
    <row r="8306" spans="1:7">
      <c r="A8306" t="s">
        <v>4391</v>
      </c>
      <c r="B8306">
        <v>4852097</v>
      </c>
      <c r="G8306" t="s">
        <v>5001</v>
      </c>
    </row>
    <row r="8307" spans="1:7">
      <c r="A8307" t="s">
        <v>4377</v>
      </c>
      <c r="G8307" t="s">
        <v>5106</v>
      </c>
    </row>
    <row r="8308" spans="1:7">
      <c r="A8308" t="s">
        <v>5033</v>
      </c>
      <c r="G8308" t="s">
        <v>4330</v>
      </c>
    </row>
    <row r="8309" spans="1:7">
      <c r="A8309" t="s">
        <v>4085</v>
      </c>
      <c r="G8309" t="s">
        <v>4604</v>
      </c>
    </row>
    <row r="8310" spans="1:7">
      <c r="A8310" t="s">
        <v>5504</v>
      </c>
      <c r="G8310" t="s">
        <v>4604</v>
      </c>
    </row>
    <row r="8311" spans="1:7">
      <c r="A8311" t="s">
        <v>4361</v>
      </c>
      <c r="G8311" t="s">
        <v>4604</v>
      </c>
    </row>
    <row r="8312" spans="1:8">
      <c r="A8312" t="s">
        <v>4362</v>
      </c>
      <c r="G8312" t="s">
        <v>4604</v>
      </c>
      <c r="H8312">
        <v>5036097</v>
      </c>
    </row>
    <row r="8313" spans="1:7">
      <c r="A8313" t="s">
        <v>4376</v>
      </c>
      <c r="G8313" t="s">
        <v>4394</v>
      </c>
    </row>
    <row r="8314" spans="1:7">
      <c r="A8314" t="s">
        <v>4381</v>
      </c>
      <c r="G8314" t="s">
        <v>4394</v>
      </c>
    </row>
    <row r="8315" spans="1:7">
      <c r="A8315" t="s">
        <v>4364</v>
      </c>
      <c r="G8315" t="s">
        <v>4274</v>
      </c>
    </row>
    <row r="8316" spans="1:7">
      <c r="A8316" t="s">
        <v>4454</v>
      </c>
      <c r="G8316" t="s">
        <v>4274</v>
      </c>
    </row>
    <row r="8317" spans="1:7">
      <c r="A8317" t="s">
        <v>4302</v>
      </c>
      <c r="G8317" t="s">
        <v>5447</v>
      </c>
    </row>
    <row r="8318" spans="1:7">
      <c r="A8318" t="s">
        <v>4388</v>
      </c>
      <c r="G8318" t="s">
        <v>5524</v>
      </c>
    </row>
    <row r="8319" spans="1:8">
      <c r="A8319" t="s">
        <v>4382</v>
      </c>
      <c r="G8319" t="s">
        <v>5524</v>
      </c>
      <c r="H8319">
        <v>4676097</v>
      </c>
    </row>
    <row r="8320" spans="1:7">
      <c r="A8320" t="s">
        <v>5512</v>
      </c>
      <c r="G8320" t="s">
        <v>5524</v>
      </c>
    </row>
    <row r="8321" spans="1:7">
      <c r="A8321" t="s">
        <v>4955</v>
      </c>
      <c r="B8321">
        <v>4842097</v>
      </c>
      <c r="G8321" t="s">
        <v>4923</v>
      </c>
    </row>
    <row r="8322" spans="1:7">
      <c r="A8322" t="s">
        <v>4378</v>
      </c>
      <c r="G8322" t="s">
        <v>4923</v>
      </c>
    </row>
    <row r="8323" spans="1:7">
      <c r="A8323" t="s">
        <v>4352</v>
      </c>
      <c r="G8323" t="s">
        <v>4923</v>
      </c>
    </row>
    <row r="8324" spans="1:7">
      <c r="A8324" t="s">
        <v>5351</v>
      </c>
      <c r="G8324" t="s">
        <v>4923</v>
      </c>
    </row>
    <row r="8325" spans="1:7">
      <c r="A8325" t="s">
        <v>4336</v>
      </c>
      <c r="G8325" t="s">
        <v>4923</v>
      </c>
    </row>
    <row r="8326" spans="1:7">
      <c r="A8326" t="s">
        <v>4632</v>
      </c>
      <c r="G8326" t="s">
        <v>5014</v>
      </c>
    </row>
    <row r="8327" spans="1:7">
      <c r="A8327" t="s">
        <v>4342</v>
      </c>
      <c r="G8327" t="s">
        <v>5014</v>
      </c>
    </row>
    <row r="8328" spans="1:7">
      <c r="A8328" t="s">
        <v>4382</v>
      </c>
      <c r="B8328">
        <v>4850097</v>
      </c>
      <c r="G8328" t="s">
        <v>5014</v>
      </c>
    </row>
    <row r="8329" spans="1:7">
      <c r="A8329" t="s">
        <v>4085</v>
      </c>
      <c r="G8329" t="s">
        <v>5525</v>
      </c>
    </row>
    <row r="8330" spans="1:7">
      <c r="A8330" t="s">
        <v>4110</v>
      </c>
      <c r="G8330" t="s">
        <v>5525</v>
      </c>
    </row>
    <row r="8331" spans="1:7">
      <c r="A8331" t="s">
        <v>4381</v>
      </c>
      <c r="G8331" t="s">
        <v>5525</v>
      </c>
    </row>
    <row r="8332" spans="1:7">
      <c r="A8332" t="s">
        <v>5212</v>
      </c>
      <c r="G8332" t="s">
        <v>5525</v>
      </c>
    </row>
    <row r="8333" spans="1:7">
      <c r="A8333" t="s">
        <v>5504</v>
      </c>
      <c r="G8333" t="s">
        <v>5525</v>
      </c>
    </row>
    <row r="8334" spans="1:7">
      <c r="A8334" t="s">
        <v>4345</v>
      </c>
      <c r="G8334" t="s">
        <v>5525</v>
      </c>
    </row>
    <row r="8335" spans="1:7">
      <c r="A8335" t="s">
        <v>4354</v>
      </c>
      <c r="G8335" t="s">
        <v>5525</v>
      </c>
    </row>
    <row r="8336" spans="1:8">
      <c r="A8336" t="s">
        <v>4388</v>
      </c>
      <c r="G8336" t="s">
        <v>5525</v>
      </c>
      <c r="H8336">
        <v>4675097</v>
      </c>
    </row>
    <row r="8337" spans="1:7">
      <c r="A8337" t="s">
        <v>4376</v>
      </c>
      <c r="G8337" t="s">
        <v>5525</v>
      </c>
    </row>
    <row r="8338" spans="1:7">
      <c r="A8338" t="s">
        <v>4955</v>
      </c>
      <c r="G8338" t="s">
        <v>4821</v>
      </c>
    </row>
    <row r="8339" spans="1:7">
      <c r="A8339" t="s">
        <v>4362</v>
      </c>
      <c r="G8339" t="s">
        <v>4821</v>
      </c>
    </row>
    <row r="8340" spans="1:7">
      <c r="A8340" t="s">
        <v>4573</v>
      </c>
      <c r="G8340" t="s">
        <v>4821</v>
      </c>
    </row>
    <row r="8341" spans="1:7">
      <c r="A8341" t="s">
        <v>5033</v>
      </c>
      <c r="G8341" t="s">
        <v>4821</v>
      </c>
    </row>
    <row r="8342" spans="1:7">
      <c r="A8342" t="s">
        <v>4378</v>
      </c>
      <c r="G8342" t="s">
        <v>4821</v>
      </c>
    </row>
    <row r="8343" spans="1:7">
      <c r="A8343" t="s">
        <v>4340</v>
      </c>
      <c r="G8343" t="s">
        <v>4821</v>
      </c>
    </row>
    <row r="8344" spans="1:7">
      <c r="A8344" t="s">
        <v>5301</v>
      </c>
      <c r="G8344" t="s">
        <v>4821</v>
      </c>
    </row>
    <row r="8345" spans="1:7">
      <c r="A8345" t="s">
        <v>4384</v>
      </c>
      <c r="G8345" t="s">
        <v>4821</v>
      </c>
    </row>
    <row r="8346" spans="1:7">
      <c r="A8346" t="s">
        <v>4363</v>
      </c>
      <c r="G8346" t="s">
        <v>4821</v>
      </c>
    </row>
    <row r="8347" spans="1:7">
      <c r="A8347" t="s">
        <v>4358</v>
      </c>
      <c r="G8347" t="s">
        <v>4821</v>
      </c>
    </row>
    <row r="8348" spans="1:7">
      <c r="A8348" t="s">
        <v>5458</v>
      </c>
      <c r="G8348" t="s">
        <v>4821</v>
      </c>
    </row>
    <row r="8349" spans="1:7">
      <c r="A8349" t="s">
        <v>4342</v>
      </c>
      <c r="G8349" t="s">
        <v>4821</v>
      </c>
    </row>
    <row r="8350" spans="1:7">
      <c r="A8350" t="s">
        <v>4361</v>
      </c>
      <c r="G8350" t="s">
        <v>4821</v>
      </c>
    </row>
    <row r="8351" spans="1:7">
      <c r="A8351" t="s">
        <v>4387</v>
      </c>
      <c r="G8351" t="s">
        <v>4821</v>
      </c>
    </row>
    <row r="8352" spans="1:7">
      <c r="A8352" t="s">
        <v>4336</v>
      </c>
      <c r="G8352" t="s">
        <v>5526</v>
      </c>
    </row>
    <row r="8353" spans="1:7">
      <c r="A8353" t="s">
        <v>5351</v>
      </c>
      <c r="G8353" t="s">
        <v>3996</v>
      </c>
    </row>
    <row r="8354" spans="1:7">
      <c r="A8354" t="s">
        <v>5442</v>
      </c>
      <c r="G8354" t="s">
        <v>3996</v>
      </c>
    </row>
    <row r="8355" spans="1:7">
      <c r="A8355" t="s">
        <v>5512</v>
      </c>
      <c r="B8355">
        <v>4840097</v>
      </c>
      <c r="G8355" t="s">
        <v>5505</v>
      </c>
    </row>
    <row r="8356" spans="1:7">
      <c r="A8356" t="s">
        <v>4377</v>
      </c>
      <c r="G8356" t="s">
        <v>5505</v>
      </c>
    </row>
    <row r="8357" spans="1:7">
      <c r="A8357" t="s">
        <v>4632</v>
      </c>
      <c r="G8357" t="s">
        <v>5171</v>
      </c>
    </row>
    <row r="8358" spans="1:7">
      <c r="A8358" t="s">
        <v>4391</v>
      </c>
      <c r="G8358" t="s">
        <v>5063</v>
      </c>
    </row>
    <row r="8359" spans="1:7">
      <c r="A8359" t="s">
        <v>4385</v>
      </c>
      <c r="G8359" t="s">
        <v>4686</v>
      </c>
    </row>
    <row r="8360" spans="1:7">
      <c r="A8360" t="s">
        <v>4352</v>
      </c>
      <c r="G8360" t="s">
        <v>4686</v>
      </c>
    </row>
    <row r="8361" spans="1:7">
      <c r="A8361" t="s">
        <v>4356</v>
      </c>
      <c r="G8361" t="s">
        <v>4686</v>
      </c>
    </row>
    <row r="8362" spans="1:7">
      <c r="A8362" t="s">
        <v>4377</v>
      </c>
      <c r="B8362">
        <v>4848097</v>
      </c>
      <c r="G8362" t="s">
        <v>4686</v>
      </c>
    </row>
    <row r="8363" spans="1:7">
      <c r="A8363" t="s">
        <v>4391</v>
      </c>
      <c r="G8363" t="s">
        <v>4686</v>
      </c>
    </row>
    <row r="8364" spans="1:7">
      <c r="A8364" t="s">
        <v>4376</v>
      </c>
      <c r="G8364" t="s">
        <v>4686</v>
      </c>
    </row>
    <row r="8365" spans="1:7">
      <c r="A8365" t="s">
        <v>5504</v>
      </c>
      <c r="G8365" t="s">
        <v>4686</v>
      </c>
    </row>
    <row r="8366" spans="1:8">
      <c r="A8366" t="s">
        <v>4110</v>
      </c>
      <c r="G8366" t="s">
        <v>4686</v>
      </c>
      <c r="H8366">
        <v>4868097</v>
      </c>
    </row>
    <row r="8367" spans="1:7">
      <c r="A8367" t="s">
        <v>4960</v>
      </c>
      <c r="G8367" t="s">
        <v>4672</v>
      </c>
    </row>
    <row r="8368" spans="1:7">
      <c r="A8368" t="s">
        <v>5212</v>
      </c>
      <c r="G8368" t="s">
        <v>5005</v>
      </c>
    </row>
    <row r="8369" spans="1:7">
      <c r="A8369" t="s">
        <v>4384</v>
      </c>
      <c r="G8369" t="s">
        <v>5005</v>
      </c>
    </row>
    <row r="8370" spans="1:7">
      <c r="A8370" t="s">
        <v>4387</v>
      </c>
      <c r="G8370" t="s">
        <v>5005</v>
      </c>
    </row>
    <row r="8371" spans="1:7">
      <c r="A8371" t="s">
        <v>4632</v>
      </c>
      <c r="G8371" t="s">
        <v>4383</v>
      </c>
    </row>
    <row r="8372" spans="1:7">
      <c r="A8372" t="s">
        <v>4388</v>
      </c>
      <c r="G8372" t="s">
        <v>4383</v>
      </c>
    </row>
    <row r="8373" spans="1:7">
      <c r="A8373" t="s">
        <v>4085</v>
      </c>
      <c r="G8373" t="s">
        <v>4383</v>
      </c>
    </row>
    <row r="8374" spans="1:7">
      <c r="A8374" t="s">
        <v>4362</v>
      </c>
      <c r="G8374" t="s">
        <v>4843</v>
      </c>
    </row>
    <row r="8375" spans="1:7">
      <c r="A8375" t="s">
        <v>4382</v>
      </c>
      <c r="G8375" t="s">
        <v>4843</v>
      </c>
    </row>
    <row r="8376" spans="1:7">
      <c r="A8376" t="s">
        <v>5033</v>
      </c>
      <c r="G8376" t="s">
        <v>5137</v>
      </c>
    </row>
    <row r="8377" spans="1:7">
      <c r="A8377" t="s">
        <v>4573</v>
      </c>
      <c r="G8377" t="s">
        <v>5137</v>
      </c>
    </row>
    <row r="8378" spans="1:8">
      <c r="A8378" t="s">
        <v>4378</v>
      </c>
      <c r="G8378" t="s">
        <v>5137</v>
      </c>
      <c r="H8378">
        <v>4836097</v>
      </c>
    </row>
    <row r="8379" spans="1:7">
      <c r="A8379" t="s">
        <v>4356</v>
      </c>
      <c r="B8379">
        <v>4838097</v>
      </c>
      <c r="G8379" t="s">
        <v>5527</v>
      </c>
    </row>
    <row r="8380" spans="1:7">
      <c r="A8380" t="s">
        <v>5458</v>
      </c>
      <c r="G8380" t="s">
        <v>5214</v>
      </c>
    </row>
    <row r="8381" spans="1:8">
      <c r="A8381" t="s">
        <v>4340</v>
      </c>
      <c r="G8381" t="s">
        <v>5214</v>
      </c>
      <c r="H8381">
        <v>5206097</v>
      </c>
    </row>
    <row r="8382" spans="1:7">
      <c r="A8382" t="s">
        <v>4363</v>
      </c>
      <c r="G8382" t="s">
        <v>5214</v>
      </c>
    </row>
    <row r="8383" spans="1:8">
      <c r="A8383" t="s">
        <v>4358</v>
      </c>
      <c r="G8383" t="s">
        <v>5214</v>
      </c>
      <c r="H8383">
        <v>5200097</v>
      </c>
    </row>
    <row r="8384" spans="1:7">
      <c r="A8384" t="s">
        <v>4342</v>
      </c>
      <c r="G8384" t="s">
        <v>5214</v>
      </c>
    </row>
    <row r="8385" spans="1:7">
      <c r="A8385" t="s">
        <v>4336</v>
      </c>
      <c r="G8385" t="s">
        <v>5214</v>
      </c>
    </row>
    <row r="8386" spans="1:7">
      <c r="A8386" t="s">
        <v>5442</v>
      </c>
      <c r="G8386" t="s">
        <v>5214</v>
      </c>
    </row>
    <row r="8387" spans="1:7">
      <c r="A8387" t="s">
        <v>5512</v>
      </c>
      <c r="G8387" t="s">
        <v>5214</v>
      </c>
    </row>
    <row r="8388" spans="1:7">
      <c r="A8388" t="s">
        <v>5351</v>
      </c>
      <c r="G8388" t="s">
        <v>5214</v>
      </c>
    </row>
    <row r="8389" spans="1:7">
      <c r="A8389" t="s">
        <v>4352</v>
      </c>
      <c r="G8389" t="s">
        <v>5214</v>
      </c>
    </row>
    <row r="8390" spans="1:7">
      <c r="A8390" t="s">
        <v>4955</v>
      </c>
      <c r="G8390" t="s">
        <v>5392</v>
      </c>
    </row>
    <row r="8391" spans="1:7">
      <c r="A8391" t="s">
        <v>5301</v>
      </c>
      <c r="G8391" t="s">
        <v>5392</v>
      </c>
    </row>
    <row r="8392" spans="1:7">
      <c r="A8392" t="s">
        <v>4361</v>
      </c>
      <c r="G8392" t="s">
        <v>4738</v>
      </c>
    </row>
    <row r="8393" spans="1:7">
      <c r="A8393" t="s">
        <v>4381</v>
      </c>
      <c r="G8393" t="s">
        <v>4738</v>
      </c>
    </row>
    <row r="8394" spans="1:7">
      <c r="A8394" t="s">
        <v>4385</v>
      </c>
      <c r="G8394" t="s">
        <v>4738</v>
      </c>
    </row>
    <row r="8395" spans="1:7">
      <c r="A8395" t="s">
        <v>4345</v>
      </c>
      <c r="G8395" t="s">
        <v>4738</v>
      </c>
    </row>
    <row r="8396" spans="1:7">
      <c r="A8396" t="s">
        <v>4382</v>
      </c>
      <c r="B8396">
        <v>4846097</v>
      </c>
      <c r="G8396" t="s">
        <v>4738</v>
      </c>
    </row>
    <row r="8397" spans="1:7">
      <c r="A8397" t="s">
        <v>4336</v>
      </c>
      <c r="G8397" t="s">
        <v>5158</v>
      </c>
    </row>
    <row r="8398" spans="1:7">
      <c r="A8398" t="s">
        <v>4361</v>
      </c>
      <c r="G8398" t="s">
        <v>5050</v>
      </c>
    </row>
    <row r="8399" spans="1:7">
      <c r="A8399" t="s">
        <v>4302</v>
      </c>
      <c r="G8399" t="s">
        <v>5413</v>
      </c>
    </row>
    <row r="8400" spans="1:7">
      <c r="A8400" t="s">
        <v>5137</v>
      </c>
      <c r="B8400">
        <v>4836097</v>
      </c>
      <c r="G8400" t="s">
        <v>5413</v>
      </c>
    </row>
    <row r="8401" spans="1:7">
      <c r="A8401" t="s">
        <v>5504</v>
      </c>
      <c r="G8401" t="s">
        <v>5413</v>
      </c>
    </row>
    <row r="8402" spans="1:7">
      <c r="A8402" t="s">
        <v>4376</v>
      </c>
      <c r="G8402" t="s">
        <v>5413</v>
      </c>
    </row>
    <row r="8403" spans="1:7">
      <c r="A8403" t="s">
        <v>4362</v>
      </c>
      <c r="G8403" t="s">
        <v>5413</v>
      </c>
    </row>
    <row r="8404" spans="1:7">
      <c r="A8404" t="s">
        <v>4381</v>
      </c>
      <c r="G8404" t="s">
        <v>5413</v>
      </c>
    </row>
    <row r="8405" spans="1:7">
      <c r="A8405" t="s">
        <v>4085</v>
      </c>
      <c r="G8405" t="s">
        <v>5413</v>
      </c>
    </row>
    <row r="8406" spans="1:7">
      <c r="A8406" t="s">
        <v>4364</v>
      </c>
      <c r="G8406" t="s">
        <v>5413</v>
      </c>
    </row>
    <row r="8407" spans="1:7">
      <c r="A8407" t="s">
        <v>4384</v>
      </c>
      <c r="G8407" t="s">
        <v>5413</v>
      </c>
    </row>
    <row r="8408" spans="1:8">
      <c r="A8408" t="s">
        <v>4632</v>
      </c>
      <c r="G8408" t="s">
        <v>5413</v>
      </c>
      <c r="H8408">
        <v>4914097</v>
      </c>
    </row>
    <row r="8409" spans="1:7">
      <c r="A8409" t="s">
        <v>4377</v>
      </c>
      <c r="G8409" t="s">
        <v>5413</v>
      </c>
    </row>
    <row r="8410" spans="1:7">
      <c r="A8410" t="s">
        <v>4388</v>
      </c>
      <c r="G8410" t="s">
        <v>5413</v>
      </c>
    </row>
    <row r="8411" spans="1:7">
      <c r="A8411" t="s">
        <v>4342</v>
      </c>
      <c r="G8411" t="s">
        <v>4855</v>
      </c>
    </row>
    <row r="8412" spans="1:7">
      <c r="A8412" t="s">
        <v>5512</v>
      </c>
      <c r="G8412" t="s">
        <v>4855</v>
      </c>
    </row>
    <row r="8413" spans="1:7">
      <c r="A8413" t="s">
        <v>4378</v>
      </c>
      <c r="G8413" t="s">
        <v>4855</v>
      </c>
    </row>
    <row r="8414" spans="1:7">
      <c r="A8414" t="s">
        <v>4955</v>
      </c>
      <c r="G8414" t="s">
        <v>5299</v>
      </c>
    </row>
    <row r="8415" spans="1:7">
      <c r="A8415" t="s">
        <v>4391</v>
      </c>
      <c r="G8415" t="s">
        <v>4020</v>
      </c>
    </row>
    <row r="8416" spans="1:7">
      <c r="A8416" t="s">
        <v>4352</v>
      </c>
      <c r="G8416" t="s">
        <v>4020</v>
      </c>
    </row>
    <row r="8417" spans="1:7">
      <c r="A8417" t="s">
        <v>5351</v>
      </c>
      <c r="G8417" t="s">
        <v>4020</v>
      </c>
    </row>
    <row r="8418" spans="1:7">
      <c r="A8418" t="s">
        <v>4955</v>
      </c>
      <c r="B8418">
        <v>4844097</v>
      </c>
      <c r="G8418" t="s">
        <v>4143</v>
      </c>
    </row>
    <row r="8419" spans="1:7">
      <c r="A8419" t="s">
        <v>4345</v>
      </c>
      <c r="G8419" t="s">
        <v>4143</v>
      </c>
    </row>
    <row r="8420" spans="1:7">
      <c r="A8420" t="s">
        <v>4387</v>
      </c>
      <c r="G8420" t="s">
        <v>4143</v>
      </c>
    </row>
    <row r="8421" spans="1:7">
      <c r="A8421" t="s">
        <v>4110</v>
      </c>
      <c r="G8421" t="s">
        <v>4143</v>
      </c>
    </row>
    <row r="8422" spans="1:7">
      <c r="A8422" t="s">
        <v>4381</v>
      </c>
      <c r="G8422" t="s">
        <v>4143</v>
      </c>
    </row>
    <row r="8423" spans="1:7">
      <c r="A8423" t="s">
        <v>5504</v>
      </c>
      <c r="G8423" t="s">
        <v>4143</v>
      </c>
    </row>
    <row r="8424" spans="1:7">
      <c r="A8424" t="s">
        <v>4391</v>
      </c>
      <c r="G8424" t="s">
        <v>4143</v>
      </c>
    </row>
    <row r="8425" spans="1:7">
      <c r="A8425" t="s">
        <v>4382</v>
      </c>
      <c r="G8425" t="s">
        <v>4143</v>
      </c>
    </row>
    <row r="8426" spans="1:7">
      <c r="A8426" t="s">
        <v>4384</v>
      </c>
      <c r="G8426" t="s">
        <v>4143</v>
      </c>
    </row>
    <row r="8427" spans="1:7">
      <c r="A8427" t="s">
        <v>4342</v>
      </c>
      <c r="G8427" t="s">
        <v>4143</v>
      </c>
    </row>
    <row r="8428" spans="1:7">
      <c r="A8428" t="s">
        <v>5301</v>
      </c>
      <c r="G8428" t="s">
        <v>4143</v>
      </c>
    </row>
    <row r="8429" spans="1:7">
      <c r="A8429" t="s">
        <v>4632</v>
      </c>
      <c r="G8429" t="s">
        <v>4143</v>
      </c>
    </row>
    <row r="8430" spans="1:7">
      <c r="A8430" t="s">
        <v>4388</v>
      </c>
      <c r="G8430" t="s">
        <v>4143</v>
      </c>
    </row>
    <row r="8431" spans="1:7">
      <c r="A8431" t="s">
        <v>4376</v>
      </c>
      <c r="G8431" t="s">
        <v>4143</v>
      </c>
    </row>
    <row r="8432" spans="1:7">
      <c r="A8432" t="s">
        <v>4362</v>
      </c>
      <c r="G8432" t="s">
        <v>4143</v>
      </c>
    </row>
    <row r="8433" spans="1:7">
      <c r="A8433" t="s">
        <v>5033</v>
      </c>
      <c r="G8433" t="s">
        <v>4143</v>
      </c>
    </row>
    <row r="8434" spans="1:7">
      <c r="A8434" t="s">
        <v>4573</v>
      </c>
      <c r="B8434">
        <v>4835097</v>
      </c>
      <c r="G8434" t="s">
        <v>4143</v>
      </c>
    </row>
    <row r="8435" spans="1:7">
      <c r="A8435" t="s">
        <v>4378</v>
      </c>
      <c r="G8435" t="s">
        <v>4143</v>
      </c>
    </row>
    <row r="8436" spans="1:7">
      <c r="A8436" t="s">
        <v>4356</v>
      </c>
      <c r="G8436" t="s">
        <v>4143</v>
      </c>
    </row>
    <row r="8437" spans="1:7">
      <c r="A8437" t="s">
        <v>5458</v>
      </c>
      <c r="G8437" t="s">
        <v>4143</v>
      </c>
    </row>
    <row r="8438" spans="1:7">
      <c r="A8438" t="s">
        <v>4377</v>
      </c>
      <c r="G8438" t="s">
        <v>4143</v>
      </c>
    </row>
    <row r="8439" spans="1:7">
      <c r="A8439" t="s">
        <v>4385</v>
      </c>
      <c r="G8439" t="s">
        <v>4143</v>
      </c>
    </row>
    <row r="8440" spans="1:7">
      <c r="A8440" t="s">
        <v>5351</v>
      </c>
      <c r="G8440" t="s">
        <v>4143</v>
      </c>
    </row>
    <row r="8441" spans="1:7">
      <c r="A8441" t="s">
        <v>5442</v>
      </c>
      <c r="G8441" t="s">
        <v>4143</v>
      </c>
    </row>
    <row r="8442" spans="1:7">
      <c r="A8442" t="s">
        <v>4361</v>
      </c>
      <c r="G8442" t="s">
        <v>4143</v>
      </c>
    </row>
    <row r="8443" spans="1:7">
      <c r="A8443" t="s">
        <v>5212</v>
      </c>
      <c r="G8443" t="s">
        <v>4143</v>
      </c>
    </row>
    <row r="8444" spans="1:7">
      <c r="A8444" t="s">
        <v>4352</v>
      </c>
      <c r="G8444" t="s">
        <v>4143</v>
      </c>
    </row>
    <row r="8445" spans="1:7">
      <c r="A8445" t="s">
        <v>4363</v>
      </c>
      <c r="G8445" t="s">
        <v>4143</v>
      </c>
    </row>
    <row r="8446" spans="1:8">
      <c r="A8446" t="s">
        <v>4358</v>
      </c>
      <c r="G8446" t="s">
        <v>4143</v>
      </c>
      <c r="H8446">
        <v>4936097</v>
      </c>
    </row>
    <row r="8447" spans="1:7">
      <c r="A8447" t="s">
        <v>4340</v>
      </c>
      <c r="G8447" t="s">
        <v>4143</v>
      </c>
    </row>
    <row r="8448" spans="1:7">
      <c r="A8448" t="s">
        <v>5512</v>
      </c>
      <c r="G8448" t="s">
        <v>4143</v>
      </c>
    </row>
    <row r="8449" spans="1:7">
      <c r="A8449" t="s">
        <v>4085</v>
      </c>
      <c r="G8449" t="s">
        <v>4143</v>
      </c>
    </row>
    <row r="8450" spans="1:7">
      <c r="A8450" t="s">
        <v>4336</v>
      </c>
      <c r="G8450" t="s">
        <v>4143</v>
      </c>
    </row>
    <row r="8451" spans="1:7">
      <c r="A8451" t="s">
        <v>4632</v>
      </c>
      <c r="B8451">
        <v>4842097</v>
      </c>
      <c r="G8451" t="s">
        <v>4143</v>
      </c>
    </row>
    <row r="8452" spans="1:7">
      <c r="A8452" t="s">
        <v>4384</v>
      </c>
      <c r="G8452" t="s">
        <v>4143</v>
      </c>
    </row>
    <row r="8453" spans="1:7">
      <c r="A8453" t="s">
        <v>4085</v>
      </c>
      <c r="G8453" t="s">
        <v>4143</v>
      </c>
    </row>
    <row r="8454" spans="1:7">
      <c r="A8454" t="s">
        <v>4345</v>
      </c>
      <c r="G8454" t="s">
        <v>4143</v>
      </c>
    </row>
    <row r="8455" spans="1:7">
      <c r="A8455" t="s">
        <v>4381</v>
      </c>
      <c r="G8455" t="s">
        <v>4143</v>
      </c>
    </row>
    <row r="8456" spans="1:7">
      <c r="A8456" t="s">
        <v>5504</v>
      </c>
      <c r="G8456" t="s">
        <v>4143</v>
      </c>
    </row>
    <row r="8457" spans="1:8">
      <c r="A8457" t="s">
        <v>4387</v>
      </c>
      <c r="G8457" t="s">
        <v>4143</v>
      </c>
      <c r="H8457">
        <v>4909097</v>
      </c>
    </row>
    <row r="8458" spans="1:7">
      <c r="A8458" t="s">
        <v>4382</v>
      </c>
      <c r="G8458" t="s">
        <v>5213</v>
      </c>
    </row>
    <row r="8459" spans="1:7">
      <c r="A8459" t="s">
        <v>4110</v>
      </c>
      <c r="G8459" t="s">
        <v>5213</v>
      </c>
    </row>
    <row r="8460" spans="1:7">
      <c r="A8460" t="s">
        <v>4388</v>
      </c>
      <c r="G8460" t="s">
        <v>5213</v>
      </c>
    </row>
    <row r="8461" spans="1:7">
      <c r="A8461" t="s">
        <v>4376</v>
      </c>
      <c r="G8461" t="s">
        <v>5213</v>
      </c>
    </row>
    <row r="8462" spans="1:7">
      <c r="A8462" t="s">
        <v>4362</v>
      </c>
      <c r="G8462" t="s">
        <v>5213</v>
      </c>
    </row>
    <row r="8463" spans="1:7">
      <c r="A8463" t="s">
        <v>5033</v>
      </c>
      <c r="G8463" t="s">
        <v>5425</v>
      </c>
    </row>
    <row r="8464" spans="1:7">
      <c r="A8464" t="s">
        <v>4573</v>
      </c>
      <c r="G8464" t="s">
        <v>5425</v>
      </c>
    </row>
    <row r="8465" spans="1:7">
      <c r="A8465" t="s">
        <v>4356</v>
      </c>
      <c r="G8465" t="s">
        <v>5425</v>
      </c>
    </row>
    <row r="8466" spans="1:7">
      <c r="A8466" t="s">
        <v>5458</v>
      </c>
      <c r="G8466" t="s">
        <v>5514</v>
      </c>
    </row>
    <row r="8467" spans="1:7">
      <c r="A8467" t="s">
        <v>4342</v>
      </c>
      <c r="G8467" t="s">
        <v>5514</v>
      </c>
    </row>
    <row r="8468" spans="1:7">
      <c r="A8468" t="s">
        <v>4361</v>
      </c>
      <c r="G8468" t="s">
        <v>5514</v>
      </c>
    </row>
    <row r="8469" spans="1:7">
      <c r="A8469" t="s">
        <v>4955</v>
      </c>
      <c r="G8469" t="s">
        <v>5514</v>
      </c>
    </row>
    <row r="8470" spans="1:7">
      <c r="A8470" t="s">
        <v>4385</v>
      </c>
      <c r="G8470" t="s">
        <v>5008</v>
      </c>
    </row>
    <row r="8471" spans="1:7">
      <c r="A8471" t="s">
        <v>4336</v>
      </c>
      <c r="G8471" t="s">
        <v>5008</v>
      </c>
    </row>
    <row r="8472" spans="1:7">
      <c r="A8472" t="s">
        <v>5442</v>
      </c>
      <c r="G8472" t="s">
        <v>5008</v>
      </c>
    </row>
    <row r="8473" spans="1:7">
      <c r="A8473" t="s">
        <v>5512</v>
      </c>
      <c r="G8473" t="s">
        <v>5008</v>
      </c>
    </row>
    <row r="8474" spans="1:7">
      <c r="A8474" t="s">
        <v>4352</v>
      </c>
      <c r="G8474" t="s">
        <v>5008</v>
      </c>
    </row>
    <row r="8475" spans="1:7">
      <c r="A8475" t="s">
        <v>4377</v>
      </c>
      <c r="B8475">
        <v>4826097</v>
      </c>
      <c r="G8475" t="s">
        <v>5008</v>
      </c>
    </row>
    <row r="8476" spans="1:7">
      <c r="A8476" t="s">
        <v>4358</v>
      </c>
      <c r="G8476" t="s">
        <v>5008</v>
      </c>
    </row>
    <row r="8477" spans="1:7">
      <c r="A8477" t="s">
        <v>4391</v>
      </c>
      <c r="G8477" t="s">
        <v>3992</v>
      </c>
    </row>
    <row r="8478" spans="1:7">
      <c r="A8478" t="s">
        <v>5301</v>
      </c>
      <c r="G8478" t="s">
        <v>5431</v>
      </c>
    </row>
    <row r="8479" spans="1:7">
      <c r="A8479" t="s">
        <v>4363</v>
      </c>
      <c r="G8479" t="s">
        <v>5431</v>
      </c>
    </row>
    <row r="8480" spans="1:7">
      <c r="A8480" t="s">
        <v>4378</v>
      </c>
      <c r="G8480" t="s">
        <v>5431</v>
      </c>
    </row>
    <row r="8481" spans="1:7">
      <c r="A8481" t="s">
        <v>5351</v>
      </c>
      <c r="G8481" t="s">
        <v>5431</v>
      </c>
    </row>
    <row r="8482" spans="1:7">
      <c r="A8482" t="s">
        <v>4364</v>
      </c>
      <c r="G8482" t="s">
        <v>5431</v>
      </c>
    </row>
    <row r="8483" spans="1:7">
      <c r="A8483" t="s">
        <v>5212</v>
      </c>
      <c r="G8483" t="s">
        <v>4662</v>
      </c>
    </row>
    <row r="8484" spans="1:8">
      <c r="A8484" t="s">
        <v>4340</v>
      </c>
      <c r="G8484" t="s">
        <v>5528</v>
      </c>
      <c r="H8484">
        <v>4730097</v>
      </c>
    </row>
    <row r="8485" spans="1:8">
      <c r="A8485" t="s">
        <v>4955</v>
      </c>
      <c r="B8485">
        <v>4840097</v>
      </c>
      <c r="G8485" t="s">
        <v>5528</v>
      </c>
      <c r="H8485">
        <v>4728097</v>
      </c>
    </row>
    <row r="8486" spans="1:8">
      <c r="A8486" t="s">
        <v>4391</v>
      </c>
      <c r="G8486" t="s">
        <v>5528</v>
      </c>
      <c r="H8486">
        <v>4723097</v>
      </c>
    </row>
    <row r="8487" spans="1:7">
      <c r="A8487" t="s">
        <v>4378</v>
      </c>
      <c r="G8487" t="s">
        <v>5528</v>
      </c>
    </row>
    <row r="8488" spans="1:7">
      <c r="A8488" t="s">
        <v>4632</v>
      </c>
      <c r="G8488" t="s">
        <v>5528</v>
      </c>
    </row>
    <row r="8489" spans="1:7">
      <c r="A8489" t="s">
        <v>5443</v>
      </c>
      <c r="G8489" t="s">
        <v>5528</v>
      </c>
    </row>
    <row r="8490" spans="1:7">
      <c r="A8490" t="s">
        <v>5033</v>
      </c>
      <c r="G8490" t="s">
        <v>5528</v>
      </c>
    </row>
    <row r="8491" spans="1:7">
      <c r="A8491" t="s">
        <v>4085</v>
      </c>
      <c r="G8491" t="s">
        <v>5449</v>
      </c>
    </row>
    <row r="8492" spans="1:7">
      <c r="A8492" t="s">
        <v>5504</v>
      </c>
      <c r="G8492" t="s">
        <v>5449</v>
      </c>
    </row>
    <row r="8493" spans="1:7">
      <c r="A8493" t="s">
        <v>4362</v>
      </c>
      <c r="G8493" t="s">
        <v>5449</v>
      </c>
    </row>
    <row r="8494" spans="1:7">
      <c r="A8494" t="s">
        <v>4376</v>
      </c>
      <c r="G8494" t="s">
        <v>5449</v>
      </c>
    </row>
    <row r="8495" spans="1:7">
      <c r="A8495" t="s">
        <v>4381</v>
      </c>
      <c r="G8495" t="s">
        <v>5449</v>
      </c>
    </row>
    <row r="8496" spans="1:7">
      <c r="A8496" t="s">
        <v>4361</v>
      </c>
      <c r="G8496" t="s">
        <v>5449</v>
      </c>
    </row>
    <row r="8497" spans="1:7">
      <c r="A8497" t="s">
        <v>4659</v>
      </c>
      <c r="G8497" t="s">
        <v>5345</v>
      </c>
    </row>
    <row r="8498" spans="1:7">
      <c r="A8498" t="s">
        <v>4388</v>
      </c>
      <c r="G8498" t="s">
        <v>5442</v>
      </c>
    </row>
    <row r="8499" spans="1:7">
      <c r="A8499" t="s">
        <v>4377</v>
      </c>
      <c r="G8499" t="s">
        <v>5442</v>
      </c>
    </row>
    <row r="8500" spans="1:7">
      <c r="A8500" t="s">
        <v>5512</v>
      </c>
      <c r="G8500" t="s">
        <v>5442</v>
      </c>
    </row>
    <row r="8501" spans="1:7">
      <c r="A8501" t="s">
        <v>4382</v>
      </c>
      <c r="G8501" t="s">
        <v>5442</v>
      </c>
    </row>
    <row r="8502" spans="1:7">
      <c r="A8502" t="s">
        <v>4379</v>
      </c>
      <c r="G8502" t="s">
        <v>5442</v>
      </c>
    </row>
    <row r="8503" spans="1:7">
      <c r="A8503" t="s">
        <v>5351</v>
      </c>
      <c r="G8503" t="s">
        <v>5442</v>
      </c>
    </row>
    <row r="8504" spans="1:7">
      <c r="A8504" t="s">
        <v>4336</v>
      </c>
      <c r="G8504" t="s">
        <v>5442</v>
      </c>
    </row>
    <row r="8505" spans="1:7">
      <c r="A8505" t="s">
        <v>5514</v>
      </c>
      <c r="G8505" t="s">
        <v>5442</v>
      </c>
    </row>
    <row r="8506" spans="1:7">
      <c r="A8506" t="s">
        <v>4352</v>
      </c>
      <c r="G8506" t="s">
        <v>5442</v>
      </c>
    </row>
    <row r="8507" spans="1:7">
      <c r="A8507" t="s">
        <v>4364</v>
      </c>
      <c r="G8507" t="s">
        <v>5442</v>
      </c>
    </row>
    <row r="8508" spans="1:7">
      <c r="A8508" t="s">
        <v>4342</v>
      </c>
      <c r="B8508">
        <v>4822097</v>
      </c>
      <c r="G8508" t="s">
        <v>5442</v>
      </c>
    </row>
    <row r="8509" spans="1:7">
      <c r="A8509" t="s">
        <v>4391</v>
      </c>
      <c r="B8509">
        <v>4838097</v>
      </c>
      <c r="G8509" t="s">
        <v>5442</v>
      </c>
    </row>
    <row r="8510" spans="1:7">
      <c r="A8510" t="s">
        <v>4361</v>
      </c>
      <c r="G8510" t="s">
        <v>5442</v>
      </c>
    </row>
    <row r="8511" spans="1:7">
      <c r="A8511" t="s">
        <v>4382</v>
      </c>
      <c r="G8511" t="s">
        <v>5442</v>
      </c>
    </row>
    <row r="8512" spans="1:7">
      <c r="A8512" t="s">
        <v>4377</v>
      </c>
      <c r="G8512" t="s">
        <v>5442</v>
      </c>
    </row>
    <row r="8513" spans="1:7">
      <c r="A8513" t="s">
        <v>5504</v>
      </c>
      <c r="G8513" t="s">
        <v>4743</v>
      </c>
    </row>
    <row r="8514" spans="1:7">
      <c r="A8514" t="s">
        <v>4362</v>
      </c>
      <c r="G8514" t="s">
        <v>4743</v>
      </c>
    </row>
    <row r="8515" spans="1:7">
      <c r="A8515" t="s">
        <v>4376</v>
      </c>
      <c r="G8515" t="s">
        <v>5529</v>
      </c>
    </row>
    <row r="8516" spans="1:7">
      <c r="A8516" t="s">
        <v>4381</v>
      </c>
      <c r="G8516" t="s">
        <v>4256</v>
      </c>
    </row>
    <row r="8517" spans="1:7">
      <c r="A8517" t="s">
        <v>4085</v>
      </c>
      <c r="G8517" t="s">
        <v>4256</v>
      </c>
    </row>
    <row r="8518" spans="1:7">
      <c r="A8518" t="s">
        <v>4364</v>
      </c>
      <c r="G8518" t="s">
        <v>4256</v>
      </c>
    </row>
    <row r="8519" spans="1:7">
      <c r="A8519" t="s">
        <v>4632</v>
      </c>
      <c r="G8519" t="s">
        <v>4256</v>
      </c>
    </row>
    <row r="8520" spans="1:7">
      <c r="A8520" t="s">
        <v>4384</v>
      </c>
      <c r="G8520" t="s">
        <v>4256</v>
      </c>
    </row>
    <row r="8521" spans="1:7">
      <c r="A8521" t="s">
        <v>4388</v>
      </c>
      <c r="G8521" t="s">
        <v>4256</v>
      </c>
    </row>
    <row r="8522" spans="1:7">
      <c r="A8522" t="s">
        <v>4342</v>
      </c>
      <c r="G8522" t="s">
        <v>4256</v>
      </c>
    </row>
    <row r="8523" spans="1:7">
      <c r="A8523" t="s">
        <v>4955</v>
      </c>
      <c r="G8523" t="s">
        <v>4256</v>
      </c>
    </row>
    <row r="8524" spans="1:7">
      <c r="A8524" t="s">
        <v>5512</v>
      </c>
      <c r="G8524" t="s">
        <v>4256</v>
      </c>
    </row>
    <row r="8525" spans="1:7">
      <c r="A8525" t="s">
        <v>4378</v>
      </c>
      <c r="G8525" t="s">
        <v>4256</v>
      </c>
    </row>
    <row r="8526" spans="1:7">
      <c r="A8526" t="s">
        <v>4302</v>
      </c>
      <c r="G8526" t="s">
        <v>4256</v>
      </c>
    </row>
    <row r="8527" spans="1:7">
      <c r="A8527" t="s">
        <v>4336</v>
      </c>
      <c r="G8527" t="s">
        <v>4256</v>
      </c>
    </row>
    <row r="8528" spans="1:7">
      <c r="A8528" t="s">
        <v>5351</v>
      </c>
      <c r="G8528" t="s">
        <v>4256</v>
      </c>
    </row>
    <row r="8529" spans="1:7">
      <c r="A8529" t="s">
        <v>4352</v>
      </c>
      <c r="G8529" t="s">
        <v>4256</v>
      </c>
    </row>
    <row r="8530" spans="1:7">
      <c r="A8530" t="s">
        <v>4632</v>
      </c>
      <c r="B8530">
        <v>4836097</v>
      </c>
      <c r="G8530" t="s">
        <v>4256</v>
      </c>
    </row>
    <row r="8531" spans="1:7">
      <c r="A8531" t="s">
        <v>4391</v>
      </c>
      <c r="B8531">
        <v>4821097</v>
      </c>
      <c r="G8531" t="s">
        <v>4131</v>
      </c>
    </row>
    <row r="8532" spans="1:7">
      <c r="A8532" t="s">
        <v>4110</v>
      </c>
      <c r="G8532" t="s">
        <v>4131</v>
      </c>
    </row>
    <row r="8533" spans="1:8">
      <c r="A8533" t="s">
        <v>4381</v>
      </c>
      <c r="G8533" t="s">
        <v>4131</v>
      </c>
      <c r="H8533">
        <v>5460097</v>
      </c>
    </row>
    <row r="8534" spans="1:7">
      <c r="A8534" t="s">
        <v>5504</v>
      </c>
      <c r="G8534" t="s">
        <v>4131</v>
      </c>
    </row>
    <row r="8535" spans="1:7">
      <c r="A8535" t="s">
        <v>4382</v>
      </c>
      <c r="G8535" t="s">
        <v>4131</v>
      </c>
    </row>
    <row r="8536" spans="1:7">
      <c r="A8536" t="s">
        <v>4384</v>
      </c>
      <c r="G8536" t="s">
        <v>4131</v>
      </c>
    </row>
    <row r="8537" spans="1:7">
      <c r="A8537" t="s">
        <v>5301</v>
      </c>
      <c r="G8537" t="s">
        <v>4131</v>
      </c>
    </row>
    <row r="8538" spans="1:7">
      <c r="A8538" t="s">
        <v>4376</v>
      </c>
      <c r="G8538" t="s">
        <v>4131</v>
      </c>
    </row>
    <row r="8539" spans="1:8">
      <c r="A8539" t="s">
        <v>4388</v>
      </c>
      <c r="G8539" t="s">
        <v>4131</v>
      </c>
      <c r="H8539">
        <v>5064097</v>
      </c>
    </row>
    <row r="8540" spans="1:7">
      <c r="A8540" t="s">
        <v>4362</v>
      </c>
      <c r="G8540" t="s">
        <v>4131</v>
      </c>
    </row>
    <row r="8541" spans="1:7">
      <c r="A8541" t="s">
        <v>5033</v>
      </c>
      <c r="G8541" t="s">
        <v>4131</v>
      </c>
    </row>
    <row r="8542" spans="1:7">
      <c r="A8542" t="s">
        <v>4573</v>
      </c>
      <c r="G8542" t="s">
        <v>4131</v>
      </c>
    </row>
    <row r="8543" spans="1:7">
      <c r="A8543" t="s">
        <v>4378</v>
      </c>
      <c r="G8543" t="s">
        <v>4131</v>
      </c>
    </row>
    <row r="8544" spans="1:7">
      <c r="A8544" t="s">
        <v>4085</v>
      </c>
      <c r="G8544" t="s">
        <v>4131</v>
      </c>
    </row>
    <row r="8545" spans="1:7">
      <c r="A8545" t="s">
        <v>4356</v>
      </c>
      <c r="G8545" t="s">
        <v>4131</v>
      </c>
    </row>
    <row r="8546" spans="1:7">
      <c r="A8546" t="s">
        <v>4363</v>
      </c>
      <c r="G8546" t="s">
        <v>4131</v>
      </c>
    </row>
    <row r="8547" spans="1:7">
      <c r="A8547" t="s">
        <v>5458</v>
      </c>
      <c r="G8547" t="s">
        <v>4131</v>
      </c>
    </row>
    <row r="8548" spans="1:7">
      <c r="A8548" t="s">
        <v>4387</v>
      </c>
      <c r="G8548" t="s">
        <v>4131</v>
      </c>
    </row>
    <row r="8549" spans="1:7">
      <c r="A8549" t="s">
        <v>4377</v>
      </c>
      <c r="G8549" t="s">
        <v>4131</v>
      </c>
    </row>
    <row r="8550" spans="1:7">
      <c r="A8550" t="s">
        <v>4385</v>
      </c>
      <c r="G8550" t="s">
        <v>4131</v>
      </c>
    </row>
    <row r="8551" spans="1:8">
      <c r="A8551" t="s">
        <v>4955</v>
      </c>
      <c r="B8551">
        <v>4816097</v>
      </c>
      <c r="G8551" t="s">
        <v>4131</v>
      </c>
      <c r="H8551">
        <v>4923097</v>
      </c>
    </row>
    <row r="8552" spans="1:7">
      <c r="A8552" t="s">
        <v>4336</v>
      </c>
      <c r="G8552" t="s">
        <v>4131</v>
      </c>
    </row>
    <row r="8553" spans="1:7">
      <c r="A8553" t="s">
        <v>5351</v>
      </c>
      <c r="G8553" t="s">
        <v>4131</v>
      </c>
    </row>
    <row r="8554" spans="1:7">
      <c r="A8554" t="s">
        <v>5442</v>
      </c>
      <c r="G8554" t="s">
        <v>4131</v>
      </c>
    </row>
    <row r="8555" spans="1:7">
      <c r="A8555" t="s">
        <v>4352</v>
      </c>
      <c r="G8555" t="s">
        <v>4131</v>
      </c>
    </row>
    <row r="8556" spans="1:7">
      <c r="A8556" t="s">
        <v>4340</v>
      </c>
      <c r="G8556" t="s">
        <v>5406</v>
      </c>
    </row>
    <row r="8557" spans="1:7">
      <c r="A8557" t="s">
        <v>4342</v>
      </c>
      <c r="G8557" t="s">
        <v>5372</v>
      </c>
    </row>
    <row r="8558" spans="1:7">
      <c r="A8558" t="s">
        <v>4358</v>
      </c>
      <c r="G8558" t="s">
        <v>5372</v>
      </c>
    </row>
    <row r="8559" spans="1:7">
      <c r="A8559" t="s">
        <v>5512</v>
      </c>
      <c r="G8559" t="s">
        <v>5530</v>
      </c>
    </row>
    <row r="8560" spans="1:7">
      <c r="A8560" t="s">
        <v>4361</v>
      </c>
      <c r="G8560" t="s">
        <v>4349</v>
      </c>
    </row>
    <row r="8561" spans="1:7">
      <c r="A8561" t="s">
        <v>5212</v>
      </c>
      <c r="G8561" t="s">
        <v>4349</v>
      </c>
    </row>
    <row r="8562" spans="1:8">
      <c r="A8562" t="s">
        <v>4364</v>
      </c>
      <c r="G8562" t="s">
        <v>4349</v>
      </c>
      <c r="H8562">
        <v>5396097</v>
      </c>
    </row>
    <row r="8563" spans="1:7">
      <c r="A8563" t="s">
        <v>5195</v>
      </c>
      <c r="G8563" t="s">
        <v>4349</v>
      </c>
    </row>
    <row r="8564" spans="1:8">
      <c r="A8564" t="s">
        <v>4167</v>
      </c>
      <c r="B8564">
        <v>4835097</v>
      </c>
      <c r="G8564" t="s">
        <v>4349</v>
      </c>
      <c r="H8564">
        <v>5393097</v>
      </c>
    </row>
    <row r="8565" spans="1:7">
      <c r="A8565" t="s">
        <v>5362</v>
      </c>
      <c r="G8565" t="s">
        <v>4349</v>
      </c>
    </row>
    <row r="8566" spans="1:7">
      <c r="A8566" t="s">
        <v>4189</v>
      </c>
      <c r="G8566" t="s">
        <v>4349</v>
      </c>
    </row>
    <row r="8567" spans="1:7">
      <c r="A8567" t="s">
        <v>4115</v>
      </c>
      <c r="G8567" t="s">
        <v>4349</v>
      </c>
    </row>
    <row r="8568" spans="1:7">
      <c r="A8568" t="s">
        <v>4113</v>
      </c>
      <c r="G8568" t="s">
        <v>4349</v>
      </c>
    </row>
    <row r="8569" spans="1:7">
      <c r="A8569" t="s">
        <v>4153</v>
      </c>
      <c r="G8569" t="s">
        <v>4349</v>
      </c>
    </row>
    <row r="8570" spans="1:7">
      <c r="A8570" t="s">
        <v>4778</v>
      </c>
      <c r="G8570" t="s">
        <v>4349</v>
      </c>
    </row>
    <row r="8571" spans="1:7">
      <c r="A8571" t="s">
        <v>4450</v>
      </c>
      <c r="G8571" t="s">
        <v>4349</v>
      </c>
    </row>
    <row r="8572" spans="1:7">
      <c r="A8572" t="s">
        <v>5149</v>
      </c>
      <c r="G8572" t="s">
        <v>4349</v>
      </c>
    </row>
    <row r="8573" spans="1:7">
      <c r="A8573" t="s">
        <v>4175</v>
      </c>
      <c r="G8573" t="s">
        <v>4349</v>
      </c>
    </row>
    <row r="8574" spans="1:7">
      <c r="A8574" t="s">
        <v>4557</v>
      </c>
      <c r="G8574" t="s">
        <v>4349</v>
      </c>
    </row>
    <row r="8575" spans="1:7">
      <c r="A8575" t="s">
        <v>4218</v>
      </c>
      <c r="G8575" t="s">
        <v>4349</v>
      </c>
    </row>
    <row r="8576" spans="1:7">
      <c r="A8576" t="s">
        <v>4898</v>
      </c>
      <c r="G8576" t="s">
        <v>5012</v>
      </c>
    </row>
    <row r="8577" spans="1:7">
      <c r="A8577" t="s">
        <v>4736</v>
      </c>
      <c r="G8577" t="s">
        <v>5012</v>
      </c>
    </row>
    <row r="8578" spans="1:7">
      <c r="A8578" t="s">
        <v>5400</v>
      </c>
      <c r="G8578" t="s">
        <v>5012</v>
      </c>
    </row>
    <row r="8579" spans="1:7">
      <c r="A8579" t="s">
        <v>4436</v>
      </c>
      <c r="G8579" t="s">
        <v>5012</v>
      </c>
    </row>
    <row r="8580" spans="1:7">
      <c r="A8580" t="s">
        <v>4477</v>
      </c>
      <c r="G8580" t="s">
        <v>5012</v>
      </c>
    </row>
    <row r="8581" spans="1:7">
      <c r="A8581" t="s">
        <v>4617</v>
      </c>
      <c r="G8581" t="s">
        <v>5012</v>
      </c>
    </row>
    <row r="8582" spans="1:7">
      <c r="A8582" t="s">
        <v>4867</v>
      </c>
      <c r="G8582" t="s">
        <v>5012</v>
      </c>
    </row>
    <row r="8583" spans="1:7">
      <c r="A8583" t="s">
        <v>4171</v>
      </c>
      <c r="G8583" t="s">
        <v>5313</v>
      </c>
    </row>
    <row r="8584" spans="1:7">
      <c r="A8584" t="s">
        <v>4548</v>
      </c>
      <c r="G8584" t="s">
        <v>5222</v>
      </c>
    </row>
    <row r="8585" spans="1:7">
      <c r="A8585" t="s">
        <v>5180</v>
      </c>
      <c r="G8585" t="s">
        <v>5222</v>
      </c>
    </row>
    <row r="8586" spans="1:7">
      <c r="A8586" t="s">
        <v>4264</v>
      </c>
      <c r="G8586" t="s">
        <v>5222</v>
      </c>
    </row>
    <row r="8587" spans="1:7">
      <c r="A8587" t="s">
        <v>4463</v>
      </c>
      <c r="G8587" t="s">
        <v>5222</v>
      </c>
    </row>
    <row r="8588" spans="1:7">
      <c r="A8588" t="s">
        <v>5121</v>
      </c>
      <c r="G8588" t="s">
        <v>5222</v>
      </c>
    </row>
    <row r="8589" spans="1:7">
      <c r="A8589" t="s">
        <v>4166</v>
      </c>
      <c r="G8589" t="s">
        <v>5222</v>
      </c>
    </row>
    <row r="8590" spans="1:7">
      <c r="A8590" t="s">
        <v>4088</v>
      </c>
      <c r="G8590" t="s">
        <v>5222</v>
      </c>
    </row>
    <row r="8591" spans="1:7">
      <c r="A8591" t="s">
        <v>4673</v>
      </c>
      <c r="G8591" t="s">
        <v>5222</v>
      </c>
    </row>
    <row r="8592" spans="1:7">
      <c r="A8592" t="s">
        <v>5059</v>
      </c>
      <c r="G8592" t="s">
        <v>5222</v>
      </c>
    </row>
    <row r="8593" spans="1:7">
      <c r="A8593" t="s">
        <v>5380</v>
      </c>
      <c r="G8593" t="s">
        <v>5222</v>
      </c>
    </row>
    <row r="8594" spans="1:7">
      <c r="A8594" t="s">
        <v>4009</v>
      </c>
      <c r="G8594" t="s">
        <v>5222</v>
      </c>
    </row>
    <row r="8595" spans="1:7">
      <c r="A8595" t="s">
        <v>4290</v>
      </c>
      <c r="B8595">
        <v>4811097</v>
      </c>
      <c r="G8595" t="s">
        <v>5222</v>
      </c>
    </row>
    <row r="8596" spans="1:7">
      <c r="A8596" t="s">
        <v>5446</v>
      </c>
      <c r="G8596" t="s">
        <v>4338</v>
      </c>
    </row>
    <row r="8597" spans="1:7">
      <c r="A8597" t="s">
        <v>4997</v>
      </c>
      <c r="G8597" t="s">
        <v>4338</v>
      </c>
    </row>
    <row r="8598" spans="1:7">
      <c r="A8598" t="s">
        <v>4704</v>
      </c>
      <c r="G8598" t="s">
        <v>4338</v>
      </c>
    </row>
    <row r="8599" spans="1:7">
      <c r="A8599" t="s">
        <v>4231</v>
      </c>
      <c r="G8599" t="s">
        <v>4338</v>
      </c>
    </row>
    <row r="8600" spans="1:7">
      <c r="A8600" t="s">
        <v>4367</v>
      </c>
      <c r="G8600" t="s">
        <v>4338</v>
      </c>
    </row>
    <row r="8601" spans="1:7">
      <c r="A8601" t="s">
        <v>4108</v>
      </c>
      <c r="G8601" t="s">
        <v>4338</v>
      </c>
    </row>
    <row r="8602" spans="1:7">
      <c r="A8602" t="s">
        <v>4184</v>
      </c>
      <c r="G8602" t="s">
        <v>4338</v>
      </c>
    </row>
    <row r="8603" spans="1:8">
      <c r="A8603" t="s">
        <v>4073</v>
      </c>
      <c r="G8603" t="s">
        <v>4338</v>
      </c>
      <c r="H8603">
        <v>5353097</v>
      </c>
    </row>
    <row r="8604" spans="1:7">
      <c r="A8604" t="s">
        <v>4558</v>
      </c>
      <c r="G8604" t="s">
        <v>4338</v>
      </c>
    </row>
    <row r="8605" spans="1:7">
      <c r="A8605" t="s">
        <v>4955</v>
      </c>
      <c r="B8605">
        <v>4826097</v>
      </c>
      <c r="G8605" t="s">
        <v>4338</v>
      </c>
    </row>
    <row r="8606" spans="1:7">
      <c r="A8606" t="s">
        <v>4356</v>
      </c>
      <c r="G8606" t="s">
        <v>4338</v>
      </c>
    </row>
    <row r="8607" spans="1:7">
      <c r="A8607" t="s">
        <v>4110</v>
      </c>
      <c r="G8607" t="s">
        <v>4338</v>
      </c>
    </row>
    <row r="8608" spans="1:7">
      <c r="A8608" t="s">
        <v>4381</v>
      </c>
      <c r="G8608" t="s">
        <v>4338</v>
      </c>
    </row>
    <row r="8609" spans="1:7">
      <c r="A8609" t="s">
        <v>5504</v>
      </c>
      <c r="G8609" t="s">
        <v>4338</v>
      </c>
    </row>
    <row r="8610" spans="1:7">
      <c r="A8610" t="s">
        <v>4382</v>
      </c>
      <c r="G8610" t="s">
        <v>4338</v>
      </c>
    </row>
    <row r="8611" spans="1:7">
      <c r="A8611" t="s">
        <v>4384</v>
      </c>
      <c r="G8611" t="s">
        <v>4338</v>
      </c>
    </row>
    <row r="8612" spans="1:7">
      <c r="A8612" t="s">
        <v>4388</v>
      </c>
      <c r="G8612" t="s">
        <v>4338</v>
      </c>
    </row>
    <row r="8613" spans="1:7">
      <c r="A8613" t="s">
        <v>4376</v>
      </c>
      <c r="G8613" t="s">
        <v>4338</v>
      </c>
    </row>
    <row r="8614" spans="1:7">
      <c r="A8614" t="s">
        <v>4362</v>
      </c>
      <c r="G8614" t="s">
        <v>4338</v>
      </c>
    </row>
    <row r="8615" spans="1:8">
      <c r="A8615" t="s">
        <v>5033</v>
      </c>
      <c r="G8615" t="s">
        <v>4338</v>
      </c>
      <c r="H8615">
        <v>4887097</v>
      </c>
    </row>
    <row r="8616" spans="1:7">
      <c r="A8616" t="s">
        <v>4573</v>
      </c>
      <c r="G8616" t="s">
        <v>4338</v>
      </c>
    </row>
    <row r="8617" spans="1:8">
      <c r="A8617" t="s">
        <v>4085</v>
      </c>
      <c r="G8617" t="s">
        <v>4338</v>
      </c>
      <c r="H8617">
        <v>4898097</v>
      </c>
    </row>
    <row r="8618" spans="1:7">
      <c r="A8618" t="s">
        <v>5458</v>
      </c>
      <c r="G8618" t="s">
        <v>4338</v>
      </c>
    </row>
    <row r="8619" spans="1:7">
      <c r="A8619" t="s">
        <v>4342</v>
      </c>
      <c r="B8619">
        <v>4807097</v>
      </c>
      <c r="G8619" t="s">
        <v>4338</v>
      </c>
    </row>
    <row r="8620" spans="1:7">
      <c r="A8620" t="s">
        <v>4361</v>
      </c>
      <c r="G8620" t="s">
        <v>4338</v>
      </c>
    </row>
    <row r="8621" spans="1:7">
      <c r="A8621" t="s">
        <v>4387</v>
      </c>
      <c r="G8621" t="s">
        <v>4338</v>
      </c>
    </row>
    <row r="8622" spans="1:7">
      <c r="A8622" t="s">
        <v>4385</v>
      </c>
      <c r="G8622" t="s">
        <v>4338</v>
      </c>
    </row>
    <row r="8623" spans="1:8">
      <c r="A8623" t="s">
        <v>5309</v>
      </c>
      <c r="G8623" t="s">
        <v>4338</v>
      </c>
      <c r="H8623">
        <v>4789097</v>
      </c>
    </row>
    <row r="8624" spans="1:7">
      <c r="A8624" t="s">
        <v>4336</v>
      </c>
      <c r="G8624" t="s">
        <v>4338</v>
      </c>
    </row>
    <row r="8625" spans="1:7">
      <c r="A8625" t="s">
        <v>5442</v>
      </c>
      <c r="G8625" t="s">
        <v>4338</v>
      </c>
    </row>
    <row r="8626" spans="1:7">
      <c r="A8626" t="s">
        <v>5512</v>
      </c>
      <c r="G8626" t="s">
        <v>4338</v>
      </c>
    </row>
    <row r="8627" spans="1:7">
      <c r="A8627" t="s">
        <v>4352</v>
      </c>
      <c r="G8627" t="s">
        <v>4338</v>
      </c>
    </row>
    <row r="8628" spans="1:7">
      <c r="A8628" t="s">
        <v>4363</v>
      </c>
      <c r="G8628" t="s">
        <v>4338</v>
      </c>
    </row>
    <row r="8629" spans="1:7">
      <c r="A8629" t="s">
        <v>5351</v>
      </c>
      <c r="G8629" t="s">
        <v>4338</v>
      </c>
    </row>
    <row r="8630" spans="1:7">
      <c r="A8630" t="s">
        <v>4358</v>
      </c>
      <c r="G8630" t="s">
        <v>4338</v>
      </c>
    </row>
    <row r="8631" spans="1:7">
      <c r="A8631" t="s">
        <v>4340</v>
      </c>
      <c r="G8631" t="s">
        <v>5495</v>
      </c>
    </row>
    <row r="8632" spans="1:7">
      <c r="A8632" t="s">
        <v>4377</v>
      </c>
      <c r="G8632" t="s">
        <v>5495</v>
      </c>
    </row>
    <row r="8633" spans="1:7">
      <c r="A8633" t="s">
        <v>4632</v>
      </c>
      <c r="G8633" t="s">
        <v>5332</v>
      </c>
    </row>
    <row r="8634" spans="1:7">
      <c r="A8634" t="s">
        <v>4391</v>
      </c>
      <c r="G8634" t="s">
        <v>5332</v>
      </c>
    </row>
    <row r="8635" spans="1:8">
      <c r="A8635" t="s">
        <v>4378</v>
      </c>
      <c r="G8635" t="s">
        <v>5332</v>
      </c>
      <c r="H8635">
        <v>4959097</v>
      </c>
    </row>
    <row r="8636" spans="1:7">
      <c r="A8636" t="s">
        <v>5212</v>
      </c>
      <c r="G8636" t="s">
        <v>5332</v>
      </c>
    </row>
    <row r="8637" spans="1:7">
      <c r="A8637" t="s">
        <v>5301</v>
      </c>
      <c r="G8637" t="s">
        <v>5332</v>
      </c>
    </row>
    <row r="8638" spans="1:7">
      <c r="A8638" t="s">
        <v>4336</v>
      </c>
      <c r="B8638">
        <v>4822097</v>
      </c>
      <c r="G8638" t="s">
        <v>5332</v>
      </c>
    </row>
    <row r="8639" spans="1:7">
      <c r="A8639" t="s">
        <v>5033</v>
      </c>
      <c r="G8639" t="s">
        <v>5332</v>
      </c>
    </row>
    <row r="8640" spans="1:8">
      <c r="A8640" t="s">
        <v>4085</v>
      </c>
      <c r="G8640" t="s">
        <v>5332</v>
      </c>
      <c r="H8640">
        <v>4923097</v>
      </c>
    </row>
    <row r="8641" spans="1:7">
      <c r="A8641" t="s">
        <v>5504</v>
      </c>
      <c r="G8641" t="s">
        <v>4733</v>
      </c>
    </row>
    <row r="8642" spans="1:7">
      <c r="A8642" t="s">
        <v>4376</v>
      </c>
      <c r="G8642" t="s">
        <v>5086</v>
      </c>
    </row>
    <row r="8643" spans="1:7">
      <c r="A8643" t="s">
        <v>4362</v>
      </c>
      <c r="G8643" t="s">
        <v>5086</v>
      </c>
    </row>
    <row r="8644" spans="1:7">
      <c r="A8644" t="s">
        <v>4381</v>
      </c>
      <c r="G8644" t="s">
        <v>5030</v>
      </c>
    </row>
    <row r="8645" spans="1:8">
      <c r="A8645" t="s">
        <v>4955</v>
      </c>
      <c r="G8645" t="s">
        <v>5030</v>
      </c>
      <c r="H8645">
        <v>5077097</v>
      </c>
    </row>
    <row r="8646" spans="1:7">
      <c r="A8646" t="s">
        <v>4364</v>
      </c>
      <c r="G8646" t="s">
        <v>5030</v>
      </c>
    </row>
    <row r="8647" spans="1:7">
      <c r="A8647" t="s">
        <v>4388</v>
      </c>
      <c r="G8647" t="s">
        <v>5030</v>
      </c>
    </row>
    <row r="8648" spans="1:7">
      <c r="A8648" t="s">
        <v>4632</v>
      </c>
      <c r="G8648" t="s">
        <v>5030</v>
      </c>
    </row>
    <row r="8649" spans="1:8">
      <c r="A8649" t="s">
        <v>4352</v>
      </c>
      <c r="G8649" t="s">
        <v>5030</v>
      </c>
      <c r="H8649">
        <v>5100097</v>
      </c>
    </row>
    <row r="8650" spans="1:7">
      <c r="A8650" t="s">
        <v>4378</v>
      </c>
      <c r="G8650" t="s">
        <v>4361</v>
      </c>
    </row>
    <row r="8651" spans="1:7">
      <c r="A8651" t="s">
        <v>4342</v>
      </c>
      <c r="G8651" t="s">
        <v>4361</v>
      </c>
    </row>
    <row r="8652" spans="1:7">
      <c r="A8652" t="s">
        <v>5512</v>
      </c>
      <c r="G8652" t="s">
        <v>4361</v>
      </c>
    </row>
    <row r="8653" spans="1:8">
      <c r="A8653" t="s">
        <v>4382</v>
      </c>
      <c r="G8653" t="s">
        <v>4361</v>
      </c>
      <c r="H8653">
        <v>5395097</v>
      </c>
    </row>
    <row r="8654" spans="1:7">
      <c r="A8654" t="s">
        <v>5351</v>
      </c>
      <c r="G8654" t="s">
        <v>4361</v>
      </c>
    </row>
    <row r="8655" spans="1:7">
      <c r="A8655" t="s">
        <v>4379</v>
      </c>
      <c r="G8655" t="s">
        <v>4361</v>
      </c>
    </row>
    <row r="8656" spans="1:7">
      <c r="A8656" t="s">
        <v>4391</v>
      </c>
      <c r="G8656" t="s">
        <v>4361</v>
      </c>
    </row>
    <row r="8657" spans="1:7">
      <c r="A8657" t="s">
        <v>5443</v>
      </c>
      <c r="G8657" t="s">
        <v>4361</v>
      </c>
    </row>
    <row r="8658" spans="1:7">
      <c r="A8658" t="s">
        <v>4361</v>
      </c>
      <c r="G8658" t="s">
        <v>4361</v>
      </c>
    </row>
    <row r="8659" spans="1:8">
      <c r="A8659" t="s">
        <v>4384</v>
      </c>
      <c r="G8659" t="s">
        <v>4361</v>
      </c>
      <c r="H8659">
        <v>5212097</v>
      </c>
    </row>
    <row r="8660" spans="1:8">
      <c r="A8660" t="s">
        <v>4377</v>
      </c>
      <c r="G8660" t="s">
        <v>4361</v>
      </c>
      <c r="H8660">
        <v>5211097</v>
      </c>
    </row>
    <row r="8661" spans="1:8">
      <c r="A8661" t="s">
        <v>4378</v>
      </c>
      <c r="B8661">
        <v>4821097</v>
      </c>
      <c r="G8661" t="s">
        <v>4361</v>
      </c>
      <c r="H8661">
        <v>5210097</v>
      </c>
    </row>
    <row r="8662" spans="1:7">
      <c r="A8662" t="s">
        <v>4391</v>
      </c>
      <c r="G8662" t="s">
        <v>4361</v>
      </c>
    </row>
    <row r="8663" spans="1:7">
      <c r="A8663" t="s">
        <v>5512</v>
      </c>
      <c r="G8663" t="s">
        <v>4361</v>
      </c>
    </row>
    <row r="8664" spans="1:7">
      <c r="A8664" t="s">
        <v>4361</v>
      </c>
      <c r="G8664" t="s">
        <v>4361</v>
      </c>
    </row>
    <row r="8665" spans="1:7">
      <c r="A8665" t="s">
        <v>4955</v>
      </c>
      <c r="G8665" t="s">
        <v>4361</v>
      </c>
    </row>
    <row r="8666" spans="1:7">
      <c r="A8666" t="s">
        <v>5504</v>
      </c>
      <c r="G8666" t="s">
        <v>4361</v>
      </c>
    </row>
    <row r="8667" spans="1:7">
      <c r="A8667" t="s">
        <v>4376</v>
      </c>
      <c r="G8667" t="s">
        <v>4361</v>
      </c>
    </row>
    <row r="8668" spans="1:7">
      <c r="A8668" t="s">
        <v>4381</v>
      </c>
      <c r="G8668" t="s">
        <v>4361</v>
      </c>
    </row>
    <row r="8669" spans="1:7">
      <c r="A8669" t="s">
        <v>4362</v>
      </c>
      <c r="G8669" t="s">
        <v>4361</v>
      </c>
    </row>
    <row r="8670" spans="1:7">
      <c r="A8670" t="s">
        <v>4085</v>
      </c>
      <c r="G8670" t="s">
        <v>4361</v>
      </c>
    </row>
    <row r="8671" spans="1:7">
      <c r="A8671" t="s">
        <v>4364</v>
      </c>
      <c r="G8671" t="s">
        <v>4361</v>
      </c>
    </row>
    <row r="8672" spans="1:7">
      <c r="A8672" t="s">
        <v>4388</v>
      </c>
      <c r="G8672" t="s">
        <v>4361</v>
      </c>
    </row>
    <row r="8673" spans="1:7">
      <c r="A8673" t="s">
        <v>4632</v>
      </c>
      <c r="G8673" t="s">
        <v>4361</v>
      </c>
    </row>
    <row r="8674" spans="1:7">
      <c r="A8674" t="s">
        <v>4382</v>
      </c>
      <c r="G8674" t="s">
        <v>4361</v>
      </c>
    </row>
    <row r="8675" spans="1:7">
      <c r="A8675" t="s">
        <v>4342</v>
      </c>
      <c r="G8675" t="s">
        <v>4361</v>
      </c>
    </row>
    <row r="8676" spans="1:7">
      <c r="A8676" t="s">
        <v>5351</v>
      </c>
      <c r="G8676" t="s">
        <v>4361</v>
      </c>
    </row>
    <row r="8677" spans="1:7">
      <c r="A8677" t="s">
        <v>4384</v>
      </c>
      <c r="G8677" t="s">
        <v>4361</v>
      </c>
    </row>
    <row r="8678" spans="1:7">
      <c r="A8678" t="s">
        <v>4352</v>
      </c>
      <c r="G8678" t="s">
        <v>4361</v>
      </c>
    </row>
    <row r="8679" spans="1:7">
      <c r="A8679" t="s">
        <v>4377</v>
      </c>
      <c r="G8679" t="s">
        <v>4361</v>
      </c>
    </row>
    <row r="8680" spans="1:7">
      <c r="A8680" t="s">
        <v>4336</v>
      </c>
      <c r="G8680" t="s">
        <v>4361</v>
      </c>
    </row>
    <row r="8681" spans="1:7">
      <c r="A8681" t="s">
        <v>4175</v>
      </c>
      <c r="B8681">
        <v>4816097</v>
      </c>
      <c r="G8681" t="s">
        <v>4361</v>
      </c>
    </row>
    <row r="8682" spans="1:7">
      <c r="A8682" t="s">
        <v>5180</v>
      </c>
      <c r="G8682" t="s">
        <v>4361</v>
      </c>
    </row>
    <row r="8683" spans="1:7">
      <c r="A8683" t="s">
        <v>4231</v>
      </c>
      <c r="G8683" t="s">
        <v>4361</v>
      </c>
    </row>
    <row r="8684" spans="1:7">
      <c r="A8684" t="s">
        <v>4153</v>
      </c>
      <c r="G8684" t="s">
        <v>4361</v>
      </c>
    </row>
    <row r="8685" spans="1:7">
      <c r="A8685" t="s">
        <v>4218</v>
      </c>
      <c r="G8685" t="s">
        <v>4361</v>
      </c>
    </row>
    <row r="8686" spans="1:7">
      <c r="A8686" t="s">
        <v>4778</v>
      </c>
      <c r="G8686" t="s">
        <v>4361</v>
      </c>
    </row>
    <row r="8687" spans="1:7">
      <c r="A8687" t="s">
        <v>4898</v>
      </c>
      <c r="G8687" t="s">
        <v>4361</v>
      </c>
    </row>
    <row r="8688" spans="1:7">
      <c r="A8688" t="s">
        <v>4167</v>
      </c>
      <c r="G8688" t="s">
        <v>4361</v>
      </c>
    </row>
    <row r="8689" spans="1:7">
      <c r="A8689" t="s">
        <v>4557</v>
      </c>
      <c r="G8689" t="s">
        <v>4361</v>
      </c>
    </row>
    <row r="8690" spans="1:7">
      <c r="A8690" t="s">
        <v>4113</v>
      </c>
      <c r="G8690" t="s">
        <v>4361</v>
      </c>
    </row>
    <row r="8691" spans="1:7">
      <c r="A8691" t="s">
        <v>4736</v>
      </c>
      <c r="G8691" t="s">
        <v>4361</v>
      </c>
    </row>
    <row r="8692" spans="1:7">
      <c r="A8692" t="s">
        <v>5149</v>
      </c>
      <c r="G8692" t="s">
        <v>4361</v>
      </c>
    </row>
    <row r="8693" spans="1:7">
      <c r="A8693" t="s">
        <v>5400</v>
      </c>
      <c r="G8693" t="s">
        <v>4361</v>
      </c>
    </row>
    <row r="8694" spans="1:7">
      <c r="A8694" t="s">
        <v>5362</v>
      </c>
      <c r="G8694" t="s">
        <v>4361</v>
      </c>
    </row>
    <row r="8695" spans="1:7">
      <c r="A8695" t="s">
        <v>4092</v>
      </c>
      <c r="G8695" t="s">
        <v>4361</v>
      </c>
    </row>
    <row r="8696" spans="1:7">
      <c r="A8696" t="s">
        <v>4436</v>
      </c>
      <c r="G8696" t="s">
        <v>4361</v>
      </c>
    </row>
    <row r="8697" spans="1:7">
      <c r="A8697" t="s">
        <v>4477</v>
      </c>
      <c r="B8697">
        <v>4806097</v>
      </c>
      <c r="G8697" t="s">
        <v>4361</v>
      </c>
    </row>
    <row r="8698" spans="1:7">
      <c r="A8698" t="s">
        <v>4189</v>
      </c>
      <c r="G8698" t="s">
        <v>4361</v>
      </c>
    </row>
    <row r="8699" spans="1:7">
      <c r="A8699" t="s">
        <v>4617</v>
      </c>
      <c r="G8699" t="s">
        <v>4361</v>
      </c>
    </row>
    <row r="8700" spans="1:7">
      <c r="A8700" t="s">
        <v>4867</v>
      </c>
      <c r="G8700" t="s">
        <v>4361</v>
      </c>
    </row>
    <row r="8701" spans="1:7">
      <c r="A8701" t="s">
        <v>4450</v>
      </c>
      <c r="G8701" t="s">
        <v>4361</v>
      </c>
    </row>
    <row r="8702" spans="1:7">
      <c r="A8702" t="s">
        <v>5121</v>
      </c>
      <c r="G8702" t="s">
        <v>4361</v>
      </c>
    </row>
    <row r="8703" spans="1:7">
      <c r="A8703" t="s">
        <v>4673</v>
      </c>
      <c r="G8703" t="s">
        <v>4361</v>
      </c>
    </row>
    <row r="8704" spans="1:7">
      <c r="A8704" t="s">
        <v>4548</v>
      </c>
      <c r="G8704" t="s">
        <v>4361</v>
      </c>
    </row>
    <row r="8705" spans="1:7">
      <c r="A8705" t="s">
        <v>4463</v>
      </c>
      <c r="G8705" t="s">
        <v>4361</v>
      </c>
    </row>
    <row r="8706" spans="1:7">
      <c r="A8706" t="s">
        <v>4264</v>
      </c>
      <c r="G8706" t="s">
        <v>4361</v>
      </c>
    </row>
    <row r="8707" spans="1:7">
      <c r="A8707" t="s">
        <v>4166</v>
      </c>
      <c r="G8707" t="s">
        <v>4361</v>
      </c>
    </row>
    <row r="8708" spans="1:7">
      <c r="A8708" t="s">
        <v>4088</v>
      </c>
      <c r="G8708" t="s">
        <v>4361</v>
      </c>
    </row>
    <row r="8709" spans="1:7">
      <c r="A8709" t="s">
        <v>4870</v>
      </c>
      <c r="G8709" t="s">
        <v>4361</v>
      </c>
    </row>
    <row r="8710" spans="1:7">
      <c r="A8710" t="s">
        <v>5059</v>
      </c>
      <c r="G8710" t="s">
        <v>4361</v>
      </c>
    </row>
    <row r="8711" spans="1:7">
      <c r="A8711" t="s">
        <v>4290</v>
      </c>
      <c r="G8711" t="s">
        <v>4361</v>
      </c>
    </row>
    <row r="8712" spans="1:7">
      <c r="A8712" t="s">
        <v>4009</v>
      </c>
      <c r="G8712" t="s">
        <v>4361</v>
      </c>
    </row>
    <row r="8713" spans="1:7">
      <c r="A8713" t="s">
        <v>4538</v>
      </c>
      <c r="G8713" t="s">
        <v>4361</v>
      </c>
    </row>
    <row r="8714" spans="1:7">
      <c r="A8714" t="s">
        <v>5446</v>
      </c>
      <c r="G8714" t="s">
        <v>4361</v>
      </c>
    </row>
    <row r="8715" spans="1:8">
      <c r="A8715" t="s">
        <v>5380</v>
      </c>
      <c r="G8715" t="s">
        <v>4361</v>
      </c>
      <c r="H8715">
        <v>4719097</v>
      </c>
    </row>
    <row r="8716" spans="1:7">
      <c r="A8716" t="s">
        <v>4997</v>
      </c>
      <c r="G8716" t="s">
        <v>5512</v>
      </c>
    </row>
    <row r="8717" spans="1:7">
      <c r="A8717" t="s">
        <v>4704</v>
      </c>
      <c r="G8717" t="s">
        <v>5512</v>
      </c>
    </row>
    <row r="8718" spans="1:7">
      <c r="A8718" t="s">
        <v>4558</v>
      </c>
      <c r="G8718" t="s">
        <v>5512</v>
      </c>
    </row>
    <row r="8719" spans="1:7">
      <c r="A8719" t="s">
        <v>4171</v>
      </c>
      <c r="G8719" t="s">
        <v>5512</v>
      </c>
    </row>
    <row r="8720" spans="1:7">
      <c r="A8720" t="s">
        <v>4108</v>
      </c>
      <c r="G8720" t="s">
        <v>5512</v>
      </c>
    </row>
    <row r="8721" spans="1:8">
      <c r="A8721" t="s">
        <v>4184</v>
      </c>
      <c r="G8721" t="s">
        <v>5512</v>
      </c>
      <c r="H8721">
        <v>4854097</v>
      </c>
    </row>
    <row r="8722" spans="1:7">
      <c r="A8722" t="s">
        <v>4073</v>
      </c>
      <c r="G8722" t="s">
        <v>5512</v>
      </c>
    </row>
    <row r="8723" spans="1:7">
      <c r="A8723" t="s">
        <v>4798</v>
      </c>
      <c r="G8723" t="s">
        <v>5512</v>
      </c>
    </row>
    <row r="8724" spans="1:7">
      <c r="A8724" t="s">
        <v>4725</v>
      </c>
      <c r="G8724" t="s">
        <v>5512</v>
      </c>
    </row>
    <row r="8725" spans="1:7">
      <c r="A8725" t="s">
        <v>4391</v>
      </c>
      <c r="B8725">
        <v>4811097</v>
      </c>
      <c r="G8725" t="s">
        <v>5512</v>
      </c>
    </row>
    <row r="8726" spans="1:7">
      <c r="A8726" t="s">
        <v>4336</v>
      </c>
      <c r="G8726" t="s">
        <v>5512</v>
      </c>
    </row>
    <row r="8727" spans="1:7">
      <c r="A8727" t="s">
        <v>4302</v>
      </c>
      <c r="G8727" t="s">
        <v>5512</v>
      </c>
    </row>
    <row r="8728" spans="1:8">
      <c r="A8728" t="s">
        <v>4378</v>
      </c>
      <c r="G8728" t="s">
        <v>5512</v>
      </c>
      <c r="H8728">
        <v>4840097</v>
      </c>
    </row>
    <row r="8729" spans="1:7">
      <c r="A8729" t="s">
        <v>5351</v>
      </c>
      <c r="G8729" t="s">
        <v>5512</v>
      </c>
    </row>
    <row r="8730" spans="1:7">
      <c r="A8730" t="s">
        <v>5033</v>
      </c>
      <c r="G8730" t="s">
        <v>5512</v>
      </c>
    </row>
    <row r="8731" spans="1:7">
      <c r="A8731" t="s">
        <v>4085</v>
      </c>
      <c r="G8731" t="s">
        <v>5512</v>
      </c>
    </row>
    <row r="8732" spans="1:7">
      <c r="A8732" t="s">
        <v>5504</v>
      </c>
      <c r="G8732" t="s">
        <v>5512</v>
      </c>
    </row>
    <row r="8733" spans="1:7">
      <c r="A8733" t="s">
        <v>4376</v>
      </c>
      <c r="G8733" t="s">
        <v>5512</v>
      </c>
    </row>
    <row r="8734" spans="1:7">
      <c r="A8734" t="s">
        <v>4362</v>
      </c>
      <c r="G8734" t="s">
        <v>5512</v>
      </c>
    </row>
    <row r="8735" spans="1:7">
      <c r="A8735" t="s">
        <v>4381</v>
      </c>
      <c r="G8735" t="s">
        <v>5512</v>
      </c>
    </row>
    <row r="8736" spans="1:7">
      <c r="A8736" t="s">
        <v>4364</v>
      </c>
      <c r="G8736" t="s">
        <v>5512</v>
      </c>
    </row>
    <row r="8737" spans="1:7">
      <c r="A8737" t="s">
        <v>4361</v>
      </c>
      <c r="G8737" t="s">
        <v>5512</v>
      </c>
    </row>
    <row r="8738" spans="1:7">
      <c r="A8738" t="s">
        <v>4388</v>
      </c>
      <c r="G8738" t="s">
        <v>5512</v>
      </c>
    </row>
    <row r="8739" spans="1:7">
      <c r="A8739" t="s">
        <v>4342</v>
      </c>
      <c r="G8739" t="s">
        <v>5512</v>
      </c>
    </row>
    <row r="8740" spans="1:7">
      <c r="A8740" t="s">
        <v>4377</v>
      </c>
      <c r="G8740" t="s">
        <v>5512</v>
      </c>
    </row>
    <row r="8741" spans="1:7">
      <c r="A8741" t="s">
        <v>5515</v>
      </c>
      <c r="G8741" t="s">
        <v>5512</v>
      </c>
    </row>
    <row r="8742" spans="1:7">
      <c r="A8742" t="s">
        <v>4955</v>
      </c>
      <c r="G8742" t="s">
        <v>5512</v>
      </c>
    </row>
    <row r="8743" spans="1:8">
      <c r="A8743" t="s">
        <v>5512</v>
      </c>
      <c r="G8743" t="s">
        <v>5512</v>
      </c>
      <c r="H8743">
        <v>4769097</v>
      </c>
    </row>
    <row r="8744" spans="1:7">
      <c r="A8744" t="s">
        <v>4382</v>
      </c>
      <c r="G8744" t="s">
        <v>5512</v>
      </c>
    </row>
    <row r="8745" spans="1:7">
      <c r="A8745" t="s">
        <v>4379</v>
      </c>
      <c r="G8745" t="s">
        <v>5512</v>
      </c>
    </row>
    <row r="8746" spans="1:7">
      <c r="A8746" t="s">
        <v>5443</v>
      </c>
      <c r="G8746" t="s">
        <v>5512</v>
      </c>
    </row>
    <row r="8747" spans="1:7">
      <c r="A8747" t="s">
        <v>4352</v>
      </c>
      <c r="G8747" t="s">
        <v>5512</v>
      </c>
    </row>
    <row r="8748" spans="1:7">
      <c r="A8748" t="s">
        <v>4632</v>
      </c>
      <c r="G8748" t="s">
        <v>5512</v>
      </c>
    </row>
    <row r="8749" spans="1:7">
      <c r="A8749" t="s">
        <v>4901</v>
      </c>
      <c r="B8749">
        <v>4807097</v>
      </c>
      <c r="G8749" t="s">
        <v>4053</v>
      </c>
    </row>
    <row r="8750" spans="1:7">
      <c r="A8750" t="s">
        <v>4233</v>
      </c>
      <c r="G8750" t="s">
        <v>5511</v>
      </c>
    </row>
    <row r="8751" spans="1:7">
      <c r="A8751" t="s">
        <v>4564</v>
      </c>
      <c r="G8751" t="s">
        <v>4378</v>
      </c>
    </row>
    <row r="8752" spans="1:8">
      <c r="A8752" t="s">
        <v>4132</v>
      </c>
      <c r="G8752" t="s">
        <v>4378</v>
      </c>
      <c r="H8752">
        <v>5535097</v>
      </c>
    </row>
    <row r="8753" spans="1:7">
      <c r="A8753" t="s">
        <v>4454</v>
      </c>
      <c r="G8753" t="s">
        <v>4378</v>
      </c>
    </row>
    <row r="8754" spans="1:7">
      <c r="A8754" t="s">
        <v>4296</v>
      </c>
      <c r="G8754" t="s">
        <v>4378</v>
      </c>
    </row>
    <row r="8755" spans="1:7">
      <c r="A8755" t="s">
        <v>4450</v>
      </c>
      <c r="G8755" t="s">
        <v>4378</v>
      </c>
    </row>
    <row r="8756" spans="1:7">
      <c r="A8756" t="s">
        <v>4867</v>
      </c>
      <c r="G8756" t="s">
        <v>4378</v>
      </c>
    </row>
    <row r="8757" spans="1:8">
      <c r="A8757" t="s">
        <v>4773</v>
      </c>
      <c r="G8757" t="s">
        <v>4378</v>
      </c>
      <c r="H8757">
        <v>5241097</v>
      </c>
    </row>
    <row r="8758" spans="1:8">
      <c r="A8758" t="s">
        <v>5265</v>
      </c>
      <c r="G8758" t="s">
        <v>4378</v>
      </c>
      <c r="H8758">
        <v>5104097</v>
      </c>
    </row>
    <row r="8759" spans="1:8">
      <c r="A8759" t="s">
        <v>4530</v>
      </c>
      <c r="G8759" t="s">
        <v>4378</v>
      </c>
      <c r="H8759">
        <v>5103097</v>
      </c>
    </row>
    <row r="8760" spans="1:8">
      <c r="A8760" t="s">
        <v>4525</v>
      </c>
      <c r="G8760" t="s">
        <v>4378</v>
      </c>
      <c r="H8760">
        <v>5102097</v>
      </c>
    </row>
    <row r="8761" spans="1:7">
      <c r="A8761" t="s">
        <v>5132</v>
      </c>
      <c r="B8761">
        <v>4799097</v>
      </c>
      <c r="G8761" t="s">
        <v>4378</v>
      </c>
    </row>
    <row r="8762" spans="1:7">
      <c r="A8762" t="s">
        <v>4092</v>
      </c>
      <c r="G8762" t="s">
        <v>4378</v>
      </c>
    </row>
    <row r="8763" spans="1:7">
      <c r="A8763" t="s">
        <v>5323</v>
      </c>
      <c r="G8763" t="s">
        <v>4378</v>
      </c>
    </row>
    <row r="8764" spans="1:7">
      <c r="A8764" t="s">
        <v>4436</v>
      </c>
      <c r="G8764" t="s">
        <v>4378</v>
      </c>
    </row>
    <row r="8765" spans="1:8">
      <c r="A8765" t="s">
        <v>4160</v>
      </c>
      <c r="G8765" t="s">
        <v>4378</v>
      </c>
      <c r="H8765">
        <v>5041097</v>
      </c>
    </row>
    <row r="8766" spans="1:7">
      <c r="A8766" t="s">
        <v>4659</v>
      </c>
      <c r="G8766" t="s">
        <v>4378</v>
      </c>
    </row>
    <row r="8767" spans="1:7">
      <c r="A8767" t="s">
        <v>4457</v>
      </c>
      <c r="G8767" t="s">
        <v>4378</v>
      </c>
    </row>
    <row r="8768" spans="1:7">
      <c r="A8768" t="s">
        <v>4084</v>
      </c>
      <c r="G8768" t="s">
        <v>4378</v>
      </c>
    </row>
    <row r="8769" spans="1:7">
      <c r="A8769" t="s">
        <v>4085</v>
      </c>
      <c r="G8769" t="s">
        <v>4378</v>
      </c>
    </row>
    <row r="8770" spans="1:8">
      <c r="A8770" t="s">
        <v>4097</v>
      </c>
      <c r="G8770" t="s">
        <v>4378</v>
      </c>
      <c r="H8770">
        <v>4870097</v>
      </c>
    </row>
    <row r="8771" spans="1:8">
      <c r="A8771" t="s">
        <v>4244</v>
      </c>
      <c r="G8771" t="s">
        <v>4378</v>
      </c>
      <c r="H8771">
        <v>4868097</v>
      </c>
    </row>
    <row r="8772" spans="1:8">
      <c r="A8772" t="s">
        <v>4997</v>
      </c>
      <c r="G8772" t="s">
        <v>4378</v>
      </c>
      <c r="H8772">
        <v>4866097</v>
      </c>
    </row>
    <row r="8773" spans="1:7">
      <c r="A8773" t="s">
        <v>4704</v>
      </c>
      <c r="G8773" t="s">
        <v>4378</v>
      </c>
    </row>
    <row r="8774" spans="1:7">
      <c r="A8774" t="s">
        <v>4904</v>
      </c>
      <c r="G8774" t="s">
        <v>4378</v>
      </c>
    </row>
    <row r="8775" spans="1:7">
      <c r="A8775" t="s">
        <v>5228</v>
      </c>
      <c r="G8775" t="s">
        <v>4378</v>
      </c>
    </row>
    <row r="8776" spans="1:7">
      <c r="A8776" t="s">
        <v>4463</v>
      </c>
      <c r="G8776" t="s">
        <v>4378</v>
      </c>
    </row>
    <row r="8777" spans="1:7">
      <c r="A8777" t="s">
        <v>5181</v>
      </c>
      <c r="G8777" t="s">
        <v>4378</v>
      </c>
    </row>
    <row r="8778" spans="1:7">
      <c r="A8778" t="s">
        <v>4558</v>
      </c>
      <c r="G8778" t="s">
        <v>4378</v>
      </c>
    </row>
    <row r="8779" spans="1:7">
      <c r="A8779" t="s">
        <v>4774</v>
      </c>
      <c r="G8779" t="s">
        <v>4378</v>
      </c>
    </row>
    <row r="8780" spans="1:7">
      <c r="A8780" t="s">
        <v>4434</v>
      </c>
      <c r="G8780" t="s">
        <v>4378</v>
      </c>
    </row>
    <row r="8781" spans="1:7">
      <c r="A8781" t="s">
        <v>4108</v>
      </c>
      <c r="G8781" t="s">
        <v>4378</v>
      </c>
    </row>
    <row r="8782" spans="1:7">
      <c r="A8782" t="s">
        <v>4798</v>
      </c>
      <c r="G8782" t="s">
        <v>4378</v>
      </c>
    </row>
    <row r="8783" spans="1:7">
      <c r="A8783" t="s">
        <v>4778</v>
      </c>
      <c r="G8783" t="s">
        <v>4378</v>
      </c>
    </row>
    <row r="8784" spans="1:7">
      <c r="A8784" t="s">
        <v>4989</v>
      </c>
      <c r="B8784">
        <v>4794097</v>
      </c>
      <c r="G8784" t="s">
        <v>4378</v>
      </c>
    </row>
    <row r="8785" spans="1:7">
      <c r="A8785" t="s">
        <v>5007</v>
      </c>
      <c r="G8785" t="s">
        <v>4378</v>
      </c>
    </row>
    <row r="8786" spans="1:7">
      <c r="A8786" t="s">
        <v>4113</v>
      </c>
      <c r="G8786" t="s">
        <v>4378</v>
      </c>
    </row>
    <row r="8787" spans="1:7">
      <c r="A8787" t="s">
        <v>5140</v>
      </c>
      <c r="G8787" t="s">
        <v>4378</v>
      </c>
    </row>
    <row r="8788" spans="1:7">
      <c r="A8788" t="s">
        <v>4959</v>
      </c>
      <c r="G8788" t="s">
        <v>4378</v>
      </c>
    </row>
    <row r="8789" spans="1:7">
      <c r="A8789" t="s">
        <v>4731</v>
      </c>
      <c r="G8789" t="s">
        <v>4378</v>
      </c>
    </row>
    <row r="8790" spans="1:8">
      <c r="A8790" t="s">
        <v>4088</v>
      </c>
      <c r="G8790" t="s">
        <v>4378</v>
      </c>
      <c r="H8790">
        <v>4821097</v>
      </c>
    </row>
    <row r="8791" spans="1:7">
      <c r="A8791" t="s">
        <v>5362</v>
      </c>
      <c r="G8791" t="s">
        <v>4378</v>
      </c>
    </row>
    <row r="8792" spans="1:7">
      <c r="A8792" t="s">
        <v>4184</v>
      </c>
      <c r="G8792" t="s">
        <v>4378</v>
      </c>
    </row>
    <row r="8793" spans="1:7">
      <c r="A8793" t="s">
        <v>4073</v>
      </c>
      <c r="G8793" t="s">
        <v>4378</v>
      </c>
    </row>
    <row r="8794" spans="1:7">
      <c r="A8794" t="s">
        <v>5495</v>
      </c>
      <c r="G8794" t="s">
        <v>4378</v>
      </c>
    </row>
    <row r="8795" spans="1:7">
      <c r="A8795" t="s">
        <v>4919</v>
      </c>
      <c r="G8795" t="s">
        <v>4378</v>
      </c>
    </row>
    <row r="8796" spans="1:7">
      <c r="A8796" t="s">
        <v>4799</v>
      </c>
      <c r="G8796" t="s">
        <v>4378</v>
      </c>
    </row>
    <row r="8797" spans="1:8">
      <c r="A8797" t="s">
        <v>5059</v>
      </c>
      <c r="G8797" t="s">
        <v>4378</v>
      </c>
      <c r="H8797">
        <v>4760097</v>
      </c>
    </row>
    <row r="8798" spans="1:8">
      <c r="A8798" t="s">
        <v>4624</v>
      </c>
      <c r="G8798" t="s">
        <v>4378</v>
      </c>
      <c r="H8798">
        <v>4759097</v>
      </c>
    </row>
    <row r="8799" spans="1:7">
      <c r="A8799" t="s">
        <v>4980</v>
      </c>
      <c r="G8799" t="s">
        <v>4378</v>
      </c>
    </row>
    <row r="8800" spans="1:8">
      <c r="A8800" t="s">
        <v>5264</v>
      </c>
      <c r="G8800" t="s">
        <v>4378</v>
      </c>
      <c r="H8800">
        <v>4757097</v>
      </c>
    </row>
    <row r="8801" spans="1:8">
      <c r="A8801" t="s">
        <v>5374</v>
      </c>
      <c r="G8801" t="s">
        <v>4378</v>
      </c>
      <c r="H8801">
        <v>4756097</v>
      </c>
    </row>
    <row r="8802" spans="1:7">
      <c r="A8802" t="s">
        <v>4666</v>
      </c>
      <c r="G8802" t="s">
        <v>4990</v>
      </c>
    </row>
    <row r="8803" spans="1:7">
      <c r="A8803" t="s">
        <v>4091</v>
      </c>
      <c r="G8803" t="s">
        <v>4990</v>
      </c>
    </row>
    <row r="8804" spans="1:7">
      <c r="A8804" t="s">
        <v>4136</v>
      </c>
      <c r="G8804" t="s">
        <v>5492</v>
      </c>
    </row>
    <row r="8805" spans="1:7">
      <c r="A8805" t="s">
        <v>4153</v>
      </c>
      <c r="G8805" t="s">
        <v>5531</v>
      </c>
    </row>
    <row r="8806" spans="1:7">
      <c r="A8806" t="s">
        <v>5045</v>
      </c>
      <c r="G8806" t="s">
        <v>4864</v>
      </c>
    </row>
    <row r="8807" spans="1:7">
      <c r="A8807" t="s">
        <v>4276</v>
      </c>
      <c r="G8807" t="s">
        <v>4483</v>
      </c>
    </row>
    <row r="8808" spans="1:7">
      <c r="A8808" t="s">
        <v>4541</v>
      </c>
      <c r="G8808" t="s">
        <v>4483</v>
      </c>
    </row>
    <row r="8809" spans="1:7">
      <c r="A8809" t="s">
        <v>5236</v>
      </c>
      <c r="G8809" t="s">
        <v>4483</v>
      </c>
    </row>
    <row r="8810" spans="1:7">
      <c r="A8810" t="s">
        <v>4673</v>
      </c>
      <c r="G8810" t="s">
        <v>4483</v>
      </c>
    </row>
    <row r="8811" spans="1:7">
      <c r="A8811" t="s">
        <v>4623</v>
      </c>
      <c r="G8811" t="s">
        <v>4483</v>
      </c>
    </row>
    <row r="8812" spans="1:8">
      <c r="A8812" t="s">
        <v>4870</v>
      </c>
      <c r="G8812" t="s">
        <v>4483</v>
      </c>
      <c r="H8812">
        <v>5343097</v>
      </c>
    </row>
    <row r="8813" spans="1:7">
      <c r="A8813" t="s">
        <v>5121</v>
      </c>
      <c r="G8813" t="s">
        <v>4483</v>
      </c>
    </row>
    <row r="8814" spans="1:7">
      <c r="A8814" t="s">
        <v>5177</v>
      </c>
      <c r="G8814" t="s">
        <v>4483</v>
      </c>
    </row>
    <row r="8815" spans="1:8">
      <c r="A8815" t="s">
        <v>5532</v>
      </c>
      <c r="G8815" t="s">
        <v>4483</v>
      </c>
      <c r="H8815">
        <v>5030097</v>
      </c>
    </row>
    <row r="8816" spans="1:7">
      <c r="A8816" t="s">
        <v>4189</v>
      </c>
      <c r="G8816" t="s">
        <v>4483</v>
      </c>
    </row>
    <row r="8817" spans="1:7">
      <c r="A8817" t="s">
        <v>4290</v>
      </c>
      <c r="B8817">
        <v>4789097</v>
      </c>
      <c r="G8817" t="s">
        <v>5218</v>
      </c>
    </row>
    <row r="8818" spans="1:7">
      <c r="A8818" t="s">
        <v>4538</v>
      </c>
      <c r="G8818" t="s">
        <v>5218</v>
      </c>
    </row>
    <row r="8819" spans="1:8">
      <c r="A8819" t="s">
        <v>4879</v>
      </c>
      <c r="G8819" t="s">
        <v>4741</v>
      </c>
      <c r="H8819">
        <v>5458097</v>
      </c>
    </row>
    <row r="8820" spans="1:7">
      <c r="A8820" t="s">
        <v>4171</v>
      </c>
      <c r="G8820" t="s">
        <v>4741</v>
      </c>
    </row>
    <row r="8821" spans="1:7">
      <c r="A8821" t="s">
        <v>4231</v>
      </c>
      <c r="G8821" t="s">
        <v>4741</v>
      </c>
    </row>
    <row r="8822" spans="1:7">
      <c r="A8822" t="s">
        <v>5076</v>
      </c>
      <c r="G8822" t="s">
        <v>4741</v>
      </c>
    </row>
    <row r="8823" spans="1:7">
      <c r="A8823" t="s">
        <v>4089</v>
      </c>
      <c r="G8823" t="s">
        <v>4741</v>
      </c>
    </row>
    <row r="8824" spans="1:7">
      <c r="A8824" t="s">
        <v>4370</v>
      </c>
      <c r="G8824" t="s">
        <v>4741</v>
      </c>
    </row>
    <row r="8825" spans="1:7">
      <c r="A8825" t="s">
        <v>4115</v>
      </c>
      <c r="G8825" t="s">
        <v>4741</v>
      </c>
    </row>
    <row r="8826" spans="1:7">
      <c r="A8826" t="s">
        <v>4155</v>
      </c>
      <c r="G8826" t="s">
        <v>4741</v>
      </c>
    </row>
    <row r="8827" spans="1:7">
      <c r="A8827" t="s">
        <v>5377</v>
      </c>
      <c r="B8827">
        <v>4806097</v>
      </c>
      <c r="G8827" t="s">
        <v>4741</v>
      </c>
    </row>
    <row r="8828" spans="1:7">
      <c r="A8828" t="s">
        <v>5265</v>
      </c>
      <c r="G8828" t="s">
        <v>4741</v>
      </c>
    </row>
    <row r="8829" spans="1:7">
      <c r="A8829" t="s">
        <v>4132</v>
      </c>
      <c r="G8829" t="s">
        <v>5033</v>
      </c>
    </row>
    <row r="8830" spans="1:7">
      <c r="A8830" t="s">
        <v>4773</v>
      </c>
      <c r="G8830" t="s">
        <v>5033</v>
      </c>
    </row>
    <row r="8831" spans="1:7">
      <c r="A8831" t="s">
        <v>4867</v>
      </c>
      <c r="G8831" t="s">
        <v>5033</v>
      </c>
    </row>
    <row r="8832" spans="1:7">
      <c r="A8832" t="s">
        <v>4530</v>
      </c>
      <c r="G8832" t="s">
        <v>5033</v>
      </c>
    </row>
    <row r="8833" spans="1:7">
      <c r="A8833" t="s">
        <v>4450</v>
      </c>
      <c r="G8833" t="s">
        <v>5033</v>
      </c>
    </row>
    <row r="8834" spans="1:7">
      <c r="A8834" t="s">
        <v>4296</v>
      </c>
      <c r="G8834" t="s">
        <v>5033</v>
      </c>
    </row>
    <row r="8835" spans="1:7">
      <c r="A8835" t="s">
        <v>4564</v>
      </c>
      <c r="G8835" t="s">
        <v>5033</v>
      </c>
    </row>
    <row r="8836" spans="1:7">
      <c r="A8836" t="s">
        <v>4901</v>
      </c>
      <c r="G8836" t="s">
        <v>5033</v>
      </c>
    </row>
    <row r="8837" spans="1:7">
      <c r="A8837" t="s">
        <v>4525</v>
      </c>
      <c r="G8837" t="s">
        <v>5033</v>
      </c>
    </row>
    <row r="8838" spans="1:7">
      <c r="A8838" t="s">
        <v>4088</v>
      </c>
      <c r="G8838" t="s">
        <v>5033</v>
      </c>
    </row>
    <row r="8839" spans="1:7">
      <c r="A8839" t="s">
        <v>5323</v>
      </c>
      <c r="G8839" t="s">
        <v>5033</v>
      </c>
    </row>
    <row r="8840" spans="1:7">
      <c r="A8840" t="s">
        <v>4538</v>
      </c>
      <c r="G8840" t="s">
        <v>5033</v>
      </c>
    </row>
    <row r="8841" spans="1:7">
      <c r="A8841" t="s">
        <v>4436</v>
      </c>
      <c r="G8841" t="s">
        <v>5033</v>
      </c>
    </row>
    <row r="8842" spans="1:7">
      <c r="A8842" t="s">
        <v>4290</v>
      </c>
      <c r="G8842" t="s">
        <v>5033</v>
      </c>
    </row>
    <row r="8843" spans="1:7">
      <c r="A8843" t="s">
        <v>4231</v>
      </c>
      <c r="G8843" t="s">
        <v>5033</v>
      </c>
    </row>
    <row r="8844" spans="1:7">
      <c r="A8844" t="s">
        <v>4659</v>
      </c>
      <c r="G8844" t="s">
        <v>5033</v>
      </c>
    </row>
    <row r="8845" spans="1:7">
      <c r="A8845" t="s">
        <v>4085</v>
      </c>
      <c r="G8845" t="s">
        <v>5033</v>
      </c>
    </row>
    <row r="8846" spans="1:7">
      <c r="A8846" t="s">
        <v>4097</v>
      </c>
      <c r="G8846" t="s">
        <v>5033</v>
      </c>
    </row>
    <row r="8847" spans="1:7">
      <c r="A8847" t="s">
        <v>4084</v>
      </c>
      <c r="G8847" t="s">
        <v>5033</v>
      </c>
    </row>
    <row r="8848" spans="1:7">
      <c r="A8848" t="s">
        <v>4997</v>
      </c>
      <c r="G8848" t="s">
        <v>5033</v>
      </c>
    </row>
    <row r="8849" spans="1:7">
      <c r="A8849" t="s">
        <v>4904</v>
      </c>
      <c r="G8849" t="s">
        <v>5033</v>
      </c>
    </row>
    <row r="8850" spans="1:7">
      <c r="A8850" t="s">
        <v>4704</v>
      </c>
      <c r="G8850" t="s">
        <v>5033</v>
      </c>
    </row>
    <row r="8851" spans="1:7">
      <c r="A8851" t="s">
        <v>5228</v>
      </c>
      <c r="G8851" t="s">
        <v>5033</v>
      </c>
    </row>
    <row r="8852" spans="1:7">
      <c r="A8852" t="s">
        <v>4463</v>
      </c>
      <c r="G8852" t="s">
        <v>5033</v>
      </c>
    </row>
    <row r="8853" spans="1:7">
      <c r="A8853" t="s">
        <v>4778</v>
      </c>
      <c r="G8853" t="s">
        <v>5033</v>
      </c>
    </row>
    <row r="8854" spans="1:7">
      <c r="A8854" t="s">
        <v>4989</v>
      </c>
      <c r="G8854" t="s">
        <v>5033</v>
      </c>
    </row>
    <row r="8855" spans="1:7">
      <c r="A8855" t="s">
        <v>4558</v>
      </c>
      <c r="G8855" t="s">
        <v>5033</v>
      </c>
    </row>
    <row r="8856" spans="1:7">
      <c r="A8856" t="s">
        <v>4073</v>
      </c>
      <c r="G8856" t="s">
        <v>5033</v>
      </c>
    </row>
    <row r="8857" spans="1:7">
      <c r="A8857" t="s">
        <v>4578</v>
      </c>
      <c r="G8857" t="s">
        <v>5033</v>
      </c>
    </row>
    <row r="8858" spans="1:7">
      <c r="A8858" t="s">
        <v>4798</v>
      </c>
      <c r="G8858" t="s">
        <v>5033</v>
      </c>
    </row>
    <row r="8859" spans="1:7">
      <c r="A8859" t="s">
        <v>4166</v>
      </c>
      <c r="G8859" t="s">
        <v>5033</v>
      </c>
    </row>
    <row r="8860" spans="1:7">
      <c r="A8860" t="s">
        <v>4233</v>
      </c>
      <c r="G8860" t="s">
        <v>5033</v>
      </c>
    </row>
    <row r="8861" spans="1:7">
      <c r="A8861" t="s">
        <v>4774</v>
      </c>
      <c r="B8861">
        <v>4787097</v>
      </c>
      <c r="G8861" t="s">
        <v>5033</v>
      </c>
    </row>
    <row r="8862" spans="1:7">
      <c r="A8862" t="s">
        <v>4113</v>
      </c>
      <c r="G8862" t="s">
        <v>5033</v>
      </c>
    </row>
    <row r="8863" spans="1:7">
      <c r="A8863" t="s">
        <v>4980</v>
      </c>
      <c r="G8863" t="s">
        <v>5033</v>
      </c>
    </row>
    <row r="8864" spans="1:7">
      <c r="A8864" t="s">
        <v>5121</v>
      </c>
      <c r="G8864" t="s">
        <v>5033</v>
      </c>
    </row>
    <row r="8865" spans="1:7">
      <c r="A8865" t="s">
        <v>5140</v>
      </c>
      <c r="G8865" t="s">
        <v>5033</v>
      </c>
    </row>
    <row r="8866" spans="1:7">
      <c r="A8866" t="s">
        <v>5362</v>
      </c>
      <c r="G8866" t="s">
        <v>5033</v>
      </c>
    </row>
    <row r="8867" spans="1:7">
      <c r="A8867" t="s">
        <v>4091</v>
      </c>
      <c r="G8867" t="s">
        <v>5033</v>
      </c>
    </row>
    <row r="8868" spans="1:7">
      <c r="A8868" t="s">
        <v>4434</v>
      </c>
      <c r="G8868" t="s">
        <v>5033</v>
      </c>
    </row>
    <row r="8869" spans="1:7">
      <c r="A8869" t="s">
        <v>4108</v>
      </c>
      <c r="G8869" t="s">
        <v>5033</v>
      </c>
    </row>
    <row r="8870" spans="1:8">
      <c r="A8870" t="s">
        <v>4799</v>
      </c>
      <c r="G8870" t="s">
        <v>5033</v>
      </c>
      <c r="H8870">
        <v>4745097</v>
      </c>
    </row>
    <row r="8871" spans="1:7">
      <c r="A8871" t="s">
        <v>4184</v>
      </c>
      <c r="G8871" t="s">
        <v>5033</v>
      </c>
    </row>
    <row r="8872" spans="1:7">
      <c r="A8872" t="s">
        <v>4959</v>
      </c>
      <c r="G8872" t="s">
        <v>5033</v>
      </c>
    </row>
    <row r="8873" spans="1:7">
      <c r="A8873" t="s">
        <v>4673</v>
      </c>
      <c r="G8873" t="s">
        <v>5033</v>
      </c>
    </row>
    <row r="8874" spans="1:7">
      <c r="A8874" t="s">
        <v>5045</v>
      </c>
      <c r="G8874" t="s">
        <v>4030</v>
      </c>
    </row>
    <row r="8875" spans="1:7">
      <c r="A8875" t="s">
        <v>5236</v>
      </c>
      <c r="G8875" t="s">
        <v>5510</v>
      </c>
    </row>
    <row r="8876" spans="1:7">
      <c r="A8876" t="s">
        <v>4454</v>
      </c>
      <c r="G8876" t="s">
        <v>5533</v>
      </c>
    </row>
    <row r="8877" spans="1:7">
      <c r="A8877" t="s">
        <v>4153</v>
      </c>
      <c r="G8877" t="s">
        <v>5513</v>
      </c>
    </row>
    <row r="8878" spans="1:7">
      <c r="A8878" t="s">
        <v>4276</v>
      </c>
      <c r="G8878" t="s">
        <v>5382</v>
      </c>
    </row>
    <row r="8879" spans="1:7">
      <c r="A8879" t="s">
        <v>4919</v>
      </c>
      <c r="G8879" t="s">
        <v>5233</v>
      </c>
    </row>
    <row r="8880" spans="1:7">
      <c r="A8880" t="s">
        <v>4189</v>
      </c>
      <c r="G8880" t="s">
        <v>5233</v>
      </c>
    </row>
    <row r="8881" spans="1:7">
      <c r="A8881" t="s">
        <v>4092</v>
      </c>
      <c r="G8881" t="s">
        <v>5233</v>
      </c>
    </row>
    <row r="8882" spans="1:7">
      <c r="A8882" t="s">
        <v>4879</v>
      </c>
      <c r="G8882" t="s">
        <v>5233</v>
      </c>
    </row>
    <row r="8883" spans="1:7">
      <c r="A8883" t="s">
        <v>4171</v>
      </c>
      <c r="G8883" t="s">
        <v>5233</v>
      </c>
    </row>
    <row r="8884" spans="1:7">
      <c r="A8884" t="s">
        <v>4160</v>
      </c>
      <c r="G8884" t="s">
        <v>5233</v>
      </c>
    </row>
    <row r="8885" spans="1:7">
      <c r="A8885" t="s">
        <v>4089</v>
      </c>
      <c r="G8885" t="s">
        <v>5233</v>
      </c>
    </row>
    <row r="8886" spans="1:7">
      <c r="A8886" t="s">
        <v>4244</v>
      </c>
      <c r="G8886" t="s">
        <v>5233</v>
      </c>
    </row>
    <row r="8887" spans="1:7">
      <c r="A8887" t="s">
        <v>4370</v>
      </c>
      <c r="G8887" t="s">
        <v>4307</v>
      </c>
    </row>
    <row r="8888" spans="1:7">
      <c r="A8888" t="s">
        <v>4136</v>
      </c>
      <c r="G8888" t="s">
        <v>4307</v>
      </c>
    </row>
    <row r="8889" spans="1:7">
      <c r="A8889" t="s">
        <v>4115</v>
      </c>
      <c r="G8889" t="s">
        <v>4307</v>
      </c>
    </row>
    <row r="8890" spans="1:7">
      <c r="A8890" t="s">
        <v>4155</v>
      </c>
      <c r="G8890" t="s">
        <v>4307</v>
      </c>
    </row>
    <row r="8891" spans="1:8">
      <c r="A8891" t="s">
        <v>4354</v>
      </c>
      <c r="B8891">
        <v>4799097</v>
      </c>
      <c r="G8891" t="s">
        <v>4307</v>
      </c>
      <c r="H8891">
        <v>5482097</v>
      </c>
    </row>
    <row r="8892" spans="1:7">
      <c r="A8892" t="s">
        <v>4338</v>
      </c>
      <c r="G8892" t="s">
        <v>4307</v>
      </c>
    </row>
    <row r="8893" spans="1:7">
      <c r="A8893" t="s">
        <v>4576</v>
      </c>
      <c r="G8893" t="s">
        <v>4307</v>
      </c>
    </row>
    <row r="8894" spans="1:7">
      <c r="A8894" t="s">
        <v>5033</v>
      </c>
      <c r="G8894" t="s">
        <v>5462</v>
      </c>
    </row>
    <row r="8895" spans="1:7">
      <c r="A8895" t="s">
        <v>4361</v>
      </c>
      <c r="G8895" t="s">
        <v>5462</v>
      </c>
    </row>
    <row r="8896" spans="1:7">
      <c r="A8896" t="s">
        <v>4358</v>
      </c>
      <c r="G8896" t="s">
        <v>5462</v>
      </c>
    </row>
    <row r="8897" spans="1:7">
      <c r="A8897" t="s">
        <v>5502</v>
      </c>
      <c r="G8897" t="s">
        <v>4596</v>
      </c>
    </row>
    <row r="8898" spans="1:7">
      <c r="A8898" t="s">
        <v>4356</v>
      </c>
      <c r="G8898" t="s">
        <v>4596</v>
      </c>
    </row>
    <row r="8899" spans="1:7">
      <c r="A8899" t="s">
        <v>4363</v>
      </c>
      <c r="G8899" t="s">
        <v>4634</v>
      </c>
    </row>
    <row r="8900" spans="1:7">
      <c r="A8900" t="s">
        <v>4899</v>
      </c>
      <c r="G8900" t="s">
        <v>5534</v>
      </c>
    </row>
    <row r="8901" spans="1:7">
      <c r="A8901" t="s">
        <v>4871</v>
      </c>
      <c r="G8901" t="s">
        <v>5337</v>
      </c>
    </row>
    <row r="8902" spans="1:8">
      <c r="A8902" t="s">
        <v>4336</v>
      </c>
      <c r="B8902">
        <v>4784097</v>
      </c>
      <c r="G8902" t="s">
        <v>5321</v>
      </c>
      <c r="H8902">
        <v>5056097</v>
      </c>
    </row>
    <row r="8903" spans="1:7">
      <c r="A8903" t="s">
        <v>4960</v>
      </c>
      <c r="G8903" t="s">
        <v>5321</v>
      </c>
    </row>
    <row r="8904" spans="1:7">
      <c r="A8904" t="s">
        <v>4964</v>
      </c>
      <c r="G8904" t="s">
        <v>5321</v>
      </c>
    </row>
    <row r="8905" spans="1:7">
      <c r="A8905" t="s">
        <v>4958</v>
      </c>
      <c r="B8905">
        <v>4782097</v>
      </c>
      <c r="G8905" t="s">
        <v>5321</v>
      </c>
    </row>
    <row r="8906" spans="1:7">
      <c r="A8906" t="s">
        <v>5119</v>
      </c>
      <c r="G8906" t="s">
        <v>5321</v>
      </c>
    </row>
    <row r="8907" spans="1:7">
      <c r="A8907" t="s">
        <v>4343</v>
      </c>
      <c r="G8907" t="s">
        <v>5417</v>
      </c>
    </row>
    <row r="8908" spans="1:7">
      <c r="A8908" t="s">
        <v>4351</v>
      </c>
      <c r="G8908" t="s">
        <v>5417</v>
      </c>
    </row>
    <row r="8909" spans="1:7">
      <c r="A8909" t="s">
        <v>5121</v>
      </c>
      <c r="G8909" t="s">
        <v>5417</v>
      </c>
    </row>
    <row r="8910" spans="1:7">
      <c r="A8910" t="s">
        <v>4364</v>
      </c>
      <c r="G8910" t="s">
        <v>5417</v>
      </c>
    </row>
    <row r="8911" spans="1:7">
      <c r="A8911" t="s">
        <v>4130</v>
      </c>
      <c r="G8911" t="s">
        <v>4872</v>
      </c>
    </row>
    <row r="8912" spans="1:7">
      <c r="A8912" t="s">
        <v>4362</v>
      </c>
      <c r="G8912" t="s">
        <v>4872</v>
      </c>
    </row>
    <row r="8913" spans="1:7">
      <c r="A8913" t="s">
        <v>4083</v>
      </c>
      <c r="G8913" t="s">
        <v>4872</v>
      </c>
    </row>
    <row r="8914" spans="1:7">
      <c r="A8914" t="s">
        <v>4336</v>
      </c>
      <c r="B8914">
        <v>4794097</v>
      </c>
      <c r="G8914" t="s">
        <v>5484</v>
      </c>
    </row>
    <row r="8915" spans="1:7">
      <c r="A8915" t="s">
        <v>4364</v>
      </c>
      <c r="G8915" t="s">
        <v>4340</v>
      </c>
    </row>
    <row r="8916" spans="1:7">
      <c r="A8916" t="s">
        <v>4960</v>
      </c>
      <c r="G8916" t="s">
        <v>4340</v>
      </c>
    </row>
    <row r="8917" spans="1:7">
      <c r="A8917" t="s">
        <v>4964</v>
      </c>
      <c r="G8917" t="s">
        <v>4340</v>
      </c>
    </row>
    <row r="8918" spans="1:8">
      <c r="A8918" t="s">
        <v>5033</v>
      </c>
      <c r="G8918" t="s">
        <v>4340</v>
      </c>
      <c r="H8918">
        <v>5034097</v>
      </c>
    </row>
    <row r="8919" spans="1:7">
      <c r="A8919" t="s">
        <v>4351</v>
      </c>
      <c r="G8919" t="s">
        <v>4340</v>
      </c>
    </row>
    <row r="8920" spans="1:7">
      <c r="A8920" t="s">
        <v>5121</v>
      </c>
      <c r="G8920" t="s">
        <v>4340</v>
      </c>
    </row>
    <row r="8921" spans="1:7">
      <c r="A8921" t="s">
        <v>4480</v>
      </c>
      <c r="G8921" t="s">
        <v>4340</v>
      </c>
    </row>
    <row r="8922" spans="1:7">
      <c r="A8922" t="s">
        <v>4819</v>
      </c>
      <c r="G8922" t="s">
        <v>4340</v>
      </c>
    </row>
    <row r="8923" spans="1:7">
      <c r="A8923" t="s">
        <v>5296</v>
      </c>
      <c r="G8923" t="s">
        <v>4340</v>
      </c>
    </row>
    <row r="8924" spans="1:7">
      <c r="A8924" t="s">
        <v>5321</v>
      </c>
      <c r="G8924" t="s">
        <v>4340</v>
      </c>
    </row>
    <row r="8925" spans="1:7">
      <c r="A8925" t="s">
        <v>4985</v>
      </c>
      <c r="G8925" t="s">
        <v>4340</v>
      </c>
    </row>
    <row r="8926" spans="1:7">
      <c r="A8926" t="s">
        <v>5490</v>
      </c>
      <c r="G8926" t="s">
        <v>4340</v>
      </c>
    </row>
    <row r="8927" spans="1:8">
      <c r="A8927" t="s">
        <v>5470</v>
      </c>
      <c r="G8927" t="s">
        <v>4340</v>
      </c>
      <c r="H8927">
        <v>4889097</v>
      </c>
    </row>
    <row r="8928" spans="1:7">
      <c r="A8928" t="s">
        <v>4376</v>
      </c>
      <c r="G8928" t="s">
        <v>4340</v>
      </c>
    </row>
    <row r="8929" spans="1:8">
      <c r="A8929" t="s">
        <v>4354</v>
      </c>
      <c r="G8929" t="s">
        <v>4340</v>
      </c>
      <c r="H8929">
        <v>4883097</v>
      </c>
    </row>
    <row r="8930" spans="1:7">
      <c r="A8930" t="s">
        <v>4340</v>
      </c>
      <c r="G8930" t="s">
        <v>4340</v>
      </c>
    </row>
    <row r="8931" spans="1:7">
      <c r="A8931" t="s">
        <v>5119</v>
      </c>
      <c r="G8931" t="s">
        <v>4340</v>
      </c>
    </row>
    <row r="8932" spans="1:7">
      <c r="A8932" t="s">
        <v>4576</v>
      </c>
      <c r="G8932" t="s">
        <v>4340</v>
      </c>
    </row>
    <row r="8933" spans="1:7">
      <c r="A8933" t="s">
        <v>4083</v>
      </c>
      <c r="G8933" t="s">
        <v>4340</v>
      </c>
    </row>
    <row r="8934" spans="1:7">
      <c r="A8934" t="s">
        <v>4235</v>
      </c>
      <c r="G8934" t="s">
        <v>4340</v>
      </c>
    </row>
    <row r="8935" spans="1:7">
      <c r="A8935" t="s">
        <v>5522</v>
      </c>
      <c r="B8935">
        <v>4781097</v>
      </c>
      <c r="G8935" t="s">
        <v>4340</v>
      </c>
    </row>
    <row r="8936" spans="1:7">
      <c r="A8936" t="s">
        <v>5283</v>
      </c>
      <c r="G8936" t="s">
        <v>4340</v>
      </c>
    </row>
    <row r="8937" spans="1:7">
      <c r="A8937" t="s">
        <v>4349</v>
      </c>
      <c r="G8937" t="s">
        <v>4340</v>
      </c>
    </row>
    <row r="8938" spans="1:7">
      <c r="A8938" t="s">
        <v>5172</v>
      </c>
      <c r="G8938" t="s">
        <v>4340</v>
      </c>
    </row>
    <row r="8939" spans="1:7">
      <c r="A8939" t="s">
        <v>4362</v>
      </c>
      <c r="G8939" t="s">
        <v>4340</v>
      </c>
    </row>
    <row r="8940" spans="1:7">
      <c r="A8940" t="s">
        <v>4363</v>
      </c>
      <c r="G8940" t="s">
        <v>4340</v>
      </c>
    </row>
    <row r="8941" spans="1:7">
      <c r="A8941" t="s">
        <v>4356</v>
      </c>
      <c r="G8941" t="s">
        <v>4340</v>
      </c>
    </row>
    <row r="8942" spans="1:7">
      <c r="A8942" t="s">
        <v>4361</v>
      </c>
      <c r="G8942" t="s">
        <v>4340</v>
      </c>
    </row>
    <row r="8943" spans="1:7">
      <c r="A8943" t="s">
        <v>4338</v>
      </c>
      <c r="G8943" t="s">
        <v>4340</v>
      </c>
    </row>
    <row r="8944" spans="1:7">
      <c r="A8944" t="s">
        <v>4832</v>
      </c>
      <c r="G8944" t="s">
        <v>4340</v>
      </c>
    </row>
    <row r="8945" spans="1:7">
      <c r="A8945" t="s">
        <v>5212</v>
      </c>
      <c r="G8945" t="s">
        <v>4340</v>
      </c>
    </row>
    <row r="8946" spans="1:8">
      <c r="A8946" t="s">
        <v>4358</v>
      </c>
      <c r="G8946" t="s">
        <v>4340</v>
      </c>
      <c r="H8946">
        <v>4778097</v>
      </c>
    </row>
    <row r="8947" spans="1:7">
      <c r="A8947" t="s">
        <v>4338</v>
      </c>
      <c r="B8947">
        <v>4789097</v>
      </c>
      <c r="G8947" t="s">
        <v>4340</v>
      </c>
    </row>
    <row r="8948" spans="1:7">
      <c r="A8948" t="s">
        <v>4364</v>
      </c>
      <c r="G8948" t="s">
        <v>4340</v>
      </c>
    </row>
    <row r="8949" spans="1:7">
      <c r="A8949" t="s">
        <v>5489</v>
      </c>
      <c r="G8949" t="s">
        <v>4650</v>
      </c>
    </row>
    <row r="8950" spans="1:7">
      <c r="A8950" t="s">
        <v>5296</v>
      </c>
      <c r="G8950" t="s">
        <v>4650</v>
      </c>
    </row>
    <row r="8951" spans="1:7">
      <c r="A8951" t="s">
        <v>5490</v>
      </c>
      <c r="G8951" t="s">
        <v>5138</v>
      </c>
    </row>
    <row r="8952" spans="1:7">
      <c r="A8952" t="s">
        <v>5121</v>
      </c>
      <c r="G8952" t="s">
        <v>5138</v>
      </c>
    </row>
    <row r="8953" spans="1:7">
      <c r="A8953" t="s">
        <v>5475</v>
      </c>
      <c r="G8953" t="s">
        <v>5138</v>
      </c>
    </row>
    <row r="8954" spans="1:7">
      <c r="A8954" t="s">
        <v>4343</v>
      </c>
      <c r="G8954" t="s">
        <v>5138</v>
      </c>
    </row>
    <row r="8955" spans="1:7">
      <c r="A8955" t="s">
        <v>4480</v>
      </c>
      <c r="G8955" t="s">
        <v>5138</v>
      </c>
    </row>
    <row r="8956" spans="1:7">
      <c r="A8956" t="s">
        <v>5405</v>
      </c>
      <c r="G8956" t="s">
        <v>5138</v>
      </c>
    </row>
    <row r="8957" spans="1:7">
      <c r="A8957" t="s">
        <v>5504</v>
      </c>
      <c r="G8957" t="s">
        <v>5138</v>
      </c>
    </row>
    <row r="8958" spans="1:7">
      <c r="A8958" t="s">
        <v>4819</v>
      </c>
      <c r="G8958" t="s">
        <v>5138</v>
      </c>
    </row>
    <row r="8959" spans="1:7">
      <c r="A8959" t="s">
        <v>4352</v>
      </c>
      <c r="G8959" t="s">
        <v>5138</v>
      </c>
    </row>
    <row r="8960" spans="1:7">
      <c r="A8960" t="s">
        <v>5321</v>
      </c>
      <c r="G8960" t="s">
        <v>5138</v>
      </c>
    </row>
    <row r="8961" spans="1:7">
      <c r="A8961" t="s">
        <v>4899</v>
      </c>
      <c r="B8961">
        <v>4780097</v>
      </c>
      <c r="G8961" t="s">
        <v>5138</v>
      </c>
    </row>
    <row r="8962" spans="1:7">
      <c r="A8962" t="s">
        <v>5033</v>
      </c>
      <c r="G8962" t="s">
        <v>5138</v>
      </c>
    </row>
    <row r="8963" spans="1:7">
      <c r="A8963" t="s">
        <v>4351</v>
      </c>
      <c r="G8963" t="s">
        <v>5138</v>
      </c>
    </row>
    <row r="8964" spans="1:7">
      <c r="A8964" t="s">
        <v>5119</v>
      </c>
      <c r="G8964" t="s">
        <v>5138</v>
      </c>
    </row>
    <row r="8965" spans="1:7">
      <c r="A8965" t="s">
        <v>5523</v>
      </c>
      <c r="G8965" t="s">
        <v>5138</v>
      </c>
    </row>
    <row r="8966" spans="1:7">
      <c r="A8966" t="s">
        <v>4361</v>
      </c>
      <c r="G8966" t="s">
        <v>5138</v>
      </c>
    </row>
    <row r="8967" spans="1:7">
      <c r="A8967" t="s">
        <v>5212</v>
      </c>
      <c r="G8967" t="s">
        <v>5138</v>
      </c>
    </row>
    <row r="8968" spans="1:7">
      <c r="A8968" t="s">
        <v>5232</v>
      </c>
      <c r="G8968" t="s">
        <v>5138</v>
      </c>
    </row>
    <row r="8969" spans="1:7">
      <c r="A8969" t="s">
        <v>5292</v>
      </c>
      <c r="G8969" t="s">
        <v>5138</v>
      </c>
    </row>
    <row r="8970" spans="1:7">
      <c r="A8970" t="s">
        <v>4576</v>
      </c>
      <c r="G8970" t="s">
        <v>5138</v>
      </c>
    </row>
    <row r="8971" spans="1:7">
      <c r="A8971" t="s">
        <v>4354</v>
      </c>
      <c r="G8971" t="s">
        <v>5138</v>
      </c>
    </row>
    <row r="8972" spans="1:7">
      <c r="A8972" t="s">
        <v>4340</v>
      </c>
      <c r="G8972" t="s">
        <v>5138</v>
      </c>
    </row>
    <row r="8973" spans="1:7">
      <c r="A8973" t="s">
        <v>5009</v>
      </c>
      <c r="G8973" t="s">
        <v>5138</v>
      </c>
    </row>
    <row r="8974" spans="1:8">
      <c r="A8974" t="s">
        <v>4553</v>
      </c>
      <c r="G8974" t="s">
        <v>5138</v>
      </c>
      <c r="H8974">
        <v>4919097</v>
      </c>
    </row>
    <row r="8975" spans="1:7">
      <c r="A8975" t="s">
        <v>5522</v>
      </c>
      <c r="G8975" t="s">
        <v>5138</v>
      </c>
    </row>
    <row r="8976" spans="1:7">
      <c r="A8976" t="s">
        <v>4235</v>
      </c>
      <c r="G8976" t="s">
        <v>5138</v>
      </c>
    </row>
    <row r="8977" spans="1:7">
      <c r="A8977" t="s">
        <v>4356</v>
      </c>
      <c r="G8977" t="s">
        <v>5378</v>
      </c>
    </row>
    <row r="8978" spans="1:7">
      <c r="A8978" t="s">
        <v>5517</v>
      </c>
      <c r="G8978" t="s">
        <v>5378</v>
      </c>
    </row>
    <row r="8979" spans="1:7">
      <c r="A8979" t="s">
        <v>5533</v>
      </c>
      <c r="G8979" t="s">
        <v>5378</v>
      </c>
    </row>
    <row r="8980" spans="1:7">
      <c r="A8980" t="s">
        <v>4083</v>
      </c>
      <c r="G8980" t="s">
        <v>5535</v>
      </c>
    </row>
    <row r="8981" spans="1:7">
      <c r="A8981" t="s">
        <v>5172</v>
      </c>
      <c r="G8981" t="s">
        <v>5535</v>
      </c>
    </row>
    <row r="8982" spans="1:7">
      <c r="A8982" t="s">
        <v>5502</v>
      </c>
      <c r="G8982" t="s">
        <v>5535</v>
      </c>
    </row>
    <row r="8983" spans="1:7">
      <c r="A8983" t="s">
        <v>4358</v>
      </c>
      <c r="G8983" t="s">
        <v>5535</v>
      </c>
    </row>
    <row r="8984" spans="1:8">
      <c r="A8984" t="s">
        <v>4349</v>
      </c>
      <c r="G8984" t="s">
        <v>5535</v>
      </c>
      <c r="H8984">
        <v>4719097</v>
      </c>
    </row>
    <row r="8985" spans="1:8">
      <c r="A8985" t="s">
        <v>4336</v>
      </c>
      <c r="G8985" t="s">
        <v>5535</v>
      </c>
      <c r="H8985">
        <v>4718097</v>
      </c>
    </row>
    <row r="8986" spans="1:7">
      <c r="A8986" t="s">
        <v>4362</v>
      </c>
      <c r="G8986" t="s">
        <v>5535</v>
      </c>
    </row>
    <row r="8987" spans="1:7">
      <c r="A8987" t="s">
        <v>4363</v>
      </c>
      <c r="B8987">
        <v>4779097</v>
      </c>
      <c r="G8987" t="s">
        <v>5535</v>
      </c>
    </row>
    <row r="8988" spans="1:7">
      <c r="A8988" t="s">
        <v>5269</v>
      </c>
      <c r="G8988" t="s">
        <v>4207</v>
      </c>
    </row>
    <row r="8989" spans="1:7">
      <c r="A8989" t="s">
        <v>4376</v>
      </c>
      <c r="G8989" t="s">
        <v>5536</v>
      </c>
    </row>
    <row r="8990" spans="1:7">
      <c r="A8990" t="s">
        <v>4130</v>
      </c>
      <c r="G8990" t="s">
        <v>4485</v>
      </c>
    </row>
    <row r="8991" spans="1:7">
      <c r="A8991" t="s">
        <v>4343</v>
      </c>
      <c r="B8991">
        <v>4787097</v>
      </c>
      <c r="G8991" t="s">
        <v>5202</v>
      </c>
    </row>
    <row r="8992" spans="1:8">
      <c r="A8992" t="s">
        <v>5033</v>
      </c>
      <c r="G8992" t="s">
        <v>5328</v>
      </c>
      <c r="H8992">
        <v>5055097</v>
      </c>
    </row>
    <row r="8993" spans="1:7">
      <c r="A8993" t="s">
        <v>5521</v>
      </c>
      <c r="G8993" t="s">
        <v>5328</v>
      </c>
    </row>
    <row r="8994" spans="1:7">
      <c r="A8994" t="s">
        <v>5121</v>
      </c>
      <c r="G8994" t="s">
        <v>5328</v>
      </c>
    </row>
    <row r="8995" spans="1:7">
      <c r="A8995" t="s">
        <v>4819</v>
      </c>
      <c r="G8995" t="s">
        <v>5328</v>
      </c>
    </row>
    <row r="8996" spans="1:7">
      <c r="A8996" t="s">
        <v>5405</v>
      </c>
      <c r="G8996" t="s">
        <v>5328</v>
      </c>
    </row>
    <row r="8997" spans="1:8">
      <c r="A8997" t="s">
        <v>5504</v>
      </c>
      <c r="G8997" t="s">
        <v>5328</v>
      </c>
      <c r="H8997">
        <v>4930097</v>
      </c>
    </row>
    <row r="8998" spans="1:7">
      <c r="A8998" t="s">
        <v>5321</v>
      </c>
      <c r="G8998" t="s">
        <v>5328</v>
      </c>
    </row>
    <row r="8999" spans="1:7">
      <c r="A8999" t="s">
        <v>4363</v>
      </c>
      <c r="G8999" t="s">
        <v>4656</v>
      </c>
    </row>
    <row r="9000" spans="1:7">
      <c r="A9000" t="s">
        <v>4899</v>
      </c>
      <c r="G9000" t="s">
        <v>4656</v>
      </c>
    </row>
    <row r="9001" spans="1:7">
      <c r="A9001" t="s">
        <v>4336</v>
      </c>
      <c r="G9001" t="s">
        <v>4656</v>
      </c>
    </row>
    <row r="9002" spans="1:8">
      <c r="A9002" t="s">
        <v>4351</v>
      </c>
      <c r="G9002" t="s">
        <v>4656</v>
      </c>
      <c r="H9002">
        <v>5333097</v>
      </c>
    </row>
    <row r="9003" spans="1:7">
      <c r="A9003" t="s">
        <v>4376</v>
      </c>
      <c r="G9003" t="s">
        <v>4656</v>
      </c>
    </row>
    <row r="9004" spans="1:7">
      <c r="A9004" t="s">
        <v>5475</v>
      </c>
      <c r="G9004" t="s">
        <v>4656</v>
      </c>
    </row>
    <row r="9005" spans="1:7">
      <c r="A9005" t="s">
        <v>5523</v>
      </c>
      <c r="G9005" t="s">
        <v>4656</v>
      </c>
    </row>
    <row r="9006" spans="1:7">
      <c r="A9006" t="s">
        <v>5489</v>
      </c>
      <c r="G9006" t="s">
        <v>4656</v>
      </c>
    </row>
    <row r="9007" spans="1:7">
      <c r="A9007" t="s">
        <v>5490</v>
      </c>
      <c r="G9007" t="s">
        <v>4656</v>
      </c>
    </row>
    <row r="9008" spans="1:7">
      <c r="A9008" t="s">
        <v>4361</v>
      </c>
      <c r="G9008" t="s">
        <v>4656</v>
      </c>
    </row>
    <row r="9009" spans="1:8">
      <c r="A9009" t="s">
        <v>5292</v>
      </c>
      <c r="G9009" t="s">
        <v>4656</v>
      </c>
      <c r="H9009">
        <v>5032097</v>
      </c>
    </row>
    <row r="9010" spans="1:7">
      <c r="A9010" t="s">
        <v>4354</v>
      </c>
      <c r="G9010" t="s">
        <v>4656</v>
      </c>
    </row>
    <row r="9011" spans="1:7">
      <c r="A9011" t="s">
        <v>4340</v>
      </c>
      <c r="B9011">
        <v>4778097</v>
      </c>
      <c r="G9011" t="s">
        <v>4656</v>
      </c>
    </row>
    <row r="9012" spans="1:7">
      <c r="A9012" t="s">
        <v>5119</v>
      </c>
      <c r="G9012" t="s">
        <v>4656</v>
      </c>
    </row>
    <row r="9013" spans="1:7">
      <c r="A9013" t="s">
        <v>4480</v>
      </c>
      <c r="G9013" t="s">
        <v>4656</v>
      </c>
    </row>
    <row r="9014" spans="1:7">
      <c r="A9014" t="s">
        <v>4352</v>
      </c>
      <c r="G9014" t="s">
        <v>4656</v>
      </c>
    </row>
    <row r="9015" spans="1:7">
      <c r="A9015" t="s">
        <v>4235</v>
      </c>
      <c r="G9015" t="s">
        <v>4656</v>
      </c>
    </row>
    <row r="9016" spans="1:7">
      <c r="A9016" t="s">
        <v>5212</v>
      </c>
      <c r="G9016" t="s">
        <v>4656</v>
      </c>
    </row>
    <row r="9017" spans="1:7">
      <c r="A9017" t="s">
        <v>4356</v>
      </c>
      <c r="G9017" t="s">
        <v>4656</v>
      </c>
    </row>
    <row r="9018" spans="1:7">
      <c r="A9018" t="s">
        <v>4576</v>
      </c>
      <c r="G9018" t="s">
        <v>4656</v>
      </c>
    </row>
    <row r="9019" spans="1:7">
      <c r="A9019" t="s">
        <v>4349</v>
      </c>
      <c r="G9019" t="s">
        <v>4656</v>
      </c>
    </row>
    <row r="9020" spans="1:7">
      <c r="A9020" t="s">
        <v>5215</v>
      </c>
      <c r="G9020" t="s">
        <v>4656</v>
      </c>
    </row>
    <row r="9021" spans="1:8">
      <c r="A9021" t="s">
        <v>4083</v>
      </c>
      <c r="G9021" t="s">
        <v>4656</v>
      </c>
      <c r="H9021">
        <v>4935097</v>
      </c>
    </row>
    <row r="9022" spans="1:7">
      <c r="A9022" t="s">
        <v>5464</v>
      </c>
      <c r="G9022" t="s">
        <v>4656</v>
      </c>
    </row>
    <row r="9023" spans="1:7">
      <c r="A9023" t="s">
        <v>5172</v>
      </c>
      <c r="G9023" t="s">
        <v>4656</v>
      </c>
    </row>
    <row r="9024" spans="1:7">
      <c r="A9024" t="s">
        <v>4362</v>
      </c>
      <c r="G9024" t="s">
        <v>4656</v>
      </c>
    </row>
    <row r="9025" spans="1:7">
      <c r="A9025" t="s">
        <v>5502</v>
      </c>
      <c r="G9025" t="s">
        <v>4656</v>
      </c>
    </row>
    <row r="9026" spans="1:7">
      <c r="A9026" t="s">
        <v>4338</v>
      </c>
      <c r="G9026" t="s">
        <v>4656</v>
      </c>
    </row>
    <row r="9027" spans="1:7">
      <c r="A9027" t="s">
        <v>4358</v>
      </c>
      <c r="G9027" t="s">
        <v>4656</v>
      </c>
    </row>
    <row r="9028" spans="1:7">
      <c r="A9028" t="s">
        <v>5388</v>
      </c>
      <c r="G9028" t="s">
        <v>4656</v>
      </c>
    </row>
    <row r="9029" spans="1:7">
      <c r="A9029" t="s">
        <v>5269</v>
      </c>
      <c r="G9029" t="s">
        <v>4656</v>
      </c>
    </row>
    <row r="9030" spans="1:7">
      <c r="A9030" t="s">
        <v>4364</v>
      </c>
      <c r="B9030">
        <v>4777097</v>
      </c>
      <c r="G9030" t="s">
        <v>4656</v>
      </c>
    </row>
    <row r="9031" spans="1:7">
      <c r="A9031" t="s">
        <v>4130</v>
      </c>
      <c r="G9031" t="s">
        <v>4656</v>
      </c>
    </row>
    <row r="9032" spans="1:7">
      <c r="A9032" t="s">
        <v>4511</v>
      </c>
      <c r="B9032">
        <v>4784097</v>
      </c>
      <c r="G9032" t="s">
        <v>5493</v>
      </c>
    </row>
    <row r="9033" spans="1:7">
      <c r="A9033" t="s">
        <v>5020</v>
      </c>
      <c r="G9033" t="s">
        <v>4835</v>
      </c>
    </row>
    <row r="9034" spans="1:7">
      <c r="A9034" t="s">
        <v>5537</v>
      </c>
      <c r="G9034" t="s">
        <v>5015</v>
      </c>
    </row>
    <row r="9035" spans="1:7">
      <c r="A9035" t="s">
        <v>4391</v>
      </c>
      <c r="B9035">
        <v>4782097</v>
      </c>
      <c r="G9035" t="s">
        <v>5015</v>
      </c>
    </row>
    <row r="9036" spans="1:7">
      <c r="A9036" t="s">
        <v>4352</v>
      </c>
      <c r="G9036" t="s">
        <v>5015</v>
      </c>
    </row>
    <row r="9037" spans="1:7">
      <c r="A9037" t="s">
        <v>4382</v>
      </c>
      <c r="G9037" t="s">
        <v>5015</v>
      </c>
    </row>
    <row r="9038" spans="1:7">
      <c r="A9038" t="s">
        <v>4386</v>
      </c>
      <c r="G9038" t="s">
        <v>5015</v>
      </c>
    </row>
    <row r="9039" spans="1:7">
      <c r="A9039" t="s">
        <v>4336</v>
      </c>
      <c r="G9039" t="s">
        <v>5015</v>
      </c>
    </row>
    <row r="9040" spans="1:7">
      <c r="A9040" t="s">
        <v>4376</v>
      </c>
      <c r="G9040" t="s">
        <v>5015</v>
      </c>
    </row>
    <row r="9041" spans="1:7">
      <c r="A9041" t="s">
        <v>4632</v>
      </c>
      <c r="G9041" t="s">
        <v>5015</v>
      </c>
    </row>
    <row r="9042" spans="1:7">
      <c r="A9042" t="s">
        <v>4345</v>
      </c>
      <c r="G9042" t="s">
        <v>5015</v>
      </c>
    </row>
    <row r="9043" spans="1:7">
      <c r="A9043" t="s">
        <v>4388</v>
      </c>
      <c r="G9043" t="s">
        <v>5015</v>
      </c>
    </row>
    <row r="9044" spans="1:7">
      <c r="A9044" t="s">
        <v>4342</v>
      </c>
      <c r="G9044" t="s">
        <v>5015</v>
      </c>
    </row>
    <row r="9045" spans="1:7">
      <c r="A9045" t="s">
        <v>5460</v>
      </c>
      <c r="G9045" t="s">
        <v>5015</v>
      </c>
    </row>
    <row r="9046" spans="1:7">
      <c r="A9046" t="s">
        <v>5531</v>
      </c>
      <c r="G9046" t="s">
        <v>5015</v>
      </c>
    </row>
    <row r="9047" spans="1:7">
      <c r="A9047" t="s">
        <v>5033</v>
      </c>
      <c r="G9047" t="s">
        <v>5015</v>
      </c>
    </row>
    <row r="9048" spans="1:7">
      <c r="A9048" t="s">
        <v>4085</v>
      </c>
      <c r="G9048" t="s">
        <v>5015</v>
      </c>
    </row>
    <row r="9049" spans="1:7">
      <c r="A9049" t="s">
        <v>4083</v>
      </c>
      <c r="G9049" t="s">
        <v>5015</v>
      </c>
    </row>
    <row r="9050" spans="1:7">
      <c r="A9050" t="s">
        <v>4787</v>
      </c>
      <c r="G9050" t="s">
        <v>5015</v>
      </c>
    </row>
    <row r="9051" spans="1:7">
      <c r="A9051" t="s">
        <v>5351</v>
      </c>
      <c r="G9051" t="s">
        <v>5015</v>
      </c>
    </row>
    <row r="9052" spans="1:7">
      <c r="A9052" t="s">
        <v>4356</v>
      </c>
      <c r="G9052" t="s">
        <v>5015</v>
      </c>
    </row>
    <row r="9053" spans="1:7">
      <c r="A9053" t="s">
        <v>4378</v>
      </c>
      <c r="G9053" t="s">
        <v>5015</v>
      </c>
    </row>
    <row r="9054" spans="1:7">
      <c r="A9054" t="s">
        <v>5512</v>
      </c>
      <c r="G9054" t="s">
        <v>5015</v>
      </c>
    </row>
    <row r="9055" spans="1:7">
      <c r="A9055" t="s">
        <v>5518</v>
      </c>
      <c r="G9055" t="s">
        <v>5015</v>
      </c>
    </row>
    <row r="9056" spans="1:7">
      <c r="A9056" t="s">
        <v>5215</v>
      </c>
      <c r="G9056" t="s">
        <v>5015</v>
      </c>
    </row>
    <row r="9057" spans="1:7">
      <c r="A9057" t="s">
        <v>4385</v>
      </c>
      <c r="B9057">
        <v>4776097</v>
      </c>
      <c r="G9057" t="s">
        <v>5015</v>
      </c>
    </row>
    <row r="9058" spans="1:7">
      <c r="A9058" t="s">
        <v>5301</v>
      </c>
      <c r="G9058" t="s">
        <v>5015</v>
      </c>
    </row>
    <row r="9059" spans="1:7">
      <c r="A9059" t="s">
        <v>4363</v>
      </c>
      <c r="G9059" t="s">
        <v>4638</v>
      </c>
    </row>
    <row r="9060" spans="1:7">
      <c r="A9060" t="s">
        <v>5388</v>
      </c>
      <c r="G9060" t="s">
        <v>4657</v>
      </c>
    </row>
    <row r="9061" spans="1:7">
      <c r="A9061" t="s">
        <v>4381</v>
      </c>
      <c r="G9061" t="s">
        <v>4657</v>
      </c>
    </row>
    <row r="9062" spans="1:7">
      <c r="A9062" t="s">
        <v>4361</v>
      </c>
      <c r="G9062" t="s">
        <v>4657</v>
      </c>
    </row>
    <row r="9063" spans="1:7">
      <c r="A9063" t="s">
        <v>4387</v>
      </c>
      <c r="G9063" t="s">
        <v>4927</v>
      </c>
    </row>
    <row r="9064" spans="1:8">
      <c r="A9064" t="s">
        <v>4377</v>
      </c>
      <c r="G9064" t="s">
        <v>4833</v>
      </c>
      <c r="H9064">
        <v>5441097</v>
      </c>
    </row>
    <row r="9065" spans="1:7">
      <c r="A9065" t="s">
        <v>4377</v>
      </c>
      <c r="B9065">
        <v>4781097</v>
      </c>
      <c r="G9065" t="s">
        <v>4618</v>
      </c>
    </row>
    <row r="9066" spans="1:7">
      <c r="A9066" t="s">
        <v>4342</v>
      </c>
      <c r="G9066" t="s">
        <v>4618</v>
      </c>
    </row>
    <row r="9067" spans="1:7">
      <c r="A9067" t="s">
        <v>4388</v>
      </c>
      <c r="B9067">
        <v>4775097</v>
      </c>
      <c r="G9067" t="s">
        <v>5187</v>
      </c>
    </row>
    <row r="9068" spans="1:7">
      <c r="A9068" t="s">
        <v>4386</v>
      </c>
      <c r="G9068" t="s">
        <v>5187</v>
      </c>
    </row>
    <row r="9069" spans="1:7">
      <c r="A9069" t="s">
        <v>4336</v>
      </c>
      <c r="G9069" t="s">
        <v>5187</v>
      </c>
    </row>
    <row r="9070" spans="1:7">
      <c r="A9070" t="s">
        <v>4376</v>
      </c>
      <c r="G9070" t="s">
        <v>5187</v>
      </c>
    </row>
    <row r="9071" spans="1:7">
      <c r="A9071" t="s">
        <v>4345</v>
      </c>
      <c r="G9071" t="s">
        <v>5187</v>
      </c>
    </row>
    <row r="9072" spans="1:7">
      <c r="A9072" t="s">
        <v>4632</v>
      </c>
      <c r="G9072" t="s">
        <v>5187</v>
      </c>
    </row>
    <row r="9073" spans="1:7">
      <c r="A9073" t="s">
        <v>4378</v>
      </c>
      <c r="G9073" t="s">
        <v>5187</v>
      </c>
    </row>
    <row r="9074" spans="1:7">
      <c r="A9074" t="s">
        <v>5033</v>
      </c>
      <c r="G9074" t="s">
        <v>5187</v>
      </c>
    </row>
    <row r="9075" spans="1:7">
      <c r="A9075" t="s">
        <v>4382</v>
      </c>
      <c r="G9075" t="s">
        <v>5187</v>
      </c>
    </row>
    <row r="9076" spans="1:7">
      <c r="A9076" t="s">
        <v>4391</v>
      </c>
      <c r="G9076" t="s">
        <v>5161</v>
      </c>
    </row>
    <row r="9077" spans="1:7">
      <c r="A9077" t="s">
        <v>5307</v>
      </c>
      <c r="G9077" t="s">
        <v>5161</v>
      </c>
    </row>
    <row r="9078" spans="1:7">
      <c r="A9078" t="s">
        <v>4687</v>
      </c>
      <c r="G9078" t="s">
        <v>5161</v>
      </c>
    </row>
    <row r="9079" spans="1:7">
      <c r="A9079" t="s">
        <v>5301</v>
      </c>
      <c r="G9079" t="s">
        <v>5161</v>
      </c>
    </row>
    <row r="9080" spans="1:7">
      <c r="A9080" t="s">
        <v>5351</v>
      </c>
      <c r="G9080" t="s">
        <v>5350</v>
      </c>
    </row>
    <row r="9081" spans="1:7">
      <c r="A9081" t="s">
        <v>4356</v>
      </c>
      <c r="G9081" t="s">
        <v>5179</v>
      </c>
    </row>
    <row r="9082" spans="1:7">
      <c r="A9082" t="s">
        <v>4361</v>
      </c>
      <c r="G9082" t="s">
        <v>4182</v>
      </c>
    </row>
    <row r="9083" spans="1:8">
      <c r="A9083" t="s">
        <v>4385</v>
      </c>
      <c r="G9083" t="s">
        <v>4182</v>
      </c>
      <c r="H9083">
        <v>5496097</v>
      </c>
    </row>
    <row r="9084" spans="1:7">
      <c r="A9084" t="s">
        <v>4381</v>
      </c>
      <c r="G9084" t="s">
        <v>5538</v>
      </c>
    </row>
    <row r="9085" spans="1:7">
      <c r="A9085" t="s">
        <v>5518</v>
      </c>
      <c r="G9085" t="s">
        <v>5538</v>
      </c>
    </row>
    <row r="9086" spans="1:7">
      <c r="A9086" t="s">
        <v>4387</v>
      </c>
      <c r="G9086" t="s">
        <v>5538</v>
      </c>
    </row>
    <row r="9087" spans="1:7">
      <c r="A9087" t="s">
        <v>4363</v>
      </c>
      <c r="G9087" t="s">
        <v>5538</v>
      </c>
    </row>
    <row r="9088" spans="1:7">
      <c r="A9088" t="s">
        <v>4352</v>
      </c>
      <c r="G9088" t="s">
        <v>5538</v>
      </c>
    </row>
    <row r="9089" spans="1:8">
      <c r="A9089" t="s">
        <v>4083</v>
      </c>
      <c r="G9089" t="s">
        <v>5373</v>
      </c>
      <c r="H9089">
        <v>5015097</v>
      </c>
    </row>
    <row r="9090" spans="1:7">
      <c r="A9090" t="s">
        <v>5512</v>
      </c>
      <c r="G9090" t="s">
        <v>5373</v>
      </c>
    </row>
    <row r="9091" spans="1:7">
      <c r="A9091" t="s">
        <v>4382</v>
      </c>
      <c r="B9091">
        <v>4780097</v>
      </c>
      <c r="G9091" t="s">
        <v>5373</v>
      </c>
    </row>
    <row r="9092" spans="1:7">
      <c r="A9092" t="s">
        <v>4336</v>
      </c>
      <c r="G9092" t="s">
        <v>5373</v>
      </c>
    </row>
    <row r="9093" spans="1:7">
      <c r="A9093" t="s">
        <v>4376</v>
      </c>
      <c r="G9093" t="s">
        <v>5373</v>
      </c>
    </row>
    <row r="9094" spans="1:7">
      <c r="A9094" t="s">
        <v>4632</v>
      </c>
      <c r="G9094" t="s">
        <v>5373</v>
      </c>
    </row>
    <row r="9095" spans="1:7">
      <c r="A9095" t="s">
        <v>4386</v>
      </c>
      <c r="B9095">
        <v>4774097</v>
      </c>
      <c r="G9095" t="s">
        <v>5373</v>
      </c>
    </row>
    <row r="9096" spans="1:8">
      <c r="A9096" t="s">
        <v>4345</v>
      </c>
      <c r="G9096" t="s">
        <v>3998</v>
      </c>
      <c r="H9096">
        <v>5657097</v>
      </c>
    </row>
    <row r="9097" spans="1:7">
      <c r="A9097" t="s">
        <v>4385</v>
      </c>
      <c r="G9097" t="s">
        <v>3998</v>
      </c>
    </row>
    <row r="9098" spans="1:7">
      <c r="A9098" t="s">
        <v>4342</v>
      </c>
      <c r="G9098" t="s">
        <v>3998</v>
      </c>
    </row>
    <row r="9099" spans="1:7">
      <c r="A9099" t="s">
        <v>5033</v>
      </c>
      <c r="G9099" t="s">
        <v>5259</v>
      </c>
    </row>
    <row r="9100" spans="1:7">
      <c r="A9100" t="s">
        <v>4391</v>
      </c>
      <c r="G9100" t="s">
        <v>3997</v>
      </c>
    </row>
    <row r="9101" spans="1:7">
      <c r="A9101" t="s">
        <v>4083</v>
      </c>
      <c r="B9101">
        <v>4773097</v>
      </c>
      <c r="G9101" t="s">
        <v>4329</v>
      </c>
    </row>
    <row r="9102" spans="1:7">
      <c r="A9102" t="s">
        <v>5512</v>
      </c>
      <c r="G9102" t="s">
        <v>5539</v>
      </c>
    </row>
    <row r="9103" spans="1:7">
      <c r="A9103" t="s">
        <v>5121</v>
      </c>
      <c r="G9103" t="s">
        <v>5539</v>
      </c>
    </row>
    <row r="9104" spans="1:7">
      <c r="A9104" t="s">
        <v>4553</v>
      </c>
      <c r="G9104" t="s">
        <v>5539</v>
      </c>
    </row>
    <row r="9105" spans="1:7">
      <c r="A9105" t="s">
        <v>4958</v>
      </c>
      <c r="G9105" t="s">
        <v>5539</v>
      </c>
    </row>
    <row r="9106" spans="1:7">
      <c r="A9106" t="s">
        <v>4085</v>
      </c>
      <c r="G9106" t="s">
        <v>5539</v>
      </c>
    </row>
    <row r="9107" spans="1:7">
      <c r="A9107" t="s">
        <v>4387</v>
      </c>
      <c r="G9107" t="s">
        <v>4839</v>
      </c>
    </row>
    <row r="9108" spans="1:7">
      <c r="A9108" t="s">
        <v>5518</v>
      </c>
      <c r="G9108" t="s">
        <v>4839</v>
      </c>
    </row>
    <row r="9109" spans="1:7">
      <c r="A9109" t="s">
        <v>4377</v>
      </c>
      <c r="G9109" t="s">
        <v>5249</v>
      </c>
    </row>
    <row r="9110" spans="1:7">
      <c r="A9110" t="s">
        <v>4381</v>
      </c>
      <c r="G9110" t="s">
        <v>5249</v>
      </c>
    </row>
    <row r="9111" spans="1:7">
      <c r="A9111" t="s">
        <v>4378</v>
      </c>
      <c r="G9111" t="s">
        <v>5450</v>
      </c>
    </row>
    <row r="9112" spans="1:7">
      <c r="A9112" t="s">
        <v>4388</v>
      </c>
      <c r="G9112" t="s">
        <v>5450</v>
      </c>
    </row>
    <row r="9113" spans="1:7">
      <c r="A9113" t="s">
        <v>4352</v>
      </c>
      <c r="G9113" t="s">
        <v>5450</v>
      </c>
    </row>
    <row r="9114" spans="1:7">
      <c r="A9114" t="s">
        <v>5351</v>
      </c>
      <c r="G9114" t="s">
        <v>5450</v>
      </c>
    </row>
    <row r="9115" spans="1:7">
      <c r="A9115" t="s">
        <v>5301</v>
      </c>
      <c r="G9115" t="s">
        <v>5450</v>
      </c>
    </row>
    <row r="9116" spans="1:7">
      <c r="A9116" t="s">
        <v>4361</v>
      </c>
      <c r="G9116" t="s">
        <v>5450</v>
      </c>
    </row>
    <row r="9117" spans="1:7">
      <c r="A9117" t="s">
        <v>4382</v>
      </c>
      <c r="B9117">
        <v>4779097</v>
      </c>
      <c r="G9117" t="s">
        <v>5322</v>
      </c>
    </row>
    <row r="9118" spans="1:7">
      <c r="A9118" t="s">
        <v>4376</v>
      </c>
      <c r="G9118" t="s">
        <v>5322</v>
      </c>
    </row>
    <row r="9119" spans="1:7">
      <c r="A9119" t="s">
        <v>4345</v>
      </c>
      <c r="G9119" t="s">
        <v>5322</v>
      </c>
    </row>
    <row r="9120" spans="1:7">
      <c r="A9120" t="s">
        <v>4336</v>
      </c>
      <c r="G9120" t="s">
        <v>5322</v>
      </c>
    </row>
    <row r="9121" spans="1:7">
      <c r="A9121" t="s">
        <v>4632</v>
      </c>
      <c r="G9121" t="s">
        <v>5322</v>
      </c>
    </row>
    <row r="9122" spans="1:7">
      <c r="A9122" t="s">
        <v>4342</v>
      </c>
      <c r="G9122" t="s">
        <v>5322</v>
      </c>
    </row>
    <row r="9123" spans="1:7">
      <c r="A9123" t="s">
        <v>4352</v>
      </c>
      <c r="G9123" t="s">
        <v>5322</v>
      </c>
    </row>
    <row r="9124" spans="1:7">
      <c r="A9124" t="s">
        <v>5033</v>
      </c>
      <c r="G9124" t="s">
        <v>5322</v>
      </c>
    </row>
    <row r="9125" spans="1:7">
      <c r="A9125" t="s">
        <v>4083</v>
      </c>
      <c r="G9125" t="s">
        <v>5322</v>
      </c>
    </row>
    <row r="9126" spans="1:7">
      <c r="A9126" t="s">
        <v>4378</v>
      </c>
      <c r="G9126" t="s">
        <v>5322</v>
      </c>
    </row>
    <row r="9127" spans="1:7">
      <c r="A9127" t="s">
        <v>4391</v>
      </c>
      <c r="G9127" t="s">
        <v>5322</v>
      </c>
    </row>
    <row r="9128" spans="1:7">
      <c r="A9128" t="s">
        <v>5455</v>
      </c>
      <c r="G9128" t="s">
        <v>4754</v>
      </c>
    </row>
    <row r="9129" spans="1:7">
      <c r="A9129" t="s">
        <v>5301</v>
      </c>
      <c r="G9129" t="s">
        <v>3994</v>
      </c>
    </row>
    <row r="9130" spans="1:7">
      <c r="A9130" t="s">
        <v>5351</v>
      </c>
      <c r="G9130" t="s">
        <v>5035</v>
      </c>
    </row>
    <row r="9131" spans="1:7">
      <c r="A9131" t="s">
        <v>4958</v>
      </c>
      <c r="G9131" t="s">
        <v>5035</v>
      </c>
    </row>
    <row r="9132" spans="1:7">
      <c r="A9132" t="s">
        <v>4361</v>
      </c>
      <c r="G9132" t="s">
        <v>5035</v>
      </c>
    </row>
    <row r="9133" spans="1:7">
      <c r="A9133" t="s">
        <v>4385</v>
      </c>
      <c r="G9133" t="s">
        <v>5035</v>
      </c>
    </row>
    <row r="9134" spans="1:7">
      <c r="A9134" t="s">
        <v>5512</v>
      </c>
      <c r="B9134">
        <v>4769097</v>
      </c>
      <c r="G9134" t="s">
        <v>5497</v>
      </c>
    </row>
    <row r="9135" spans="1:7">
      <c r="A9135" t="s">
        <v>5518</v>
      </c>
      <c r="G9135" t="s">
        <v>5118</v>
      </c>
    </row>
    <row r="9136" spans="1:7">
      <c r="A9136" t="s">
        <v>4377</v>
      </c>
      <c r="G9136" t="s">
        <v>5278</v>
      </c>
    </row>
    <row r="9137" spans="1:7">
      <c r="A9137" t="s">
        <v>4387</v>
      </c>
      <c r="G9137" t="s">
        <v>5278</v>
      </c>
    </row>
    <row r="9138" spans="1:7">
      <c r="A9138" t="s">
        <v>4381</v>
      </c>
      <c r="G9138" t="s">
        <v>4221</v>
      </c>
    </row>
    <row r="9139" spans="1:7">
      <c r="A9139" t="s">
        <v>4386</v>
      </c>
      <c r="G9139" t="s">
        <v>4221</v>
      </c>
    </row>
    <row r="9140" spans="1:7">
      <c r="A9140" t="s">
        <v>4388</v>
      </c>
      <c r="G9140" t="s">
        <v>4221</v>
      </c>
    </row>
    <row r="9141" spans="1:7">
      <c r="A9141" t="s">
        <v>4362</v>
      </c>
      <c r="B9141">
        <v>4778097</v>
      </c>
      <c r="G9141" t="s">
        <v>4221</v>
      </c>
    </row>
    <row r="9142" spans="1:7">
      <c r="A9142" t="s">
        <v>4343</v>
      </c>
      <c r="G9142" t="s">
        <v>4221</v>
      </c>
    </row>
    <row r="9143" spans="1:7">
      <c r="A9143" t="s">
        <v>5119</v>
      </c>
      <c r="G9143" t="s">
        <v>5540</v>
      </c>
    </row>
    <row r="9144" spans="1:7">
      <c r="A9144" t="s">
        <v>5489</v>
      </c>
      <c r="G9144" t="s">
        <v>5277</v>
      </c>
    </row>
    <row r="9145" spans="1:7">
      <c r="A9145" t="s">
        <v>4363</v>
      </c>
      <c r="G9145" t="s">
        <v>5541</v>
      </c>
    </row>
    <row r="9146" spans="1:7">
      <c r="A9146" t="s">
        <v>4985</v>
      </c>
      <c r="G9146" t="s">
        <v>5541</v>
      </c>
    </row>
    <row r="9147" spans="1:7">
      <c r="A9147" t="s">
        <v>5121</v>
      </c>
      <c r="G9147" t="s">
        <v>5367</v>
      </c>
    </row>
    <row r="9148" spans="1:7">
      <c r="A9148" t="s">
        <v>5475</v>
      </c>
      <c r="G9148" t="s">
        <v>5367</v>
      </c>
    </row>
    <row r="9149" spans="1:7">
      <c r="A9149" t="s">
        <v>5033</v>
      </c>
      <c r="G9149" t="s">
        <v>5367</v>
      </c>
    </row>
    <row r="9150" spans="1:7">
      <c r="A9150" t="s">
        <v>5490</v>
      </c>
      <c r="G9150" t="s">
        <v>5367</v>
      </c>
    </row>
    <row r="9151" spans="1:7">
      <c r="A9151" t="s">
        <v>4963</v>
      </c>
      <c r="G9151" t="s">
        <v>5367</v>
      </c>
    </row>
    <row r="9152" spans="1:8">
      <c r="A9152" t="s">
        <v>4364</v>
      </c>
      <c r="G9152" t="s">
        <v>5367</v>
      </c>
      <c r="H9152">
        <v>4929097</v>
      </c>
    </row>
    <row r="9153" spans="1:7">
      <c r="A9153" t="s">
        <v>4235</v>
      </c>
      <c r="G9153" t="s">
        <v>5367</v>
      </c>
    </row>
    <row r="9154" spans="1:7">
      <c r="A9154" t="s">
        <v>4354</v>
      </c>
      <c r="G9154" t="s">
        <v>5367</v>
      </c>
    </row>
    <row r="9155" spans="1:7">
      <c r="A9155" t="s">
        <v>4338</v>
      </c>
      <c r="G9155" t="s">
        <v>5367</v>
      </c>
    </row>
    <row r="9156" spans="1:7">
      <c r="A9156" t="s">
        <v>4340</v>
      </c>
      <c r="G9156" t="s">
        <v>5367</v>
      </c>
    </row>
    <row r="9157" spans="1:7">
      <c r="A9157" t="s">
        <v>4083</v>
      </c>
      <c r="G9157" t="s">
        <v>5491</v>
      </c>
    </row>
    <row r="9158" spans="1:7">
      <c r="A9158" t="s">
        <v>4319</v>
      </c>
      <c r="G9158" t="s">
        <v>5111</v>
      </c>
    </row>
    <row r="9159" spans="1:7">
      <c r="A9159" t="s">
        <v>5523</v>
      </c>
      <c r="G9159" t="s">
        <v>5111</v>
      </c>
    </row>
    <row r="9160" spans="1:7">
      <c r="A9160" t="s">
        <v>4385</v>
      </c>
      <c r="B9160">
        <v>4777097</v>
      </c>
      <c r="G9160" t="s">
        <v>5111</v>
      </c>
    </row>
    <row r="9161" spans="1:7">
      <c r="A9161" t="s">
        <v>4632</v>
      </c>
      <c r="G9161" t="s">
        <v>5111</v>
      </c>
    </row>
    <row r="9162" spans="1:7">
      <c r="A9162" t="s">
        <v>4352</v>
      </c>
      <c r="G9162" t="s">
        <v>5111</v>
      </c>
    </row>
    <row r="9163" spans="1:7">
      <c r="A9163" t="s">
        <v>4342</v>
      </c>
      <c r="G9163" t="s">
        <v>4396</v>
      </c>
    </row>
    <row r="9164" spans="1:7">
      <c r="A9164" t="s">
        <v>4388</v>
      </c>
      <c r="G9164" t="s">
        <v>4396</v>
      </c>
    </row>
    <row r="9165" spans="1:7">
      <c r="A9165" t="s">
        <v>5351</v>
      </c>
      <c r="G9165" t="s">
        <v>4396</v>
      </c>
    </row>
    <row r="9166" spans="1:7">
      <c r="A9166" t="s">
        <v>4382</v>
      </c>
      <c r="G9166" t="s">
        <v>5494</v>
      </c>
    </row>
    <row r="9167" spans="1:7">
      <c r="A9167" t="s">
        <v>4384</v>
      </c>
      <c r="G9167" t="s">
        <v>5532</v>
      </c>
    </row>
    <row r="9168" spans="1:7">
      <c r="A9168" t="s">
        <v>5033</v>
      </c>
      <c r="G9168" t="s">
        <v>4779</v>
      </c>
    </row>
    <row r="9169" spans="1:7">
      <c r="A9169" t="s">
        <v>4391</v>
      </c>
      <c r="G9169" t="s">
        <v>4374</v>
      </c>
    </row>
    <row r="9170" spans="1:7">
      <c r="A9170" t="s">
        <v>4083</v>
      </c>
      <c r="G9170" t="s">
        <v>4374</v>
      </c>
    </row>
    <row r="9171" spans="1:7">
      <c r="A9171" t="s">
        <v>4378</v>
      </c>
      <c r="G9171" t="s">
        <v>4374</v>
      </c>
    </row>
    <row r="9172" spans="1:7">
      <c r="A9172" t="s">
        <v>4387</v>
      </c>
      <c r="G9172" t="s">
        <v>4374</v>
      </c>
    </row>
    <row r="9173" spans="1:7">
      <c r="A9173" t="s">
        <v>4345</v>
      </c>
      <c r="B9173">
        <v>4768097</v>
      </c>
      <c r="G9173" t="s">
        <v>4374</v>
      </c>
    </row>
    <row r="9174" spans="1:7">
      <c r="A9174" t="s">
        <v>4336</v>
      </c>
      <c r="G9174" t="s">
        <v>4374</v>
      </c>
    </row>
    <row r="9175" spans="1:8">
      <c r="A9175" t="s">
        <v>4562</v>
      </c>
      <c r="G9175" t="s">
        <v>4374</v>
      </c>
      <c r="H9175">
        <v>5159097</v>
      </c>
    </row>
    <row r="9176" spans="1:7">
      <c r="A9176" t="s">
        <v>4377</v>
      </c>
      <c r="G9176" t="s">
        <v>4374</v>
      </c>
    </row>
    <row r="9177" spans="1:7">
      <c r="A9177" t="s">
        <v>4085</v>
      </c>
      <c r="B9177">
        <v>4766097</v>
      </c>
      <c r="G9177" t="s">
        <v>4374</v>
      </c>
    </row>
    <row r="9178" spans="1:7">
      <c r="A9178" t="s">
        <v>4376</v>
      </c>
      <c r="G9178" t="s">
        <v>4374</v>
      </c>
    </row>
    <row r="9179" spans="1:7">
      <c r="A9179" t="s">
        <v>4386</v>
      </c>
      <c r="G9179" t="s">
        <v>4374</v>
      </c>
    </row>
    <row r="9180" spans="1:7">
      <c r="A9180" t="s">
        <v>5504</v>
      </c>
      <c r="G9180" t="s">
        <v>4374</v>
      </c>
    </row>
    <row r="9181" spans="1:7">
      <c r="A9181" t="s">
        <v>4110</v>
      </c>
      <c r="G9181" t="s">
        <v>4374</v>
      </c>
    </row>
    <row r="9182" spans="1:7">
      <c r="A9182" t="s">
        <v>4381</v>
      </c>
      <c r="G9182" t="s">
        <v>4374</v>
      </c>
    </row>
    <row r="9183" spans="1:7">
      <c r="A9183" t="s">
        <v>5301</v>
      </c>
      <c r="G9183" t="s">
        <v>5362</v>
      </c>
    </row>
    <row r="9184" spans="1:7">
      <c r="A9184" t="s">
        <v>4361</v>
      </c>
      <c r="G9184" t="s">
        <v>5362</v>
      </c>
    </row>
    <row r="9185" spans="1:7">
      <c r="A9185" t="s">
        <v>5478</v>
      </c>
      <c r="B9185">
        <v>4760097</v>
      </c>
      <c r="G9185" t="s">
        <v>5362</v>
      </c>
    </row>
    <row r="9186" spans="1:7">
      <c r="A9186" t="s">
        <v>5483</v>
      </c>
      <c r="G9186" t="s">
        <v>5362</v>
      </c>
    </row>
    <row r="9187" spans="1:7">
      <c r="A9187" t="s">
        <v>5482</v>
      </c>
      <c r="B9187">
        <v>4776097</v>
      </c>
      <c r="G9187" t="s">
        <v>5362</v>
      </c>
    </row>
    <row r="9188" spans="1:7">
      <c r="A9188" t="s">
        <v>5508</v>
      </c>
      <c r="G9188" t="s">
        <v>5362</v>
      </c>
    </row>
    <row r="9189" spans="1:7">
      <c r="A9189" t="s">
        <v>5525</v>
      </c>
      <c r="G9189" t="s">
        <v>5362</v>
      </c>
    </row>
    <row r="9190" spans="1:7">
      <c r="A9190" t="s">
        <v>5020</v>
      </c>
      <c r="G9190" t="s">
        <v>5362</v>
      </c>
    </row>
    <row r="9191" spans="1:7">
      <c r="A9191" t="s">
        <v>5535</v>
      </c>
      <c r="G9191" t="s">
        <v>5173</v>
      </c>
    </row>
    <row r="9192" spans="1:7">
      <c r="A9192" t="s">
        <v>5162</v>
      </c>
      <c r="G9192" t="s">
        <v>5461</v>
      </c>
    </row>
    <row r="9193" spans="1:7">
      <c r="A9193" t="s">
        <v>5539</v>
      </c>
      <c r="G9193" t="s">
        <v>5461</v>
      </c>
    </row>
    <row r="9194" spans="1:7">
      <c r="A9194" t="s">
        <v>5400</v>
      </c>
      <c r="G9194" t="s">
        <v>5461</v>
      </c>
    </row>
    <row r="9195" spans="1:7">
      <c r="A9195" t="s">
        <v>5136</v>
      </c>
      <c r="G9195" t="s">
        <v>5189</v>
      </c>
    </row>
    <row r="9196" spans="1:7">
      <c r="A9196" t="s">
        <v>4264</v>
      </c>
      <c r="G9196" t="s">
        <v>5189</v>
      </c>
    </row>
    <row r="9197" spans="1:7">
      <c r="A9197" t="s">
        <v>5119</v>
      </c>
      <c r="B9197">
        <v>4775097</v>
      </c>
      <c r="G9197" t="s">
        <v>5189</v>
      </c>
    </row>
    <row r="9198" spans="1:7">
      <c r="A9198" t="s">
        <v>4363</v>
      </c>
      <c r="G9198" t="s">
        <v>5189</v>
      </c>
    </row>
    <row r="9199" spans="1:7">
      <c r="A9199" t="s">
        <v>4358</v>
      </c>
      <c r="G9199" t="s">
        <v>5189</v>
      </c>
    </row>
    <row r="9200" spans="1:7">
      <c r="A9200" t="s">
        <v>4480</v>
      </c>
      <c r="G9200" t="s">
        <v>5189</v>
      </c>
    </row>
    <row r="9201" spans="1:7">
      <c r="A9201" t="s">
        <v>4387</v>
      </c>
      <c r="G9201" t="s">
        <v>5189</v>
      </c>
    </row>
    <row r="9202" spans="1:7">
      <c r="A9202" t="s">
        <v>4381</v>
      </c>
      <c r="G9202" t="s">
        <v>4237</v>
      </c>
    </row>
    <row r="9203" spans="1:7">
      <c r="A9203" t="s">
        <v>5033</v>
      </c>
      <c r="G9203" t="s">
        <v>4237</v>
      </c>
    </row>
    <row r="9204" spans="1:7">
      <c r="A9204" t="s">
        <v>5121</v>
      </c>
      <c r="G9204" t="s">
        <v>4237</v>
      </c>
    </row>
    <row r="9205" spans="1:7">
      <c r="A9205" t="s">
        <v>4356</v>
      </c>
      <c r="G9205" t="s">
        <v>4237</v>
      </c>
    </row>
    <row r="9206" spans="1:8">
      <c r="A9206" t="s">
        <v>4340</v>
      </c>
      <c r="G9206" t="s">
        <v>4237</v>
      </c>
      <c r="H9206">
        <v>5490097</v>
      </c>
    </row>
    <row r="9207" spans="1:7">
      <c r="A9207" t="s">
        <v>5385</v>
      </c>
      <c r="G9207" t="s">
        <v>4237</v>
      </c>
    </row>
    <row r="9208" spans="1:7">
      <c r="A9208" t="s">
        <v>4343</v>
      </c>
      <c r="G9208" t="s">
        <v>4237</v>
      </c>
    </row>
    <row r="9209" spans="1:7">
      <c r="A9209" t="s">
        <v>5489</v>
      </c>
      <c r="G9209" t="s">
        <v>4237</v>
      </c>
    </row>
    <row r="9210" spans="1:7">
      <c r="A9210" t="s">
        <v>5490</v>
      </c>
      <c r="G9210" t="s">
        <v>4237</v>
      </c>
    </row>
    <row r="9211" spans="1:7">
      <c r="A9211" t="s">
        <v>4130</v>
      </c>
      <c r="G9211" t="s">
        <v>4237</v>
      </c>
    </row>
    <row r="9212" spans="1:7">
      <c r="A9212" t="s">
        <v>4960</v>
      </c>
      <c r="G9212" t="s">
        <v>4237</v>
      </c>
    </row>
    <row r="9213" spans="1:7">
      <c r="A9213" t="s">
        <v>4899</v>
      </c>
      <c r="G9213" t="s">
        <v>4237</v>
      </c>
    </row>
    <row r="9214" spans="1:7">
      <c r="A9214" t="s">
        <v>4235</v>
      </c>
      <c r="G9214" t="s">
        <v>4237</v>
      </c>
    </row>
    <row r="9215" spans="1:7">
      <c r="A9215" t="s">
        <v>5522</v>
      </c>
      <c r="G9215" t="s">
        <v>4237</v>
      </c>
    </row>
    <row r="9216" spans="1:7">
      <c r="A9216" t="s">
        <v>4349</v>
      </c>
      <c r="G9216" t="s">
        <v>4237</v>
      </c>
    </row>
    <row r="9217" spans="1:7">
      <c r="A9217" t="s">
        <v>4576</v>
      </c>
      <c r="G9217" t="s">
        <v>4237</v>
      </c>
    </row>
    <row r="9218" spans="1:7">
      <c r="A9218" t="s">
        <v>4354</v>
      </c>
      <c r="G9218" t="s">
        <v>4237</v>
      </c>
    </row>
    <row r="9219" spans="1:7">
      <c r="A9219" t="s">
        <v>4963</v>
      </c>
      <c r="G9219" t="s">
        <v>4237</v>
      </c>
    </row>
    <row r="9220" spans="1:7">
      <c r="A9220" t="s">
        <v>4319</v>
      </c>
      <c r="G9220" t="s">
        <v>4237</v>
      </c>
    </row>
    <row r="9221" spans="1:7">
      <c r="A9221" t="s">
        <v>4362</v>
      </c>
      <c r="B9221">
        <v>4759097</v>
      </c>
      <c r="G9221" t="s">
        <v>4237</v>
      </c>
    </row>
    <row r="9222" spans="1:7">
      <c r="A9222" t="s">
        <v>5498</v>
      </c>
      <c r="G9222" t="s">
        <v>4237</v>
      </c>
    </row>
    <row r="9223" spans="1:7">
      <c r="A9223" t="s">
        <v>4481</v>
      </c>
      <c r="G9223" t="s">
        <v>4237</v>
      </c>
    </row>
    <row r="9224" spans="1:7">
      <c r="A9224" t="s">
        <v>5523</v>
      </c>
      <c r="G9224" t="s">
        <v>4237</v>
      </c>
    </row>
    <row r="9225" spans="1:8">
      <c r="A9225" t="s">
        <v>5487</v>
      </c>
      <c r="B9225">
        <v>4774097</v>
      </c>
      <c r="G9225" t="s">
        <v>4237</v>
      </c>
      <c r="H9225">
        <v>5170097</v>
      </c>
    </row>
    <row r="9226" spans="1:8">
      <c r="A9226" t="s">
        <v>5535</v>
      </c>
      <c r="G9226" t="s">
        <v>4237</v>
      </c>
      <c r="H9226">
        <v>5169097</v>
      </c>
    </row>
    <row r="9227" spans="1:7">
      <c r="A9227" t="s">
        <v>5482</v>
      </c>
      <c r="G9227" t="s">
        <v>4237</v>
      </c>
    </row>
    <row r="9228" spans="1:7">
      <c r="A9228" t="s">
        <v>5525</v>
      </c>
      <c r="G9228" t="s">
        <v>4237</v>
      </c>
    </row>
    <row r="9229" spans="1:8">
      <c r="A9229" t="s">
        <v>5539</v>
      </c>
      <c r="G9229" t="s">
        <v>4237</v>
      </c>
      <c r="H9229">
        <v>5105097</v>
      </c>
    </row>
    <row r="9230" spans="1:7">
      <c r="A9230" t="s">
        <v>5508</v>
      </c>
      <c r="G9230" t="s">
        <v>4237</v>
      </c>
    </row>
    <row r="9231" spans="1:7">
      <c r="A9231" t="s">
        <v>5343</v>
      </c>
      <c r="B9231">
        <v>4773097</v>
      </c>
      <c r="G9231" t="s">
        <v>4237</v>
      </c>
    </row>
    <row r="9232" spans="1:7">
      <c r="A9232" t="s">
        <v>4235</v>
      </c>
      <c r="G9232" t="s">
        <v>4237</v>
      </c>
    </row>
    <row r="9233" spans="1:7">
      <c r="A9233" t="s">
        <v>4813</v>
      </c>
      <c r="G9233" t="s">
        <v>4589</v>
      </c>
    </row>
    <row r="9234" spans="1:7">
      <c r="A9234" t="s">
        <v>5499</v>
      </c>
      <c r="G9234" t="s">
        <v>4589</v>
      </c>
    </row>
    <row r="9235" spans="1:7">
      <c r="A9235" t="s">
        <v>4859</v>
      </c>
      <c r="G9235" t="s">
        <v>4589</v>
      </c>
    </row>
    <row r="9236" spans="1:8">
      <c r="A9236" t="s">
        <v>4736</v>
      </c>
      <c r="G9236" t="s">
        <v>4589</v>
      </c>
      <c r="H9236">
        <v>5392097</v>
      </c>
    </row>
    <row r="9237" spans="1:7">
      <c r="A9237" t="s">
        <v>4553</v>
      </c>
      <c r="G9237" t="s">
        <v>4589</v>
      </c>
    </row>
    <row r="9238" spans="1:7">
      <c r="A9238" t="s">
        <v>5278</v>
      </c>
      <c r="G9238" t="s">
        <v>4589</v>
      </c>
    </row>
    <row r="9239" spans="1:7">
      <c r="A9239" t="s">
        <v>5496</v>
      </c>
      <c r="G9239" t="s">
        <v>4589</v>
      </c>
    </row>
    <row r="9240" spans="1:7">
      <c r="A9240" t="s">
        <v>5166</v>
      </c>
      <c r="G9240" t="s">
        <v>4589</v>
      </c>
    </row>
    <row r="9241" spans="1:8">
      <c r="A9241" t="s">
        <v>5391</v>
      </c>
      <c r="G9241" t="s">
        <v>4589</v>
      </c>
      <c r="H9241">
        <v>5109097</v>
      </c>
    </row>
    <row r="9242" spans="1:7">
      <c r="A9242" t="s">
        <v>5402</v>
      </c>
      <c r="G9242" t="s">
        <v>4589</v>
      </c>
    </row>
    <row r="9243" spans="1:7">
      <c r="A9243" t="s">
        <v>5540</v>
      </c>
      <c r="G9243" t="s">
        <v>4589</v>
      </c>
    </row>
    <row r="9244" spans="1:7">
      <c r="A9244" t="s">
        <v>5161</v>
      </c>
      <c r="G9244" t="s">
        <v>4589</v>
      </c>
    </row>
    <row r="9245" spans="1:7">
      <c r="A9245" t="s">
        <v>5526</v>
      </c>
      <c r="G9245" t="s">
        <v>4589</v>
      </c>
    </row>
    <row r="9246" spans="1:7">
      <c r="A9246" t="s">
        <v>5529</v>
      </c>
      <c r="G9246" t="s">
        <v>4589</v>
      </c>
    </row>
    <row r="9247" spans="1:7">
      <c r="A9247" t="s">
        <v>5241</v>
      </c>
      <c r="G9247" t="s">
        <v>4589</v>
      </c>
    </row>
    <row r="9248" spans="1:7">
      <c r="A9248" t="s">
        <v>5104</v>
      </c>
      <c r="G9248" t="s">
        <v>4589</v>
      </c>
    </row>
    <row r="9249" spans="1:7">
      <c r="A9249" t="s">
        <v>5263</v>
      </c>
      <c r="G9249" t="s">
        <v>4589</v>
      </c>
    </row>
    <row r="9250" spans="1:7">
      <c r="A9250" t="s">
        <v>4203</v>
      </c>
      <c r="G9250" t="s">
        <v>4589</v>
      </c>
    </row>
    <row r="9251" spans="1:7">
      <c r="A9251" t="s">
        <v>5355</v>
      </c>
      <c r="G9251" t="s">
        <v>5537</v>
      </c>
    </row>
    <row r="9252" spans="1:7">
      <c r="A9252" t="s">
        <v>4085</v>
      </c>
      <c r="G9252" t="s">
        <v>5191</v>
      </c>
    </row>
    <row r="9253" spans="1:7">
      <c r="A9253" t="s">
        <v>4643</v>
      </c>
      <c r="G9253" t="s">
        <v>5515</v>
      </c>
    </row>
    <row r="9254" spans="1:7">
      <c r="A9254" t="s">
        <v>4020</v>
      </c>
      <c r="G9254" t="s">
        <v>5515</v>
      </c>
    </row>
    <row r="9255" spans="1:7">
      <c r="A9255" t="s">
        <v>5468</v>
      </c>
      <c r="G9255" t="s">
        <v>5240</v>
      </c>
    </row>
    <row r="9256" spans="1:7">
      <c r="A9256" t="s">
        <v>5503</v>
      </c>
      <c r="B9256">
        <v>4758097</v>
      </c>
      <c r="G9256" t="s">
        <v>5240</v>
      </c>
    </row>
    <row r="9257" spans="1:7">
      <c r="A9257" t="s">
        <v>5520</v>
      </c>
      <c r="G9257" t="s">
        <v>5240</v>
      </c>
    </row>
    <row r="9258" spans="1:7">
      <c r="A9258" t="s">
        <v>4463</v>
      </c>
      <c r="G9258" t="s">
        <v>4999</v>
      </c>
    </row>
    <row r="9259" spans="1:7">
      <c r="A9259" t="s">
        <v>4488</v>
      </c>
      <c r="G9259" t="s">
        <v>4999</v>
      </c>
    </row>
    <row r="9260" spans="1:7">
      <c r="A9260" t="s">
        <v>4659</v>
      </c>
      <c r="G9260" t="s">
        <v>4999</v>
      </c>
    </row>
    <row r="9261" spans="1:7">
      <c r="A9261" t="s">
        <v>4153</v>
      </c>
      <c r="G9261" t="s">
        <v>4999</v>
      </c>
    </row>
    <row r="9262" spans="1:7">
      <c r="A9262" t="s">
        <v>5325</v>
      </c>
      <c r="G9262" t="s">
        <v>4999</v>
      </c>
    </row>
    <row r="9263" spans="1:7">
      <c r="A9263" t="s">
        <v>5156</v>
      </c>
      <c r="G9263" t="s">
        <v>4999</v>
      </c>
    </row>
    <row r="9264" spans="1:7">
      <c r="A9264" t="s">
        <v>4304</v>
      </c>
      <c r="B9264">
        <v>4769097</v>
      </c>
      <c r="G9264" t="s">
        <v>4999</v>
      </c>
    </row>
    <row r="9265" spans="1:7">
      <c r="A9265" t="s">
        <v>4243</v>
      </c>
      <c r="G9265" t="s">
        <v>4718</v>
      </c>
    </row>
    <row r="9266" spans="1:7">
      <c r="A9266" t="s">
        <v>4313</v>
      </c>
      <c r="G9266" t="s">
        <v>4718</v>
      </c>
    </row>
    <row r="9267" spans="1:7">
      <c r="A9267" t="s">
        <v>5002</v>
      </c>
      <c r="G9267" t="s">
        <v>5196</v>
      </c>
    </row>
    <row r="9268" spans="1:7">
      <c r="A9268" t="s">
        <v>4324</v>
      </c>
      <c r="G9268" t="s">
        <v>5084</v>
      </c>
    </row>
    <row r="9269" spans="1:7">
      <c r="A9269" t="s">
        <v>4996</v>
      </c>
      <c r="G9269" t="s">
        <v>5084</v>
      </c>
    </row>
    <row r="9270" spans="1:7">
      <c r="A9270" t="s">
        <v>4844</v>
      </c>
      <c r="G9270" t="s">
        <v>5084</v>
      </c>
    </row>
    <row r="9271" spans="1:7">
      <c r="A9271" t="s">
        <v>3976</v>
      </c>
      <c r="G9271" t="s">
        <v>5330</v>
      </c>
    </row>
    <row r="9272" spans="1:7">
      <c r="A9272" t="s">
        <v>3987</v>
      </c>
      <c r="G9272" t="s">
        <v>5419</v>
      </c>
    </row>
    <row r="9273" spans="1:7">
      <c r="A9273" t="s">
        <v>4459</v>
      </c>
      <c r="G9273" t="s">
        <v>5419</v>
      </c>
    </row>
    <row r="9274" spans="1:8">
      <c r="A9274" t="s">
        <v>4736</v>
      </c>
      <c r="G9274" t="s">
        <v>5419</v>
      </c>
      <c r="H9274">
        <v>4941097</v>
      </c>
    </row>
    <row r="9275" spans="1:7">
      <c r="A9275" t="s">
        <v>4072</v>
      </c>
      <c r="G9275" t="s">
        <v>5419</v>
      </c>
    </row>
    <row r="9276" spans="1:7">
      <c r="A9276" t="s">
        <v>4310</v>
      </c>
      <c r="G9276" t="s">
        <v>5419</v>
      </c>
    </row>
    <row r="9277" spans="1:7">
      <c r="A9277" t="s">
        <v>5227</v>
      </c>
      <c r="G9277" t="s">
        <v>5419</v>
      </c>
    </row>
    <row r="9278" spans="1:7">
      <c r="A9278" t="s">
        <v>5103</v>
      </c>
      <c r="G9278" t="s">
        <v>5419</v>
      </c>
    </row>
    <row r="9279" spans="1:7">
      <c r="A9279" t="s">
        <v>4314</v>
      </c>
      <c r="G9279" t="s">
        <v>5500</v>
      </c>
    </row>
    <row r="9280" spans="1:7">
      <c r="A9280" t="s">
        <v>5243</v>
      </c>
      <c r="G9280" t="s">
        <v>4104</v>
      </c>
    </row>
    <row r="9281" spans="1:7">
      <c r="A9281" t="s">
        <v>5379</v>
      </c>
      <c r="G9281" t="s">
        <v>4104</v>
      </c>
    </row>
    <row r="9282" spans="1:7">
      <c r="A9282" t="s">
        <v>4006</v>
      </c>
      <c r="G9282" t="s">
        <v>4104</v>
      </c>
    </row>
    <row r="9283" spans="1:7">
      <c r="A9283" t="s">
        <v>5104</v>
      </c>
      <c r="G9283" t="s">
        <v>4104</v>
      </c>
    </row>
    <row r="9284" spans="1:7">
      <c r="A9284" t="s">
        <v>4004</v>
      </c>
      <c r="G9284" t="s">
        <v>4104</v>
      </c>
    </row>
    <row r="9285" spans="1:7">
      <c r="A9285" t="s">
        <v>4872</v>
      </c>
      <c r="G9285" t="s">
        <v>4104</v>
      </c>
    </row>
    <row r="9286" spans="1:8">
      <c r="A9286" t="s">
        <v>4506</v>
      </c>
      <c r="G9286" t="s">
        <v>4104</v>
      </c>
      <c r="H9286">
        <v>5508097</v>
      </c>
    </row>
    <row r="9287" spans="1:7">
      <c r="A9287" t="s">
        <v>3977</v>
      </c>
      <c r="G9287" t="s">
        <v>4104</v>
      </c>
    </row>
    <row r="9288" spans="1:7">
      <c r="A9288" t="s">
        <v>4253</v>
      </c>
      <c r="B9288">
        <v>4757097</v>
      </c>
      <c r="G9288" t="s">
        <v>4104</v>
      </c>
    </row>
    <row r="9289" spans="1:7">
      <c r="A9289" t="s">
        <v>4039</v>
      </c>
      <c r="G9289" t="s">
        <v>4104</v>
      </c>
    </row>
    <row r="9290" spans="1:7">
      <c r="A9290" t="s">
        <v>5121</v>
      </c>
      <c r="G9290" t="s">
        <v>4104</v>
      </c>
    </row>
    <row r="9291" spans="1:7">
      <c r="A9291" t="s">
        <v>5223</v>
      </c>
      <c r="G9291" t="s">
        <v>4104</v>
      </c>
    </row>
    <row r="9292" spans="1:7">
      <c r="A9292" t="s">
        <v>4580</v>
      </c>
      <c r="G9292" t="s">
        <v>4104</v>
      </c>
    </row>
    <row r="9293" spans="1:7">
      <c r="A9293" t="s">
        <v>4027</v>
      </c>
      <c r="G9293" t="s">
        <v>4104</v>
      </c>
    </row>
    <row r="9294" spans="1:7">
      <c r="A9294" t="s">
        <v>4215</v>
      </c>
      <c r="G9294" t="s">
        <v>4837</v>
      </c>
    </row>
    <row r="9295" spans="1:7">
      <c r="A9295" t="s">
        <v>5391</v>
      </c>
      <c r="G9295" t="s">
        <v>4382</v>
      </c>
    </row>
    <row r="9296" spans="1:7">
      <c r="A9296" t="s">
        <v>4840</v>
      </c>
      <c r="G9296" t="s">
        <v>4382</v>
      </c>
    </row>
    <row r="9297" spans="1:7">
      <c r="A9297" t="s">
        <v>5225</v>
      </c>
      <c r="G9297" t="s">
        <v>4382</v>
      </c>
    </row>
    <row r="9298" spans="1:7">
      <c r="A9298" t="s">
        <v>4305</v>
      </c>
      <c r="G9298" t="s">
        <v>4382</v>
      </c>
    </row>
    <row r="9299" spans="1:7">
      <c r="A9299" t="s">
        <v>4038</v>
      </c>
      <c r="G9299" t="s">
        <v>4382</v>
      </c>
    </row>
    <row r="9300" spans="1:7">
      <c r="A9300" t="s">
        <v>4289</v>
      </c>
      <c r="G9300" t="s">
        <v>4382</v>
      </c>
    </row>
    <row r="9301" spans="1:8">
      <c r="A9301" t="s">
        <v>4458</v>
      </c>
      <c r="G9301" t="s">
        <v>4382</v>
      </c>
      <c r="H9301">
        <v>5043097</v>
      </c>
    </row>
    <row r="9302" spans="1:8">
      <c r="A9302" t="s">
        <v>4317</v>
      </c>
      <c r="G9302" t="s">
        <v>4382</v>
      </c>
      <c r="H9302">
        <v>5042097</v>
      </c>
    </row>
    <row r="9303" spans="1:7">
      <c r="A9303" t="s">
        <v>4326</v>
      </c>
      <c r="B9303">
        <v>4768097</v>
      </c>
      <c r="G9303" t="s">
        <v>4382</v>
      </c>
    </row>
    <row r="9304" spans="1:7">
      <c r="A9304" t="s">
        <v>4028</v>
      </c>
      <c r="G9304" t="s">
        <v>4382</v>
      </c>
    </row>
    <row r="9305" spans="1:7">
      <c r="A9305" t="s">
        <v>4432</v>
      </c>
      <c r="G9305" t="s">
        <v>4382</v>
      </c>
    </row>
    <row r="9306" spans="1:7">
      <c r="A9306" t="s">
        <v>5020</v>
      </c>
      <c r="G9306" t="s">
        <v>4382</v>
      </c>
    </row>
    <row r="9307" spans="1:7">
      <c r="A9307" t="s">
        <v>4326</v>
      </c>
      <c r="B9307">
        <v>4766097</v>
      </c>
      <c r="G9307" t="s">
        <v>4382</v>
      </c>
    </row>
    <row r="9308" spans="1:7">
      <c r="A9308" t="s">
        <v>5465</v>
      </c>
      <c r="G9308" t="s">
        <v>4382</v>
      </c>
    </row>
    <row r="9309" spans="1:7">
      <c r="A9309" t="s">
        <v>4786</v>
      </c>
      <c r="G9309" t="s">
        <v>4382</v>
      </c>
    </row>
    <row r="9310" spans="1:7">
      <c r="A9310" t="s">
        <v>4115</v>
      </c>
      <c r="G9310" t="s">
        <v>4382</v>
      </c>
    </row>
    <row r="9311" spans="1:7">
      <c r="A9311" t="s">
        <v>5104</v>
      </c>
      <c r="G9311" t="s">
        <v>4382</v>
      </c>
    </row>
    <row r="9312" spans="1:7">
      <c r="A9312" t="s">
        <v>4813</v>
      </c>
      <c r="G9312" t="s">
        <v>4382</v>
      </c>
    </row>
    <row r="9313" spans="1:7">
      <c r="A9313" t="s">
        <v>5105</v>
      </c>
      <c r="G9313" t="s">
        <v>4382</v>
      </c>
    </row>
    <row r="9314" spans="1:8">
      <c r="A9314" t="s">
        <v>4784</v>
      </c>
      <c r="G9314" t="s">
        <v>4382</v>
      </c>
      <c r="H9314">
        <v>4864097</v>
      </c>
    </row>
    <row r="9315" spans="1:7">
      <c r="A9315" t="s">
        <v>4378</v>
      </c>
      <c r="B9315">
        <v>4760097</v>
      </c>
      <c r="G9315" t="s">
        <v>4382</v>
      </c>
    </row>
    <row r="9316" spans="1:7">
      <c r="A9316" t="s">
        <v>4363</v>
      </c>
      <c r="G9316" t="s">
        <v>4382</v>
      </c>
    </row>
    <row r="9317" spans="1:7">
      <c r="A9317" t="s">
        <v>4376</v>
      </c>
      <c r="G9317" t="s">
        <v>4382</v>
      </c>
    </row>
    <row r="9318" spans="1:7">
      <c r="A9318" t="s">
        <v>4385</v>
      </c>
      <c r="G9318" t="s">
        <v>4382</v>
      </c>
    </row>
    <row r="9319" spans="1:7">
      <c r="A9319" t="s">
        <v>4362</v>
      </c>
      <c r="G9319" t="s">
        <v>4382</v>
      </c>
    </row>
    <row r="9320" spans="1:7">
      <c r="A9320" t="s">
        <v>4387</v>
      </c>
      <c r="G9320" t="s">
        <v>4382</v>
      </c>
    </row>
    <row r="9321" spans="1:7">
      <c r="A9321" t="s">
        <v>4358</v>
      </c>
      <c r="G9321" t="s">
        <v>4382</v>
      </c>
    </row>
    <row r="9322" spans="1:7">
      <c r="A9322" t="s">
        <v>5121</v>
      </c>
      <c r="B9322">
        <v>4756097</v>
      </c>
      <c r="G9322" t="s">
        <v>4382</v>
      </c>
    </row>
    <row r="9323" spans="1:8">
      <c r="A9323" t="s">
        <v>4632</v>
      </c>
      <c r="G9323" t="s">
        <v>4382</v>
      </c>
      <c r="H9323">
        <v>4856097</v>
      </c>
    </row>
    <row r="9324" spans="1:7">
      <c r="A9324" t="s">
        <v>5049</v>
      </c>
      <c r="G9324" t="s">
        <v>4382</v>
      </c>
    </row>
    <row r="9325" spans="1:7">
      <c r="A9325" t="s">
        <v>5504</v>
      </c>
      <c r="G9325" t="s">
        <v>4382</v>
      </c>
    </row>
    <row r="9326" spans="1:8">
      <c r="A9326" t="s">
        <v>4356</v>
      </c>
      <c r="G9326" t="s">
        <v>4382</v>
      </c>
      <c r="H9326">
        <v>4850097</v>
      </c>
    </row>
    <row r="9327" spans="1:7">
      <c r="A9327" t="s">
        <v>4110</v>
      </c>
      <c r="G9327" t="s">
        <v>4382</v>
      </c>
    </row>
    <row r="9328" spans="1:8">
      <c r="A9328" t="s">
        <v>4391</v>
      </c>
      <c r="G9328" t="s">
        <v>4382</v>
      </c>
      <c r="H9328">
        <v>4846097</v>
      </c>
    </row>
    <row r="9329" spans="1:7">
      <c r="A9329" t="s">
        <v>4384</v>
      </c>
      <c r="G9329" t="s">
        <v>4382</v>
      </c>
    </row>
    <row r="9330" spans="1:7">
      <c r="A9330" t="s">
        <v>5282</v>
      </c>
      <c r="G9330" t="s">
        <v>4382</v>
      </c>
    </row>
    <row r="9331" spans="1:7">
      <c r="A9331" t="s">
        <v>4364</v>
      </c>
      <c r="G9331" t="s">
        <v>4382</v>
      </c>
    </row>
    <row r="9332" spans="1:7">
      <c r="A9332" t="s">
        <v>5396</v>
      </c>
      <c r="G9332" t="s">
        <v>4382</v>
      </c>
    </row>
    <row r="9333" spans="1:7">
      <c r="A9333" t="s">
        <v>4480</v>
      </c>
      <c r="G9333" t="s">
        <v>4382</v>
      </c>
    </row>
    <row r="9334" spans="1:7">
      <c r="A9334" t="s">
        <v>5512</v>
      </c>
      <c r="G9334" t="s">
        <v>4382</v>
      </c>
    </row>
    <row r="9335" spans="1:7">
      <c r="A9335" t="s">
        <v>5351</v>
      </c>
      <c r="G9335" t="s">
        <v>4382</v>
      </c>
    </row>
    <row r="9336" spans="1:7">
      <c r="A9336" t="s">
        <v>5301</v>
      </c>
      <c r="G9336" t="s">
        <v>4382</v>
      </c>
    </row>
    <row r="9337" spans="1:7">
      <c r="A9337" t="s">
        <v>4361</v>
      </c>
      <c r="G9337" t="s">
        <v>4382</v>
      </c>
    </row>
    <row r="9338" spans="1:7">
      <c r="A9338" t="s">
        <v>4382</v>
      </c>
      <c r="G9338" t="s">
        <v>4382</v>
      </c>
    </row>
    <row r="9339" spans="1:7">
      <c r="A9339" t="s">
        <v>4377</v>
      </c>
      <c r="G9339" t="s">
        <v>4382</v>
      </c>
    </row>
    <row r="9340" spans="1:8">
      <c r="A9340" t="s">
        <v>5033</v>
      </c>
      <c r="G9340" t="s">
        <v>4382</v>
      </c>
      <c r="H9340">
        <v>4780097</v>
      </c>
    </row>
    <row r="9341" spans="1:8">
      <c r="A9341" t="s">
        <v>4345</v>
      </c>
      <c r="G9341" t="s">
        <v>4382</v>
      </c>
      <c r="H9341">
        <v>4779097</v>
      </c>
    </row>
    <row r="9342" spans="1:7">
      <c r="A9342" t="s">
        <v>4386</v>
      </c>
      <c r="G9342" t="s">
        <v>4382</v>
      </c>
    </row>
    <row r="9343" spans="1:7">
      <c r="A9343" t="s">
        <v>4338</v>
      </c>
      <c r="G9343" t="s">
        <v>4382</v>
      </c>
    </row>
    <row r="9344" spans="1:7">
      <c r="A9344" t="s">
        <v>4381</v>
      </c>
      <c r="G9344" t="s">
        <v>4382</v>
      </c>
    </row>
    <row r="9345" spans="1:7">
      <c r="A9345" t="s">
        <v>4352</v>
      </c>
      <c r="G9345" t="s">
        <v>4382</v>
      </c>
    </row>
    <row r="9346" spans="1:7">
      <c r="A9346" t="s">
        <v>4302</v>
      </c>
      <c r="G9346" t="s">
        <v>4382</v>
      </c>
    </row>
    <row r="9347" spans="1:7">
      <c r="A9347" t="s">
        <v>4342</v>
      </c>
      <c r="G9347" t="s">
        <v>4382</v>
      </c>
    </row>
    <row r="9348" spans="1:7">
      <c r="A9348" t="s">
        <v>4388</v>
      </c>
      <c r="G9348" t="s">
        <v>4820</v>
      </c>
    </row>
    <row r="9349" spans="1:7">
      <c r="A9349" t="s">
        <v>4336</v>
      </c>
      <c r="G9349" t="s">
        <v>4820</v>
      </c>
    </row>
    <row r="9350" spans="1:7">
      <c r="A9350" t="s">
        <v>4955</v>
      </c>
      <c r="G9350" t="s">
        <v>4820</v>
      </c>
    </row>
    <row r="9351" spans="1:7">
      <c r="A9351" t="s">
        <v>4378</v>
      </c>
      <c r="B9351">
        <v>4759097</v>
      </c>
      <c r="G9351" t="s">
        <v>4820</v>
      </c>
    </row>
    <row r="9352" spans="1:7">
      <c r="A9352" t="s">
        <v>4385</v>
      </c>
      <c r="G9352" t="s">
        <v>4820</v>
      </c>
    </row>
    <row r="9353" spans="1:7">
      <c r="A9353" t="s">
        <v>4387</v>
      </c>
      <c r="G9353" t="s">
        <v>4820</v>
      </c>
    </row>
    <row r="9354" spans="1:7">
      <c r="A9354" t="s">
        <v>4356</v>
      </c>
      <c r="G9354" t="s">
        <v>4820</v>
      </c>
    </row>
    <row r="9355" spans="1:7">
      <c r="A9355" t="s">
        <v>4480</v>
      </c>
      <c r="G9355" t="s">
        <v>4820</v>
      </c>
    </row>
    <row r="9356" spans="1:7">
      <c r="A9356" t="s">
        <v>4358</v>
      </c>
      <c r="B9356">
        <v>4755097</v>
      </c>
      <c r="G9356" t="s">
        <v>4820</v>
      </c>
    </row>
    <row r="9357" spans="1:7">
      <c r="A9357" t="s">
        <v>4110</v>
      </c>
      <c r="G9357" t="s">
        <v>4820</v>
      </c>
    </row>
    <row r="9358" spans="1:7">
      <c r="A9358" t="s">
        <v>5504</v>
      </c>
      <c r="G9358" t="s">
        <v>4820</v>
      </c>
    </row>
    <row r="9359" spans="1:7">
      <c r="A9359" t="s">
        <v>4363</v>
      </c>
      <c r="G9359" t="s">
        <v>4820</v>
      </c>
    </row>
    <row r="9360" spans="1:7">
      <c r="A9360" t="s">
        <v>5121</v>
      </c>
      <c r="G9360" t="s">
        <v>4820</v>
      </c>
    </row>
    <row r="9361" spans="1:7">
      <c r="A9361" t="s">
        <v>4376</v>
      </c>
      <c r="G9361" t="s">
        <v>4820</v>
      </c>
    </row>
    <row r="9362" spans="1:7">
      <c r="A9362" t="s">
        <v>4632</v>
      </c>
      <c r="G9362" t="s">
        <v>4820</v>
      </c>
    </row>
    <row r="9363" spans="1:7">
      <c r="A9363" t="s">
        <v>4391</v>
      </c>
      <c r="G9363" t="s">
        <v>4820</v>
      </c>
    </row>
    <row r="9364" spans="1:7">
      <c r="A9364" t="s">
        <v>4384</v>
      </c>
      <c r="G9364" t="s">
        <v>4820</v>
      </c>
    </row>
    <row r="9365" spans="1:7">
      <c r="A9365" t="s">
        <v>4354</v>
      </c>
      <c r="G9365" t="s">
        <v>4820</v>
      </c>
    </row>
    <row r="9366" spans="1:8">
      <c r="A9366" t="s">
        <v>5396</v>
      </c>
      <c r="G9366" t="s">
        <v>4820</v>
      </c>
      <c r="H9366">
        <v>5346097</v>
      </c>
    </row>
    <row r="9367" spans="1:7">
      <c r="A9367" t="s">
        <v>4960</v>
      </c>
      <c r="G9367" t="s">
        <v>4820</v>
      </c>
    </row>
    <row r="9368" spans="1:7">
      <c r="A9368" t="s">
        <v>4955</v>
      </c>
      <c r="G9368" t="s">
        <v>4820</v>
      </c>
    </row>
    <row r="9369" spans="1:7">
      <c r="A9369" t="s">
        <v>4381</v>
      </c>
      <c r="G9369" t="s">
        <v>4820</v>
      </c>
    </row>
    <row r="9370" spans="1:8">
      <c r="A9370" t="s">
        <v>5512</v>
      </c>
      <c r="G9370" t="s">
        <v>4820</v>
      </c>
      <c r="H9370">
        <v>5334097</v>
      </c>
    </row>
    <row r="9371" spans="1:7">
      <c r="A9371" t="s">
        <v>5351</v>
      </c>
      <c r="G9371" t="s">
        <v>4820</v>
      </c>
    </row>
    <row r="9372" spans="1:7">
      <c r="A9372" t="s">
        <v>4336</v>
      </c>
      <c r="G9372" t="s">
        <v>4820</v>
      </c>
    </row>
    <row r="9373" spans="1:7">
      <c r="A9373" t="s">
        <v>4345</v>
      </c>
      <c r="G9373" t="s">
        <v>4820</v>
      </c>
    </row>
    <row r="9374" spans="1:7">
      <c r="A9374" t="s">
        <v>4338</v>
      </c>
      <c r="G9374" t="s">
        <v>4820</v>
      </c>
    </row>
    <row r="9375" spans="1:7">
      <c r="A9375" t="s">
        <v>4388</v>
      </c>
      <c r="G9375" t="s">
        <v>4820</v>
      </c>
    </row>
    <row r="9376" spans="1:7">
      <c r="A9376" t="s">
        <v>4382</v>
      </c>
      <c r="G9376" t="s">
        <v>4820</v>
      </c>
    </row>
    <row r="9377" spans="1:7">
      <c r="A9377" t="s">
        <v>4342</v>
      </c>
      <c r="G9377" t="s">
        <v>4820</v>
      </c>
    </row>
    <row r="9378" spans="1:7">
      <c r="A9378" t="s">
        <v>4377</v>
      </c>
      <c r="G9378" t="s">
        <v>4820</v>
      </c>
    </row>
    <row r="9379" spans="1:7">
      <c r="A9379" t="s">
        <v>5033</v>
      </c>
      <c r="B9379">
        <v>4745097</v>
      </c>
      <c r="G9379" t="s">
        <v>4820</v>
      </c>
    </row>
    <row r="9380" spans="1:7">
      <c r="A9380" t="s">
        <v>4361</v>
      </c>
      <c r="G9380" t="s">
        <v>4820</v>
      </c>
    </row>
    <row r="9381" spans="1:7">
      <c r="A9381" t="s">
        <v>5301</v>
      </c>
      <c r="G9381" t="s">
        <v>4820</v>
      </c>
    </row>
    <row r="9382" spans="1:7">
      <c r="A9382" t="s">
        <v>4302</v>
      </c>
      <c r="G9382" t="s">
        <v>4820</v>
      </c>
    </row>
    <row r="9383" spans="1:7">
      <c r="A9383" t="s">
        <v>4386</v>
      </c>
      <c r="G9383" t="s">
        <v>4820</v>
      </c>
    </row>
    <row r="9384" spans="1:7">
      <c r="A9384" t="s">
        <v>4362</v>
      </c>
      <c r="G9384" t="s">
        <v>4820</v>
      </c>
    </row>
    <row r="9385" spans="1:7">
      <c r="A9385" t="s">
        <v>4352</v>
      </c>
      <c r="G9385" t="s">
        <v>4820</v>
      </c>
    </row>
    <row r="9386" spans="1:7">
      <c r="A9386" t="s">
        <v>4377</v>
      </c>
      <c r="B9386">
        <v>4758097</v>
      </c>
      <c r="G9386" t="s">
        <v>4820</v>
      </c>
    </row>
    <row r="9387" spans="1:7">
      <c r="A9387" t="s">
        <v>4387</v>
      </c>
      <c r="G9387" t="s">
        <v>4355</v>
      </c>
    </row>
    <row r="9388" spans="1:7">
      <c r="A9388" t="s">
        <v>4480</v>
      </c>
      <c r="G9388" t="s">
        <v>4355</v>
      </c>
    </row>
    <row r="9389" spans="1:7">
      <c r="A9389" t="s">
        <v>4363</v>
      </c>
      <c r="G9389" t="s">
        <v>4355</v>
      </c>
    </row>
    <row r="9390" spans="1:7">
      <c r="A9390" t="s">
        <v>5504</v>
      </c>
      <c r="G9390" t="s">
        <v>4355</v>
      </c>
    </row>
    <row r="9391" spans="1:7">
      <c r="A9391" t="s">
        <v>4110</v>
      </c>
      <c r="G9391" t="s">
        <v>4551</v>
      </c>
    </row>
    <row r="9392" spans="1:7">
      <c r="A9392" t="s">
        <v>4362</v>
      </c>
      <c r="B9392">
        <v>4742097</v>
      </c>
      <c r="G9392" t="s">
        <v>4551</v>
      </c>
    </row>
    <row r="9393" spans="1:7">
      <c r="A9393" t="s">
        <v>5121</v>
      </c>
      <c r="G9393" t="s">
        <v>4646</v>
      </c>
    </row>
    <row r="9394" spans="1:7">
      <c r="A9394" t="s">
        <v>4376</v>
      </c>
      <c r="G9394" t="s">
        <v>4646</v>
      </c>
    </row>
    <row r="9395" spans="1:7">
      <c r="A9395" t="s">
        <v>4356</v>
      </c>
      <c r="G9395" t="s">
        <v>4663</v>
      </c>
    </row>
    <row r="9396" spans="1:7">
      <c r="A9396" t="s">
        <v>4385</v>
      </c>
      <c r="G9396" t="s">
        <v>4663</v>
      </c>
    </row>
    <row r="9397" spans="1:7">
      <c r="A9397" t="s">
        <v>4384</v>
      </c>
      <c r="G9397" t="s">
        <v>4663</v>
      </c>
    </row>
    <row r="9398" spans="1:7">
      <c r="A9398" t="s">
        <v>4354</v>
      </c>
      <c r="G9398" t="s">
        <v>4242</v>
      </c>
    </row>
    <row r="9399" spans="1:7">
      <c r="A9399" t="s">
        <v>4955</v>
      </c>
      <c r="G9399" t="s">
        <v>4242</v>
      </c>
    </row>
    <row r="9400" spans="1:7">
      <c r="A9400" t="s">
        <v>5512</v>
      </c>
      <c r="G9400" t="s">
        <v>4242</v>
      </c>
    </row>
    <row r="9401" spans="1:7">
      <c r="A9401" t="s">
        <v>5301</v>
      </c>
      <c r="B9401">
        <v>4741097</v>
      </c>
      <c r="G9401" t="s">
        <v>4242</v>
      </c>
    </row>
    <row r="9402" spans="1:7">
      <c r="A9402" t="s">
        <v>4358</v>
      </c>
      <c r="G9402" t="s">
        <v>4270</v>
      </c>
    </row>
    <row r="9403" spans="1:7">
      <c r="A9403" t="s">
        <v>4345</v>
      </c>
      <c r="G9403" t="s">
        <v>4270</v>
      </c>
    </row>
    <row r="9404" spans="1:7">
      <c r="A9404" t="s">
        <v>4336</v>
      </c>
      <c r="G9404" t="s">
        <v>4270</v>
      </c>
    </row>
    <row r="9405" spans="1:7">
      <c r="A9405" t="s">
        <v>4342</v>
      </c>
      <c r="G9405" t="s">
        <v>4085</v>
      </c>
    </row>
    <row r="9406" spans="1:7">
      <c r="A9406" t="s">
        <v>4632</v>
      </c>
      <c r="G9406" t="s">
        <v>4085</v>
      </c>
    </row>
    <row r="9407" spans="1:7">
      <c r="A9407" t="s">
        <v>4382</v>
      </c>
      <c r="G9407" t="s">
        <v>4085</v>
      </c>
    </row>
    <row r="9408" spans="1:7">
      <c r="A9408" t="s">
        <v>4391</v>
      </c>
      <c r="G9408" t="s">
        <v>4085</v>
      </c>
    </row>
    <row r="9409" spans="1:7">
      <c r="A9409" t="s">
        <v>4378</v>
      </c>
      <c r="G9409" t="s">
        <v>4085</v>
      </c>
    </row>
    <row r="9410" spans="1:7">
      <c r="A9410" t="s">
        <v>4338</v>
      </c>
      <c r="G9410" t="s">
        <v>4085</v>
      </c>
    </row>
    <row r="9411" spans="1:7">
      <c r="A9411" t="s">
        <v>4361</v>
      </c>
      <c r="G9411" t="s">
        <v>4085</v>
      </c>
    </row>
    <row r="9412" spans="1:7">
      <c r="A9412" t="s">
        <v>5351</v>
      </c>
      <c r="G9412" t="s">
        <v>4085</v>
      </c>
    </row>
    <row r="9413" spans="1:7">
      <c r="A9413" t="s">
        <v>4352</v>
      </c>
      <c r="G9413" t="s">
        <v>4085</v>
      </c>
    </row>
    <row r="9414" spans="1:7">
      <c r="A9414" t="s">
        <v>4386</v>
      </c>
      <c r="G9414" t="s">
        <v>4085</v>
      </c>
    </row>
    <row r="9415" spans="1:7">
      <c r="A9415" t="s">
        <v>5033</v>
      </c>
      <c r="G9415" t="s">
        <v>4085</v>
      </c>
    </row>
    <row r="9416" spans="1:7">
      <c r="A9416" t="s">
        <v>4381</v>
      </c>
      <c r="G9416" t="s">
        <v>4085</v>
      </c>
    </row>
    <row r="9417" spans="1:7">
      <c r="A9417" t="s">
        <v>4388</v>
      </c>
      <c r="G9417" t="s">
        <v>4085</v>
      </c>
    </row>
    <row r="9418" spans="1:7">
      <c r="A9418" t="s">
        <v>4378</v>
      </c>
      <c r="B9418">
        <v>4757097</v>
      </c>
      <c r="G9418" t="s">
        <v>4085</v>
      </c>
    </row>
    <row r="9419" spans="1:7">
      <c r="A9419" t="s">
        <v>4376</v>
      </c>
      <c r="G9419" t="s">
        <v>4085</v>
      </c>
    </row>
    <row r="9420" spans="1:7">
      <c r="A9420" t="s">
        <v>5504</v>
      </c>
      <c r="G9420" t="s">
        <v>4085</v>
      </c>
    </row>
    <row r="9421" spans="1:7">
      <c r="A9421" t="s">
        <v>4385</v>
      </c>
      <c r="G9421" t="s">
        <v>4085</v>
      </c>
    </row>
    <row r="9422" spans="1:7">
      <c r="A9422" t="s">
        <v>4387</v>
      </c>
      <c r="G9422" t="s">
        <v>4085</v>
      </c>
    </row>
    <row r="9423" spans="1:7">
      <c r="A9423" t="s">
        <v>5049</v>
      </c>
      <c r="G9423" t="s">
        <v>4085</v>
      </c>
    </row>
    <row r="9424" spans="1:7">
      <c r="A9424" t="s">
        <v>4362</v>
      </c>
      <c r="G9424" t="s">
        <v>4085</v>
      </c>
    </row>
    <row r="9425" spans="1:7">
      <c r="A9425" t="s">
        <v>4480</v>
      </c>
      <c r="G9425" t="s">
        <v>4085</v>
      </c>
    </row>
    <row r="9426" spans="1:7">
      <c r="A9426" t="s">
        <v>4110</v>
      </c>
      <c r="G9426" t="s">
        <v>4085</v>
      </c>
    </row>
    <row r="9427" spans="1:7">
      <c r="A9427" t="s">
        <v>4356</v>
      </c>
      <c r="G9427" t="s">
        <v>4085</v>
      </c>
    </row>
    <row r="9428" spans="1:7">
      <c r="A9428" t="s">
        <v>5121</v>
      </c>
      <c r="G9428" t="s">
        <v>4085</v>
      </c>
    </row>
    <row r="9429" spans="1:7">
      <c r="A9429" t="s">
        <v>4363</v>
      </c>
      <c r="B9429">
        <v>4730097</v>
      </c>
      <c r="G9429" t="s">
        <v>4085</v>
      </c>
    </row>
    <row r="9430" spans="1:7">
      <c r="A9430" t="s">
        <v>4384</v>
      </c>
      <c r="G9430" t="s">
        <v>4085</v>
      </c>
    </row>
    <row r="9431" spans="1:7">
      <c r="A9431" t="s">
        <v>4354</v>
      </c>
      <c r="G9431" t="s">
        <v>4085</v>
      </c>
    </row>
    <row r="9432" spans="1:7">
      <c r="A9432" t="s">
        <v>4955</v>
      </c>
      <c r="G9432" t="s">
        <v>4085</v>
      </c>
    </row>
    <row r="9433" spans="1:7">
      <c r="A9433" t="s">
        <v>5512</v>
      </c>
      <c r="G9433" t="s">
        <v>4085</v>
      </c>
    </row>
    <row r="9434" spans="1:7">
      <c r="A9434" t="s">
        <v>5033</v>
      </c>
      <c r="G9434" t="s">
        <v>4085</v>
      </c>
    </row>
    <row r="9435" spans="1:7">
      <c r="A9435" t="s">
        <v>4358</v>
      </c>
      <c r="G9435" t="s">
        <v>4085</v>
      </c>
    </row>
    <row r="9436" spans="1:7">
      <c r="A9436" t="s">
        <v>4382</v>
      </c>
      <c r="G9436" t="s">
        <v>4085</v>
      </c>
    </row>
    <row r="9437" spans="1:7">
      <c r="A9437" t="s">
        <v>4391</v>
      </c>
      <c r="G9437" t="s">
        <v>4085</v>
      </c>
    </row>
    <row r="9438" spans="1:7">
      <c r="A9438" t="s">
        <v>4352</v>
      </c>
      <c r="G9438" t="s">
        <v>4085</v>
      </c>
    </row>
    <row r="9439" spans="1:7">
      <c r="A9439" t="s">
        <v>4342</v>
      </c>
      <c r="G9439" t="s">
        <v>4085</v>
      </c>
    </row>
    <row r="9440" spans="1:7">
      <c r="A9440" t="s">
        <v>4632</v>
      </c>
      <c r="G9440" t="s">
        <v>4085</v>
      </c>
    </row>
    <row r="9441" spans="1:7">
      <c r="A9441" t="s">
        <v>4388</v>
      </c>
      <c r="B9441">
        <v>4728097</v>
      </c>
      <c r="G9441" t="s">
        <v>4085</v>
      </c>
    </row>
    <row r="9442" spans="1:7">
      <c r="A9442" t="s">
        <v>4336</v>
      </c>
      <c r="G9442" t="s">
        <v>4085</v>
      </c>
    </row>
    <row r="9443" spans="1:7">
      <c r="A9443" t="s">
        <v>4338</v>
      </c>
      <c r="G9443" t="s">
        <v>4085</v>
      </c>
    </row>
    <row r="9444" spans="1:7">
      <c r="A9444" t="s">
        <v>4345</v>
      </c>
      <c r="G9444" t="s">
        <v>4085</v>
      </c>
    </row>
    <row r="9445" spans="1:7">
      <c r="A9445" t="s">
        <v>4361</v>
      </c>
      <c r="G9445" t="s">
        <v>4085</v>
      </c>
    </row>
    <row r="9446" spans="1:7">
      <c r="A9446" t="s">
        <v>4381</v>
      </c>
      <c r="G9446" t="s">
        <v>4085</v>
      </c>
    </row>
    <row r="9447" spans="1:7">
      <c r="A9447" t="s">
        <v>5351</v>
      </c>
      <c r="G9447" t="s">
        <v>4085</v>
      </c>
    </row>
    <row r="9448" spans="1:7">
      <c r="A9448" t="s">
        <v>5301</v>
      </c>
      <c r="G9448" t="s">
        <v>4085</v>
      </c>
    </row>
    <row r="9449" spans="1:7">
      <c r="A9449" t="s">
        <v>4302</v>
      </c>
      <c r="G9449" t="s">
        <v>4085</v>
      </c>
    </row>
    <row r="9450" spans="1:7">
      <c r="A9450" t="s">
        <v>4386</v>
      </c>
      <c r="G9450" t="s">
        <v>4085</v>
      </c>
    </row>
    <row r="9451" spans="1:7">
      <c r="A9451" t="s">
        <v>4377</v>
      </c>
      <c r="G9451" t="s">
        <v>4085</v>
      </c>
    </row>
    <row r="9452" spans="1:7">
      <c r="A9452" t="s">
        <v>4378</v>
      </c>
      <c r="B9452">
        <v>4756097</v>
      </c>
      <c r="G9452" t="s">
        <v>4085</v>
      </c>
    </row>
    <row r="9453" spans="1:7">
      <c r="A9453" t="s">
        <v>4385</v>
      </c>
      <c r="G9453" t="s">
        <v>4085</v>
      </c>
    </row>
    <row r="9454" spans="1:7">
      <c r="A9454" t="s">
        <v>4387</v>
      </c>
      <c r="B9454">
        <v>4723097</v>
      </c>
      <c r="G9454" t="s">
        <v>4085</v>
      </c>
    </row>
    <row r="9455" spans="1:7">
      <c r="A9455" t="s">
        <v>4480</v>
      </c>
      <c r="G9455" t="s">
        <v>4085</v>
      </c>
    </row>
    <row r="9456" spans="1:7">
      <c r="A9456" t="s">
        <v>4362</v>
      </c>
      <c r="G9456" t="s">
        <v>4085</v>
      </c>
    </row>
    <row r="9457" spans="1:7">
      <c r="A9457" t="s">
        <v>5504</v>
      </c>
      <c r="G9457" t="s">
        <v>4085</v>
      </c>
    </row>
    <row r="9458" spans="1:7">
      <c r="A9458" t="s">
        <v>4358</v>
      </c>
      <c r="G9458" t="s">
        <v>4085</v>
      </c>
    </row>
    <row r="9459" spans="1:7">
      <c r="A9459" t="s">
        <v>4356</v>
      </c>
      <c r="G9459" t="s">
        <v>4085</v>
      </c>
    </row>
    <row r="9460" spans="1:7">
      <c r="A9460" t="s">
        <v>4110</v>
      </c>
      <c r="G9460" t="s">
        <v>4085</v>
      </c>
    </row>
    <row r="9461" spans="1:7">
      <c r="A9461" t="s">
        <v>4363</v>
      </c>
      <c r="G9461" t="s">
        <v>4085</v>
      </c>
    </row>
    <row r="9462" spans="1:7">
      <c r="A9462" t="s">
        <v>5162</v>
      </c>
      <c r="G9462" t="s">
        <v>4085</v>
      </c>
    </row>
    <row r="9463" spans="1:7">
      <c r="A9463" t="s">
        <v>4376</v>
      </c>
      <c r="B9463">
        <v>4722097</v>
      </c>
      <c r="G9463" t="s">
        <v>4085</v>
      </c>
    </row>
    <row r="9464" spans="1:8">
      <c r="A9464" t="s">
        <v>5436</v>
      </c>
      <c r="G9464" t="s">
        <v>4085</v>
      </c>
      <c r="H9464">
        <v>5152097</v>
      </c>
    </row>
    <row r="9465" spans="1:7">
      <c r="A9465" t="s">
        <v>4384</v>
      </c>
      <c r="G9465" t="s">
        <v>4085</v>
      </c>
    </row>
    <row r="9466" spans="1:7">
      <c r="A9466" t="s">
        <v>5282</v>
      </c>
      <c r="G9466" t="s">
        <v>4085</v>
      </c>
    </row>
    <row r="9467" spans="1:7">
      <c r="A9467" t="s">
        <v>4391</v>
      </c>
      <c r="G9467" t="s">
        <v>4085</v>
      </c>
    </row>
    <row r="9468" spans="1:8">
      <c r="A9468" t="s">
        <v>4361</v>
      </c>
      <c r="B9468">
        <v>4719097</v>
      </c>
      <c r="G9468" t="s">
        <v>4085</v>
      </c>
      <c r="H9468">
        <v>5115097</v>
      </c>
    </row>
    <row r="9469" spans="1:7">
      <c r="A9469" t="s">
        <v>4302</v>
      </c>
      <c r="G9469" t="s">
        <v>4085</v>
      </c>
    </row>
    <row r="9470" spans="1:7">
      <c r="A9470" t="s">
        <v>5512</v>
      </c>
      <c r="G9470" t="s">
        <v>4085</v>
      </c>
    </row>
    <row r="9471" spans="1:7">
      <c r="A9471" t="s">
        <v>5121</v>
      </c>
      <c r="G9471" t="s">
        <v>4085</v>
      </c>
    </row>
    <row r="9472" spans="1:7">
      <c r="A9472" t="s">
        <v>4955</v>
      </c>
      <c r="G9472" t="s">
        <v>4085</v>
      </c>
    </row>
    <row r="9473" spans="1:8">
      <c r="A9473" t="s">
        <v>4382</v>
      </c>
      <c r="G9473" t="s">
        <v>4085</v>
      </c>
      <c r="H9473">
        <v>5063097</v>
      </c>
    </row>
    <row r="9474" spans="1:7">
      <c r="A9474" t="s">
        <v>4338</v>
      </c>
      <c r="G9474" t="s">
        <v>4085</v>
      </c>
    </row>
    <row r="9475" spans="1:7">
      <c r="A9475" t="s">
        <v>5033</v>
      </c>
      <c r="G9475" t="s">
        <v>4085</v>
      </c>
    </row>
    <row r="9476" spans="1:7">
      <c r="A9476" t="s">
        <v>4342</v>
      </c>
      <c r="G9476" t="s">
        <v>4085</v>
      </c>
    </row>
    <row r="9477" spans="1:7">
      <c r="A9477" t="s">
        <v>4632</v>
      </c>
      <c r="G9477" t="s">
        <v>4085</v>
      </c>
    </row>
    <row r="9478" spans="1:7">
      <c r="A9478" t="s">
        <v>4377</v>
      </c>
      <c r="G9478" t="s">
        <v>4085</v>
      </c>
    </row>
    <row r="9479" spans="1:7">
      <c r="A9479" t="s">
        <v>4336</v>
      </c>
      <c r="G9479" t="s">
        <v>4085</v>
      </c>
    </row>
    <row r="9480" spans="1:7">
      <c r="A9480" t="s">
        <v>4386</v>
      </c>
      <c r="G9480" t="s">
        <v>4085</v>
      </c>
    </row>
    <row r="9481" spans="1:7">
      <c r="A9481" t="s">
        <v>4352</v>
      </c>
      <c r="G9481" t="s">
        <v>4085</v>
      </c>
    </row>
    <row r="9482" spans="1:7">
      <c r="A9482" t="s">
        <v>4388</v>
      </c>
      <c r="B9482">
        <v>4718097</v>
      </c>
      <c r="G9482" t="s">
        <v>4085</v>
      </c>
    </row>
    <row r="9483" spans="1:7">
      <c r="A9483" t="s">
        <v>4345</v>
      </c>
      <c r="G9483" t="s">
        <v>4085</v>
      </c>
    </row>
    <row r="9484" spans="1:7">
      <c r="A9484" t="s">
        <v>5351</v>
      </c>
      <c r="G9484" t="s">
        <v>4085</v>
      </c>
    </row>
    <row r="9485" spans="1:7">
      <c r="A9485" t="s">
        <v>4381</v>
      </c>
      <c r="G9485" t="s">
        <v>4085</v>
      </c>
    </row>
    <row r="9486" spans="1:7">
      <c r="A9486" t="s">
        <v>5284</v>
      </c>
      <c r="B9486">
        <v>4755097</v>
      </c>
      <c r="G9486" t="s">
        <v>4085</v>
      </c>
    </row>
    <row r="9487" spans="1:7">
      <c r="A9487" t="s">
        <v>5104</v>
      </c>
      <c r="G9487" t="s">
        <v>4085</v>
      </c>
    </row>
    <row r="9488" spans="1:7">
      <c r="A9488" t="s">
        <v>5325</v>
      </c>
      <c r="G9488" t="s">
        <v>4085</v>
      </c>
    </row>
    <row r="9489" spans="1:7">
      <c r="A9489" t="s">
        <v>5256</v>
      </c>
      <c r="G9489" t="s">
        <v>4085</v>
      </c>
    </row>
    <row r="9490" spans="1:7">
      <c r="A9490" t="s">
        <v>5238</v>
      </c>
      <c r="G9490" t="s">
        <v>4085</v>
      </c>
    </row>
    <row r="9491" spans="1:7">
      <c r="A9491" t="s">
        <v>5318</v>
      </c>
      <c r="G9491" t="s">
        <v>4085</v>
      </c>
    </row>
    <row r="9492" spans="1:7">
      <c r="A9492" t="s">
        <v>4269</v>
      </c>
      <c r="G9492" t="s">
        <v>4085</v>
      </c>
    </row>
    <row r="9493" spans="1:7">
      <c r="A9493" t="s">
        <v>4122</v>
      </c>
      <c r="G9493" t="s">
        <v>4085</v>
      </c>
    </row>
    <row r="9494" spans="1:7">
      <c r="A9494" t="s">
        <v>4600</v>
      </c>
      <c r="G9494" t="s">
        <v>4085</v>
      </c>
    </row>
    <row r="9495" spans="1:7">
      <c r="A9495" t="s">
        <v>4824</v>
      </c>
      <c r="G9495" t="s">
        <v>4085</v>
      </c>
    </row>
    <row r="9496" spans="1:7">
      <c r="A9496" t="s">
        <v>5481</v>
      </c>
      <c r="B9496">
        <v>4705097</v>
      </c>
      <c r="G9496" t="s">
        <v>4085</v>
      </c>
    </row>
    <row r="9497" spans="1:7">
      <c r="A9497" t="s">
        <v>4115</v>
      </c>
      <c r="G9497" t="s">
        <v>4085</v>
      </c>
    </row>
    <row r="9498" spans="1:7">
      <c r="A9498" t="s">
        <v>4432</v>
      </c>
      <c r="B9498">
        <v>4676097</v>
      </c>
      <c r="G9498" t="s">
        <v>4085</v>
      </c>
    </row>
    <row r="9499" spans="1:7">
      <c r="A9499" t="s">
        <v>5049</v>
      </c>
      <c r="G9499" t="s">
        <v>4085</v>
      </c>
    </row>
    <row r="9500" spans="1:7">
      <c r="A9500" t="s">
        <v>4066</v>
      </c>
      <c r="G9500" t="s">
        <v>4085</v>
      </c>
    </row>
    <row r="9501" spans="1:7">
      <c r="A9501" t="s">
        <v>4448</v>
      </c>
      <c r="G9501" t="s">
        <v>4085</v>
      </c>
    </row>
    <row r="9502" spans="1:7">
      <c r="A9502" t="s">
        <v>5290</v>
      </c>
      <c r="G9502" t="s">
        <v>4085</v>
      </c>
    </row>
    <row r="9503" spans="1:7">
      <c r="A9503" t="s">
        <v>5105</v>
      </c>
      <c r="G9503" t="s">
        <v>4085</v>
      </c>
    </row>
    <row r="9504" spans="1:7">
      <c r="A9504" t="s">
        <v>5400</v>
      </c>
      <c r="G9504" t="s">
        <v>4085</v>
      </c>
    </row>
    <row r="9505" spans="1:7">
      <c r="A9505" t="s">
        <v>4966</v>
      </c>
      <c r="G9505" t="s">
        <v>4085</v>
      </c>
    </row>
    <row r="9506" spans="1:7">
      <c r="A9506" t="s">
        <v>5398</v>
      </c>
      <c r="G9506" t="s">
        <v>4085</v>
      </c>
    </row>
    <row r="9507" spans="1:7">
      <c r="A9507" t="s">
        <v>4276</v>
      </c>
      <c r="G9507" t="s">
        <v>4085</v>
      </c>
    </row>
    <row r="9508" spans="1:7">
      <c r="A9508" t="s">
        <v>4003</v>
      </c>
      <c r="G9508" t="s">
        <v>4085</v>
      </c>
    </row>
    <row r="9509" spans="1:7">
      <c r="A9509" t="s">
        <v>5002</v>
      </c>
      <c r="B9509">
        <v>4745097</v>
      </c>
      <c r="G9509" t="s">
        <v>4085</v>
      </c>
    </row>
    <row r="9510" spans="1:7">
      <c r="A9510" t="s">
        <v>4048</v>
      </c>
      <c r="G9510" t="s">
        <v>4085</v>
      </c>
    </row>
    <row r="9511" spans="1:7">
      <c r="A9511" t="s">
        <v>5020</v>
      </c>
      <c r="B9511">
        <v>4675097</v>
      </c>
      <c r="G9511" t="s">
        <v>4085</v>
      </c>
    </row>
    <row r="9512" spans="1:7">
      <c r="A9512" t="s">
        <v>4084</v>
      </c>
      <c r="G9512" t="s">
        <v>4085</v>
      </c>
    </row>
    <row r="9513" spans="1:7">
      <c r="A9513" t="s">
        <v>5211</v>
      </c>
      <c r="G9513" t="s">
        <v>4085</v>
      </c>
    </row>
    <row r="9514" spans="1:7">
      <c r="A9514" t="s">
        <v>4193</v>
      </c>
      <c r="G9514" t="s">
        <v>4085</v>
      </c>
    </row>
    <row r="9515" spans="1:7">
      <c r="A9515" t="s">
        <v>4511</v>
      </c>
      <c r="G9515" t="s">
        <v>4085</v>
      </c>
    </row>
    <row r="9516" spans="1:7">
      <c r="A9516" t="s">
        <v>5146</v>
      </c>
      <c r="G9516" t="s">
        <v>4085</v>
      </c>
    </row>
    <row r="9517" spans="1:7">
      <c r="A9517" t="s">
        <v>4659</v>
      </c>
      <c r="G9517" t="s">
        <v>4085</v>
      </c>
    </row>
    <row r="9518" spans="1:7">
      <c r="A9518" t="s">
        <v>4746</v>
      </c>
      <c r="G9518" t="s">
        <v>4085</v>
      </c>
    </row>
    <row r="9519" spans="1:7">
      <c r="A9519" t="s">
        <v>5451</v>
      </c>
      <c r="G9519" t="s">
        <v>4085</v>
      </c>
    </row>
    <row r="9520" spans="1:7">
      <c r="A9520" t="s">
        <v>5104</v>
      </c>
      <c r="B9520">
        <v>4674097</v>
      </c>
      <c r="G9520" t="s">
        <v>4085</v>
      </c>
    </row>
    <row r="9521" spans="1:7">
      <c r="A9521" t="s">
        <v>4544</v>
      </c>
      <c r="G9521" t="s">
        <v>4085</v>
      </c>
    </row>
    <row r="9522" spans="1:7">
      <c r="A9522" t="s">
        <v>4332</v>
      </c>
      <c r="B9522">
        <v>4742097</v>
      </c>
      <c r="G9522" t="s">
        <v>4085</v>
      </c>
    </row>
    <row r="9523" spans="1:7">
      <c r="A9523" t="s">
        <v>5089</v>
      </c>
      <c r="G9523" t="s">
        <v>4085</v>
      </c>
    </row>
    <row r="9524" spans="1:7">
      <c r="A9524" t="s">
        <v>5476</v>
      </c>
      <c r="G9524" t="s">
        <v>4085</v>
      </c>
    </row>
    <row r="9525" spans="1:7">
      <c r="A9525" t="s">
        <v>5506</v>
      </c>
      <c r="G9525" t="s">
        <v>4085</v>
      </c>
    </row>
    <row r="9526" spans="1:7">
      <c r="A9526" t="s">
        <v>5509</v>
      </c>
      <c r="G9526" t="s">
        <v>4085</v>
      </c>
    </row>
    <row r="9527" spans="1:7">
      <c r="A9527" t="s">
        <v>5240</v>
      </c>
      <c r="G9527" t="s">
        <v>4085</v>
      </c>
    </row>
    <row r="9528" spans="1:7">
      <c r="A9528" t="s">
        <v>5479</v>
      </c>
      <c r="G9528" t="s">
        <v>4085</v>
      </c>
    </row>
    <row r="9529" spans="1:7">
      <c r="A9529" t="s">
        <v>5457</v>
      </c>
      <c r="G9529" t="s">
        <v>4085</v>
      </c>
    </row>
    <row r="9530" spans="1:7">
      <c r="A9530" t="s">
        <v>3996</v>
      </c>
      <c r="G9530" t="s">
        <v>4085</v>
      </c>
    </row>
    <row r="9531" spans="1:7">
      <c r="A9531" t="s">
        <v>4795</v>
      </c>
      <c r="B9531">
        <v>4741097</v>
      </c>
      <c r="G9531" t="s">
        <v>4085</v>
      </c>
    </row>
    <row r="9532" spans="1:7">
      <c r="A9532" t="s">
        <v>4870</v>
      </c>
      <c r="G9532" t="s">
        <v>4085</v>
      </c>
    </row>
    <row r="9533" spans="1:7">
      <c r="A9533" t="s">
        <v>4332</v>
      </c>
      <c r="G9533" t="s">
        <v>4085</v>
      </c>
    </row>
    <row r="9534" spans="1:7">
      <c r="A9534" t="s">
        <v>5482</v>
      </c>
      <c r="G9534" t="s">
        <v>4085</v>
      </c>
    </row>
    <row r="9535" spans="1:7">
      <c r="A9535" t="s">
        <v>4480</v>
      </c>
      <c r="G9535" t="s">
        <v>4085</v>
      </c>
    </row>
    <row r="9536" spans="1:7">
      <c r="A9536" t="s">
        <v>4202</v>
      </c>
      <c r="G9536" t="s">
        <v>4085</v>
      </c>
    </row>
    <row r="9537" spans="1:7">
      <c r="A9537" t="s">
        <v>5538</v>
      </c>
      <c r="G9537" t="s">
        <v>4085</v>
      </c>
    </row>
    <row r="9538" spans="1:7">
      <c r="A9538" t="s">
        <v>5087</v>
      </c>
      <c r="G9538" t="s">
        <v>4085</v>
      </c>
    </row>
    <row r="9539" spans="1:7">
      <c r="A9539" t="s">
        <v>5536</v>
      </c>
      <c r="G9539" t="s">
        <v>4085</v>
      </c>
    </row>
    <row r="9540" spans="1:7">
      <c r="A9540" t="s">
        <v>4084</v>
      </c>
      <c r="G9540" t="s">
        <v>4085</v>
      </c>
    </row>
    <row r="9541" spans="1:7">
      <c r="A9541" t="s">
        <v>4919</v>
      </c>
      <c r="G9541" t="s">
        <v>4085</v>
      </c>
    </row>
    <row r="9542" spans="1:7">
      <c r="A9542" t="s">
        <v>5542</v>
      </c>
      <c r="G9542" t="s">
        <v>4085</v>
      </c>
    </row>
    <row r="9543" spans="1:8">
      <c r="A9543" t="s">
        <v>4526</v>
      </c>
      <c r="G9543" t="s">
        <v>4085</v>
      </c>
      <c r="H9543">
        <v>4766097</v>
      </c>
    </row>
    <row r="9544" spans="1:7">
      <c r="A9544" t="s">
        <v>5170</v>
      </c>
      <c r="G9544" t="s">
        <v>4085</v>
      </c>
    </row>
    <row r="9545" spans="1:7">
      <c r="A9545" t="s">
        <v>4799</v>
      </c>
      <c r="G9545" t="s">
        <v>4085</v>
      </c>
    </row>
    <row r="9546" spans="1:7">
      <c r="A9546" t="s">
        <v>4873</v>
      </c>
      <c r="G9546" t="s">
        <v>4072</v>
      </c>
    </row>
    <row r="9547" spans="1:7">
      <c r="A9547" t="s">
        <v>5195</v>
      </c>
      <c r="G9547" t="s">
        <v>4072</v>
      </c>
    </row>
    <row r="9548" spans="1:7">
      <c r="A9548" t="s">
        <v>4422</v>
      </c>
      <c r="G9548" t="s">
        <v>4072</v>
      </c>
    </row>
    <row r="9549" spans="1:7">
      <c r="A9549" t="s">
        <v>4905</v>
      </c>
      <c r="G9549" t="s">
        <v>4072</v>
      </c>
    </row>
    <row r="9550" spans="1:7">
      <c r="A9550" t="s">
        <v>4276</v>
      </c>
      <c r="G9550" t="s">
        <v>4072</v>
      </c>
    </row>
    <row r="9551" spans="1:7">
      <c r="A9551" t="s">
        <v>5438</v>
      </c>
      <c r="G9551" t="s">
        <v>4072</v>
      </c>
    </row>
    <row r="9552" spans="1:8">
      <c r="A9552" t="s">
        <v>4570</v>
      </c>
      <c r="G9552" t="s">
        <v>4196</v>
      </c>
      <c r="H9552">
        <v>5584097</v>
      </c>
    </row>
    <row r="9553" spans="1:7">
      <c r="A9553" t="s">
        <v>5430</v>
      </c>
      <c r="G9553" t="s">
        <v>5542</v>
      </c>
    </row>
    <row r="9554" spans="1:7">
      <c r="A9554" t="s">
        <v>4582</v>
      </c>
      <c r="G9554" t="s">
        <v>5009</v>
      </c>
    </row>
    <row r="9555" spans="1:7">
      <c r="A9555" t="s">
        <v>4178</v>
      </c>
      <c r="G9555" t="s">
        <v>5009</v>
      </c>
    </row>
    <row r="9556" spans="1:7">
      <c r="A9556" t="s">
        <v>5367</v>
      </c>
      <c r="G9556" t="s">
        <v>5009</v>
      </c>
    </row>
    <row r="9557" spans="1:7">
      <c r="A9557" t="s">
        <v>4038</v>
      </c>
      <c r="G9557" t="s">
        <v>5009</v>
      </c>
    </row>
    <row r="9558" spans="1:7">
      <c r="A9558" t="s">
        <v>4980</v>
      </c>
      <c r="G9558" t="s">
        <v>4266</v>
      </c>
    </row>
    <row r="9559" spans="1:7">
      <c r="A9559" t="s">
        <v>5528</v>
      </c>
      <c r="B9559">
        <v>4730097</v>
      </c>
      <c r="G9559" t="s">
        <v>4266</v>
      </c>
    </row>
    <row r="9560" spans="1:7">
      <c r="A9560" t="s">
        <v>5525</v>
      </c>
      <c r="G9560" t="s">
        <v>4266</v>
      </c>
    </row>
    <row r="9561" spans="1:7">
      <c r="A9561" t="s">
        <v>5482</v>
      </c>
      <c r="G9561" t="s">
        <v>4266</v>
      </c>
    </row>
    <row r="9562" spans="1:7">
      <c r="A9562" t="s">
        <v>5535</v>
      </c>
      <c r="G9562" t="s">
        <v>4266</v>
      </c>
    </row>
    <row r="9563" spans="1:7">
      <c r="A9563" t="s">
        <v>5508</v>
      </c>
      <c r="G9563" t="s">
        <v>4266</v>
      </c>
    </row>
    <row r="9564" spans="1:7">
      <c r="A9564" t="s">
        <v>5539</v>
      </c>
      <c r="G9564" t="s">
        <v>4266</v>
      </c>
    </row>
    <row r="9565" spans="1:7">
      <c r="A9565" t="s">
        <v>5195</v>
      </c>
      <c r="G9565" t="s">
        <v>4266</v>
      </c>
    </row>
    <row r="9566" spans="1:7">
      <c r="A9566" t="s">
        <v>5527</v>
      </c>
      <c r="G9566" t="s">
        <v>4266</v>
      </c>
    </row>
    <row r="9567" spans="1:7">
      <c r="A9567" t="s">
        <v>5524</v>
      </c>
      <c r="G9567" t="s">
        <v>4266</v>
      </c>
    </row>
    <row r="9568" spans="1:8">
      <c r="A9568" t="s">
        <v>4818</v>
      </c>
      <c r="G9568" t="s">
        <v>4266</v>
      </c>
      <c r="H9568">
        <v>5200097</v>
      </c>
    </row>
    <row r="9569" spans="1:7">
      <c r="A9569" t="s">
        <v>4401</v>
      </c>
      <c r="G9569" t="s">
        <v>4266</v>
      </c>
    </row>
    <row r="9570" spans="1:7">
      <c r="A9570" t="s">
        <v>4084</v>
      </c>
      <c r="G9570" t="s">
        <v>4266</v>
      </c>
    </row>
    <row r="9571" spans="1:8">
      <c r="A9571" t="s">
        <v>5528</v>
      </c>
      <c r="B9571">
        <v>4728097</v>
      </c>
      <c r="G9571" t="s">
        <v>4266</v>
      </c>
      <c r="H9571">
        <v>5140097</v>
      </c>
    </row>
    <row r="9572" spans="1:7">
      <c r="A9572" t="s">
        <v>5482</v>
      </c>
      <c r="G9572" t="s">
        <v>4266</v>
      </c>
    </row>
    <row r="9573" spans="1:7">
      <c r="A9573" t="s">
        <v>5508</v>
      </c>
      <c r="G9573" t="s">
        <v>4266</v>
      </c>
    </row>
    <row r="9574" spans="1:7">
      <c r="A9574" t="s">
        <v>4814</v>
      </c>
      <c r="G9574" t="s">
        <v>4266</v>
      </c>
    </row>
    <row r="9575" spans="1:7">
      <c r="A9575" t="s">
        <v>4051</v>
      </c>
      <c r="G9575" t="s">
        <v>4398</v>
      </c>
    </row>
    <row r="9576" spans="1:7">
      <c r="A9576" t="s">
        <v>5308</v>
      </c>
      <c r="G9576" t="s">
        <v>4398</v>
      </c>
    </row>
    <row r="9577" spans="1:7">
      <c r="A9577" t="s">
        <v>5516</v>
      </c>
      <c r="G9577" t="s">
        <v>4398</v>
      </c>
    </row>
    <row r="9578" spans="1:7">
      <c r="A9578" t="s">
        <v>3988</v>
      </c>
      <c r="G9578" t="s">
        <v>4398</v>
      </c>
    </row>
    <row r="9579" spans="1:8">
      <c r="A9579" t="s">
        <v>5275</v>
      </c>
      <c r="G9579" t="s">
        <v>4398</v>
      </c>
      <c r="H9579">
        <v>5474097</v>
      </c>
    </row>
    <row r="9580" spans="1:7">
      <c r="A9580" t="s">
        <v>4710</v>
      </c>
      <c r="G9580" t="s">
        <v>4398</v>
      </c>
    </row>
    <row r="9581" spans="1:7">
      <c r="A9581" t="s">
        <v>5535</v>
      </c>
      <c r="G9581" t="s">
        <v>4398</v>
      </c>
    </row>
    <row r="9582" spans="1:7">
      <c r="A9582" t="s">
        <v>5230</v>
      </c>
      <c r="G9582" t="s">
        <v>4431</v>
      </c>
    </row>
    <row r="9583" spans="1:7">
      <c r="A9583" t="s">
        <v>5538</v>
      </c>
      <c r="G9583" t="s">
        <v>4431</v>
      </c>
    </row>
    <row r="9584" spans="1:7">
      <c r="A9584" t="s">
        <v>5528</v>
      </c>
      <c r="B9584">
        <v>4723097</v>
      </c>
      <c r="G9584" t="s">
        <v>4431</v>
      </c>
    </row>
    <row r="9585" spans="1:7">
      <c r="A9585" t="s">
        <v>5525</v>
      </c>
      <c r="G9585" t="s">
        <v>5361</v>
      </c>
    </row>
    <row r="9586" spans="1:7">
      <c r="A9586" t="s">
        <v>5230</v>
      </c>
      <c r="G9586" t="s">
        <v>4172</v>
      </c>
    </row>
    <row r="9587" spans="1:7">
      <c r="A9587" t="s">
        <v>5538</v>
      </c>
      <c r="G9587" t="s">
        <v>4901</v>
      </c>
    </row>
    <row r="9588" spans="1:7">
      <c r="A9588" t="s">
        <v>4710</v>
      </c>
      <c r="G9588" t="s">
        <v>4901</v>
      </c>
    </row>
    <row r="9589" spans="1:7">
      <c r="A9589" t="s">
        <v>5482</v>
      </c>
      <c r="G9589" t="s">
        <v>4901</v>
      </c>
    </row>
    <row r="9590" spans="1:7">
      <c r="A9590" t="s">
        <v>4051</v>
      </c>
      <c r="G9590" t="s">
        <v>4901</v>
      </c>
    </row>
    <row r="9591" spans="1:7">
      <c r="A9591" t="s">
        <v>3988</v>
      </c>
      <c r="G9591" t="s">
        <v>4901</v>
      </c>
    </row>
    <row r="9592" spans="1:7">
      <c r="A9592" t="s">
        <v>5539</v>
      </c>
      <c r="G9592" t="s">
        <v>4901</v>
      </c>
    </row>
    <row r="9593" spans="1:7">
      <c r="A9593" t="s">
        <v>5002</v>
      </c>
      <c r="B9593">
        <v>4722097</v>
      </c>
      <c r="G9593" t="s">
        <v>4901</v>
      </c>
    </row>
    <row r="9594" spans="1:7">
      <c r="A9594" t="s">
        <v>4048</v>
      </c>
      <c r="G9594" t="s">
        <v>4901</v>
      </c>
    </row>
    <row r="9595" spans="1:8">
      <c r="A9595" t="s">
        <v>4459</v>
      </c>
      <c r="G9595" t="s">
        <v>4901</v>
      </c>
      <c r="H9595">
        <v>4807097</v>
      </c>
    </row>
    <row r="9596" spans="1:7">
      <c r="A9596" t="s">
        <v>4659</v>
      </c>
      <c r="G9596" t="s">
        <v>4901</v>
      </c>
    </row>
    <row r="9597" spans="1:7">
      <c r="A9597" t="s">
        <v>4980</v>
      </c>
      <c r="G9597" t="s">
        <v>4792</v>
      </c>
    </row>
    <row r="9598" spans="1:7">
      <c r="A9598" t="s">
        <v>5535</v>
      </c>
      <c r="B9598">
        <v>4719097</v>
      </c>
      <c r="G9598" t="s">
        <v>4792</v>
      </c>
    </row>
    <row r="9599" spans="1:7">
      <c r="A9599" t="s">
        <v>5525</v>
      </c>
      <c r="G9599" t="s">
        <v>4792</v>
      </c>
    </row>
    <row r="9600" spans="1:7">
      <c r="A9600" t="s">
        <v>5528</v>
      </c>
      <c r="G9600" t="s">
        <v>4792</v>
      </c>
    </row>
    <row r="9601" spans="1:7">
      <c r="A9601" t="s">
        <v>5482</v>
      </c>
      <c r="G9601" t="s">
        <v>4792</v>
      </c>
    </row>
    <row r="9602" spans="1:8">
      <c r="A9602" t="s">
        <v>5539</v>
      </c>
      <c r="G9602" t="s">
        <v>4792</v>
      </c>
      <c r="H9602">
        <v>5428097</v>
      </c>
    </row>
    <row r="9603" spans="1:8">
      <c r="A9603" t="s">
        <v>4085</v>
      </c>
      <c r="G9603" t="s">
        <v>4792</v>
      </c>
      <c r="H9603">
        <v>5427097</v>
      </c>
    </row>
    <row r="9604" spans="1:7">
      <c r="A9604" t="s">
        <v>5230</v>
      </c>
      <c r="G9604" t="s">
        <v>4792</v>
      </c>
    </row>
    <row r="9605" spans="1:7">
      <c r="A9605" t="s">
        <v>5487</v>
      </c>
      <c r="G9605" t="s">
        <v>4792</v>
      </c>
    </row>
    <row r="9606" spans="1:7">
      <c r="A9606" t="s">
        <v>5538</v>
      </c>
      <c r="G9606" t="s">
        <v>4792</v>
      </c>
    </row>
    <row r="9607" spans="1:7">
      <c r="A9607" t="s">
        <v>4710</v>
      </c>
      <c r="G9607" t="s">
        <v>5114</v>
      </c>
    </row>
    <row r="9608" spans="1:7">
      <c r="A9608" t="s">
        <v>4814</v>
      </c>
      <c r="G9608" t="s">
        <v>5235</v>
      </c>
    </row>
    <row r="9609" spans="1:7">
      <c r="A9609" t="s">
        <v>4918</v>
      </c>
      <c r="G9609" t="s">
        <v>4011</v>
      </c>
    </row>
    <row r="9610" spans="1:7">
      <c r="A9610" t="s">
        <v>5507</v>
      </c>
      <c r="G9610" t="s">
        <v>5042</v>
      </c>
    </row>
    <row r="9611" spans="1:7">
      <c r="A9611" t="s">
        <v>4898</v>
      </c>
      <c r="G9611" t="s">
        <v>4643</v>
      </c>
    </row>
    <row r="9612" spans="1:7">
      <c r="A9612" t="s">
        <v>5535</v>
      </c>
      <c r="B9612">
        <v>4718097</v>
      </c>
      <c r="G9612" t="s">
        <v>4643</v>
      </c>
    </row>
    <row r="9613" spans="1:7">
      <c r="A9613" t="s">
        <v>5525</v>
      </c>
      <c r="G9613" t="s">
        <v>4643</v>
      </c>
    </row>
    <row r="9614" spans="1:7">
      <c r="A9614" t="s">
        <v>4710</v>
      </c>
      <c r="G9614" t="s">
        <v>4643</v>
      </c>
    </row>
    <row r="9615" spans="1:7">
      <c r="A9615" t="s">
        <v>5507</v>
      </c>
      <c r="G9615" t="s">
        <v>4490</v>
      </c>
    </row>
    <row r="9616" spans="1:7">
      <c r="A9616" t="s">
        <v>4898</v>
      </c>
      <c r="G9616" t="s">
        <v>4305</v>
      </c>
    </row>
    <row r="9617" spans="1:7">
      <c r="A9617" t="s">
        <v>5224</v>
      </c>
      <c r="G9617" t="s">
        <v>4305</v>
      </c>
    </row>
    <row r="9618" spans="1:7">
      <c r="A9618" t="s">
        <v>5538</v>
      </c>
      <c r="G9618" t="s">
        <v>4305</v>
      </c>
    </row>
    <row r="9619" spans="1:7">
      <c r="A9619" t="s">
        <v>5230</v>
      </c>
      <c r="G9619" t="s">
        <v>4305</v>
      </c>
    </row>
    <row r="9620" spans="1:7">
      <c r="A9620" t="s">
        <v>4980</v>
      </c>
      <c r="G9620" t="s">
        <v>4569</v>
      </c>
    </row>
    <row r="9621" spans="1:7">
      <c r="A9621" t="s">
        <v>5528</v>
      </c>
      <c r="G9621" t="s">
        <v>4569</v>
      </c>
    </row>
    <row r="9622" spans="1:7">
      <c r="A9622" t="s">
        <v>5000</v>
      </c>
      <c r="G9622" t="s">
        <v>4569</v>
      </c>
    </row>
    <row r="9623" spans="1:7">
      <c r="A9623" t="s">
        <v>5501</v>
      </c>
      <c r="G9623" t="s">
        <v>4189</v>
      </c>
    </row>
    <row r="9624" spans="1:7">
      <c r="A9624" t="s">
        <v>4918</v>
      </c>
      <c r="G9624" t="s">
        <v>4189</v>
      </c>
    </row>
    <row r="9625" spans="1:7">
      <c r="A9625" t="s">
        <v>5487</v>
      </c>
      <c r="G9625" t="s">
        <v>4189</v>
      </c>
    </row>
    <row r="9626" spans="1:7">
      <c r="A9626" t="s">
        <v>4511</v>
      </c>
      <c r="B9626">
        <v>4705097</v>
      </c>
      <c r="G9626" t="s">
        <v>4189</v>
      </c>
    </row>
    <row r="9627" spans="1:7">
      <c r="A9627" t="s">
        <v>5020</v>
      </c>
      <c r="G9627" t="s">
        <v>4189</v>
      </c>
    </row>
    <row r="9628" spans="1:7">
      <c r="A9628" t="s">
        <v>5524</v>
      </c>
      <c r="B9628">
        <v>4676097</v>
      </c>
      <c r="G9628" t="s">
        <v>4189</v>
      </c>
    </row>
    <row r="9629" spans="1:7">
      <c r="A9629" t="s">
        <v>5525</v>
      </c>
      <c r="G9629" t="s">
        <v>4189</v>
      </c>
    </row>
    <row r="9630" spans="1:7">
      <c r="A9630" t="s">
        <v>5528</v>
      </c>
      <c r="G9630" t="s">
        <v>4189</v>
      </c>
    </row>
    <row r="9631" spans="1:7">
      <c r="A9631" t="s">
        <v>5459</v>
      </c>
      <c r="G9631" t="s">
        <v>4189</v>
      </c>
    </row>
    <row r="9632" spans="1:7">
      <c r="A9632" t="s">
        <v>4072</v>
      </c>
      <c r="G9632" t="s">
        <v>4189</v>
      </c>
    </row>
    <row r="9633" spans="1:7">
      <c r="A9633" t="s">
        <v>5224</v>
      </c>
      <c r="G9633" t="s">
        <v>4189</v>
      </c>
    </row>
    <row r="9634" spans="1:7">
      <c r="A9634" t="s">
        <v>5541</v>
      </c>
      <c r="G9634" t="s">
        <v>4189</v>
      </c>
    </row>
    <row r="9635" spans="1:7">
      <c r="A9635" t="s">
        <v>3988</v>
      </c>
      <c r="G9635" t="s">
        <v>4189</v>
      </c>
    </row>
    <row r="9636" spans="1:7">
      <c r="A9636" t="s">
        <v>5482</v>
      </c>
      <c r="G9636" t="s">
        <v>4189</v>
      </c>
    </row>
    <row r="9637" spans="1:7">
      <c r="A9637" t="s">
        <v>5429</v>
      </c>
      <c r="G9637" t="s">
        <v>4189</v>
      </c>
    </row>
    <row r="9638" spans="1:7">
      <c r="A9638" t="s">
        <v>5535</v>
      </c>
      <c r="G9638" t="s">
        <v>4491</v>
      </c>
    </row>
    <row r="9639" spans="1:7">
      <c r="A9639" t="s">
        <v>5473</v>
      </c>
      <c r="G9639" t="s">
        <v>4022</v>
      </c>
    </row>
    <row r="9640" spans="1:7">
      <c r="A9640" t="s">
        <v>5474</v>
      </c>
      <c r="G9640" t="s">
        <v>4022</v>
      </c>
    </row>
    <row r="9641" spans="1:7">
      <c r="A9641" t="s">
        <v>5525</v>
      </c>
      <c r="B9641">
        <v>4675097</v>
      </c>
      <c r="G9641" t="s">
        <v>4022</v>
      </c>
    </row>
    <row r="9642" spans="1:7">
      <c r="A9642" t="s">
        <v>3988</v>
      </c>
      <c r="G9642" t="s">
        <v>5027</v>
      </c>
    </row>
    <row r="9643" spans="1:7">
      <c r="A9643" t="s">
        <v>5224</v>
      </c>
      <c r="G9643" t="s">
        <v>5027</v>
      </c>
    </row>
    <row r="9644" spans="1:7">
      <c r="A9644" t="s">
        <v>5474</v>
      </c>
      <c r="G9644" t="s">
        <v>5027</v>
      </c>
    </row>
    <row r="9645" spans="1:7">
      <c r="A9645" t="s">
        <v>5528</v>
      </c>
      <c r="G9645" t="s">
        <v>5320</v>
      </c>
    </row>
    <row r="9646" spans="1:7">
      <c r="A9646" t="s">
        <v>5541</v>
      </c>
      <c r="G9646" t="s">
        <v>5375</v>
      </c>
    </row>
    <row r="9647" spans="1:7">
      <c r="A9647" t="s">
        <v>5535</v>
      </c>
      <c r="G9647" t="s">
        <v>5375</v>
      </c>
    </row>
    <row r="9648" spans="1:7">
      <c r="A9648" t="s">
        <v>5524</v>
      </c>
      <c r="G9648" t="s">
        <v>5375</v>
      </c>
    </row>
    <row r="9649" spans="1:7">
      <c r="A9649" t="s">
        <v>4939</v>
      </c>
      <c r="G9649" t="s">
        <v>5375</v>
      </c>
    </row>
    <row r="9650" spans="1:7">
      <c r="A9650" t="s">
        <v>5020</v>
      </c>
      <c r="B9650">
        <v>4674097</v>
      </c>
      <c r="G9650" t="s">
        <v>5375</v>
      </c>
    </row>
    <row r="9651" spans="1:7">
      <c r="A9651" t="s">
        <v>5002</v>
      </c>
      <c r="G9651" t="s">
        <v>5375</v>
      </c>
    </row>
    <row r="9652" spans="1:7">
      <c r="A9652" t="s">
        <v>4183</v>
      </c>
      <c r="G9652" t="s">
        <v>5375</v>
      </c>
    </row>
    <row r="9653" spans="1:7">
      <c r="A9653" t="s">
        <v>5525</v>
      </c>
      <c r="G9653" t="s">
        <v>5375</v>
      </c>
    </row>
    <row r="9654" spans="1:7">
      <c r="A9654" t="s">
        <v>5519</v>
      </c>
      <c r="G9654" t="s">
        <v>5375</v>
      </c>
    </row>
    <row r="9655" spans="1:7">
      <c r="A9655" t="s">
        <v>5482</v>
      </c>
      <c r="G9655" t="s">
        <v>5375</v>
      </c>
    </row>
    <row r="9656" spans="1:7">
      <c r="A9656" t="s">
        <v>5534</v>
      </c>
      <c r="G9656" t="s">
        <v>5375</v>
      </c>
    </row>
    <row r="9657" spans="1:7">
      <c r="A9657" t="s">
        <v>5211</v>
      </c>
      <c r="G9657" t="s">
        <v>4265</v>
      </c>
    </row>
    <row r="9658" spans="1:7">
      <c r="A9658" t="s">
        <v>4667</v>
      </c>
      <c r="G9658" t="s">
        <v>4265</v>
      </c>
    </row>
    <row r="9659" spans="1:7">
      <c r="A9659" t="s">
        <v>5404</v>
      </c>
      <c r="G9659" t="s">
        <v>4265</v>
      </c>
    </row>
    <row r="9660" spans="1:7">
      <c r="A9660" t="s">
        <v>5375</v>
      </c>
      <c r="G9660" t="s">
        <v>4265</v>
      </c>
    </row>
    <row r="9661" spans="1:7">
      <c r="A9661" t="s">
        <v>5020</v>
      </c>
      <c r="B9661">
        <v>4670097</v>
      </c>
      <c r="G9661" t="s">
        <v>4265</v>
      </c>
    </row>
    <row r="9662" spans="1:8">
      <c r="A9662" t="s">
        <v>5226</v>
      </c>
      <c r="G9662" t="s">
        <v>4265</v>
      </c>
      <c r="H9662">
        <v>5523097</v>
      </c>
    </row>
    <row r="9663" spans="1:7">
      <c r="A9663" t="s">
        <v>4442</v>
      </c>
      <c r="G9663" t="s">
        <v>4265</v>
      </c>
    </row>
    <row r="9664" spans="1:8">
      <c r="A9664" t="s">
        <v>4048</v>
      </c>
      <c r="G9664" t="s">
        <v>4265</v>
      </c>
      <c r="H9664">
        <v>5521097</v>
      </c>
    </row>
    <row r="9665" spans="1:8">
      <c r="A9665" t="s">
        <v>5452</v>
      </c>
      <c r="G9665" t="s">
        <v>4265</v>
      </c>
      <c r="H9665">
        <v>5520097</v>
      </c>
    </row>
    <row r="9666" spans="1:7">
      <c r="A9666" t="s">
        <v>5211</v>
      </c>
      <c r="G9666" t="s">
        <v>4265</v>
      </c>
    </row>
    <row r="9667" spans="1:7">
      <c r="A9667" t="s">
        <v>4752</v>
      </c>
      <c r="G9667" t="s">
        <v>4265</v>
      </c>
    </row>
    <row r="9668" spans="1:7">
      <c r="A9668" t="s">
        <v>5170</v>
      </c>
      <c r="G9668" t="s">
        <v>4265</v>
      </c>
    </row>
    <row r="9669" spans="1:7">
      <c r="A9669" t="s">
        <v>5349</v>
      </c>
      <c r="G9669" t="s">
        <v>4246</v>
      </c>
    </row>
    <row r="9670" spans="1:7">
      <c r="A9670" t="s">
        <v>5519</v>
      </c>
      <c r="G9670" t="s">
        <v>4246</v>
      </c>
    </row>
    <row r="9671" spans="1:7">
      <c r="A9671" t="s">
        <v>5266</v>
      </c>
      <c r="G9671" t="s">
        <v>5122</v>
      </c>
    </row>
    <row r="9672" spans="1:7">
      <c r="A9672" t="s">
        <v>5530</v>
      </c>
      <c r="G9672" t="s">
        <v>5100</v>
      </c>
    </row>
  </sheetData>
  <autoFilter ref="G1:H9672">
    <sortState ref="G1:H9672">
      <sortCondition ref="G1:G9672"/>
    </sortState>
    <extLst/>
  </autoFilter>
  <pageMargins left="0.7" right="0.7" top="0.75" bottom="0.75" header="0.3" footer="0.3"/>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E482"/>
  <sheetViews>
    <sheetView tabSelected="1" zoomScale="85" zoomScaleNormal="85" workbookViewId="0">
      <selection activeCell="J11" sqref="J11"/>
    </sheetView>
  </sheetViews>
  <sheetFormatPr defaultColWidth="9" defaultRowHeight="15" outlineLevelCol="4"/>
  <cols>
    <col min="1" max="1" width="12.9047619047619" customWidth="1"/>
    <col min="2" max="2" width="11.7238095238095" customWidth="1"/>
    <col min="3" max="3" width="22" customWidth="1"/>
    <col min="4" max="4" width="19.1809523809524" customWidth="1"/>
    <col min="5" max="5" width="12.0857142857143" customWidth="1"/>
  </cols>
  <sheetData>
    <row r="1" spans="1:5">
      <c r="A1" s="1" t="s">
        <v>5543</v>
      </c>
      <c r="B1" s="1"/>
      <c r="C1" s="1"/>
      <c r="D1" s="1"/>
      <c r="E1" s="1"/>
    </row>
    <row r="2" spans="1:5">
      <c r="A2" s="2">
        <v>5671097</v>
      </c>
      <c r="B2" s="3" t="s">
        <v>876</v>
      </c>
      <c r="C2" s="3" t="s">
        <v>875</v>
      </c>
      <c r="D2" s="3" t="s">
        <v>2</v>
      </c>
      <c r="E2" s="3" t="s">
        <v>874</v>
      </c>
    </row>
    <row r="3" spans="1:5">
      <c r="A3" s="2">
        <v>5670097</v>
      </c>
      <c r="B3" s="3" t="s">
        <v>876</v>
      </c>
      <c r="C3" s="3" t="s">
        <v>875</v>
      </c>
      <c r="D3" s="3" t="s">
        <v>7</v>
      </c>
      <c r="E3" s="3" t="s">
        <v>884</v>
      </c>
    </row>
    <row r="4" spans="1:5">
      <c r="A4" s="2">
        <v>5662097</v>
      </c>
      <c r="B4" s="3" t="s">
        <v>891</v>
      </c>
      <c r="C4" s="3" t="s">
        <v>875</v>
      </c>
      <c r="D4" s="3" t="s">
        <v>2</v>
      </c>
      <c r="E4" s="3" t="s">
        <v>884</v>
      </c>
    </row>
    <row r="5" spans="1:5">
      <c r="A5" s="2">
        <v>5657097</v>
      </c>
      <c r="B5" s="3" t="s">
        <v>876</v>
      </c>
      <c r="C5" s="3" t="s">
        <v>875</v>
      </c>
      <c r="D5" s="3" t="s">
        <v>2</v>
      </c>
      <c r="E5" s="3" t="s">
        <v>898</v>
      </c>
    </row>
    <row r="6" spans="1:5">
      <c r="A6" s="2">
        <v>5643097</v>
      </c>
      <c r="B6" s="3" t="s">
        <v>876</v>
      </c>
      <c r="C6" s="3" t="s">
        <v>875</v>
      </c>
      <c r="D6" s="3" t="s">
        <v>2</v>
      </c>
      <c r="E6" s="3" t="s">
        <v>905</v>
      </c>
    </row>
    <row r="7" spans="1:5">
      <c r="A7" s="2">
        <v>5639097</v>
      </c>
      <c r="B7" s="3" t="s">
        <v>891</v>
      </c>
      <c r="C7" s="3" t="s">
        <v>875</v>
      </c>
      <c r="D7" s="3" t="s">
        <v>7</v>
      </c>
      <c r="E7" s="3" t="s">
        <v>911</v>
      </c>
    </row>
    <row r="8" spans="1:5">
      <c r="A8" s="2">
        <v>5636097</v>
      </c>
      <c r="B8" s="3" t="s">
        <v>876</v>
      </c>
      <c r="C8" s="3" t="s">
        <v>919</v>
      </c>
      <c r="D8" s="3" t="s">
        <v>2</v>
      </c>
      <c r="E8" s="3" t="s">
        <v>918</v>
      </c>
    </row>
    <row r="9" spans="1:5">
      <c r="A9" s="2">
        <v>5635097</v>
      </c>
      <c r="B9" s="3" t="s">
        <v>876</v>
      </c>
      <c r="C9" s="3" t="s">
        <v>875</v>
      </c>
      <c r="D9" s="3" t="s">
        <v>2</v>
      </c>
      <c r="E9" s="3" t="s">
        <v>925</v>
      </c>
    </row>
    <row r="10" spans="1:5">
      <c r="A10" s="2">
        <v>5634097</v>
      </c>
      <c r="B10" s="3" t="s">
        <v>933</v>
      </c>
      <c r="C10" s="3" t="s">
        <v>919</v>
      </c>
      <c r="D10" s="3" t="s">
        <v>2</v>
      </c>
      <c r="E10" s="3" t="s">
        <v>932</v>
      </c>
    </row>
    <row r="11" spans="1:5">
      <c r="A11" s="2">
        <v>5631097</v>
      </c>
      <c r="B11" s="3" t="s">
        <v>876</v>
      </c>
      <c r="C11" s="3" t="s">
        <v>919</v>
      </c>
      <c r="D11" s="3" t="s">
        <v>2</v>
      </c>
      <c r="E11" s="3" t="s">
        <v>940</v>
      </c>
    </row>
    <row r="12" spans="1:5">
      <c r="A12" s="2">
        <v>5628097</v>
      </c>
      <c r="B12" s="3" t="s">
        <v>891</v>
      </c>
      <c r="C12" s="3" t="s">
        <v>919</v>
      </c>
      <c r="D12" s="3" t="s">
        <v>2</v>
      </c>
      <c r="E12" s="3" t="s">
        <v>947</v>
      </c>
    </row>
    <row r="13" spans="1:5">
      <c r="A13" s="2">
        <v>5624097</v>
      </c>
      <c r="B13" s="3" t="s">
        <v>876</v>
      </c>
      <c r="C13" s="3" t="s">
        <v>875</v>
      </c>
      <c r="D13" s="3" t="s">
        <v>7</v>
      </c>
      <c r="E13" s="3" t="s">
        <v>953</v>
      </c>
    </row>
    <row r="14" spans="1:5">
      <c r="A14" s="2">
        <v>5623097</v>
      </c>
      <c r="B14" s="3" t="s">
        <v>876</v>
      </c>
      <c r="C14" s="3" t="s">
        <v>875</v>
      </c>
      <c r="D14" s="3" t="s">
        <v>2</v>
      </c>
      <c r="E14" s="3" t="s">
        <v>905</v>
      </c>
    </row>
    <row r="15" spans="1:5">
      <c r="A15" s="2">
        <v>5619097</v>
      </c>
      <c r="B15" s="3" t="s">
        <v>876</v>
      </c>
      <c r="C15" s="3" t="s">
        <v>875</v>
      </c>
      <c r="D15" s="3" t="s">
        <v>2</v>
      </c>
      <c r="E15" s="3" t="s">
        <v>966</v>
      </c>
    </row>
    <row r="16" spans="1:5">
      <c r="A16" s="2">
        <v>5618097</v>
      </c>
      <c r="B16" s="3" t="s">
        <v>876</v>
      </c>
      <c r="C16" s="3" t="s">
        <v>875</v>
      </c>
      <c r="D16" s="3" t="s">
        <v>7</v>
      </c>
      <c r="E16" s="3" t="s">
        <v>972</v>
      </c>
    </row>
    <row r="17" spans="1:5">
      <c r="A17" s="2">
        <v>5611097</v>
      </c>
      <c r="B17" s="3" t="s">
        <v>876</v>
      </c>
      <c r="C17" s="3" t="s">
        <v>875</v>
      </c>
      <c r="D17" s="3" t="s">
        <v>2</v>
      </c>
      <c r="E17" s="3" t="s">
        <v>874</v>
      </c>
    </row>
    <row r="18" spans="1:5">
      <c r="A18" s="2">
        <v>5610097</v>
      </c>
      <c r="B18" s="3" t="s">
        <v>876</v>
      </c>
      <c r="C18" s="3" t="s">
        <v>875</v>
      </c>
      <c r="D18" s="3" t="s">
        <v>2</v>
      </c>
      <c r="E18" s="3" t="s">
        <v>874</v>
      </c>
    </row>
    <row r="19" spans="1:5">
      <c r="A19" s="2">
        <v>5609097</v>
      </c>
      <c r="B19" s="3" t="s">
        <v>876</v>
      </c>
      <c r="C19" s="3" t="s">
        <v>875</v>
      </c>
      <c r="D19" s="3" t="s">
        <v>2</v>
      </c>
      <c r="E19" s="3" t="s">
        <v>874</v>
      </c>
    </row>
    <row r="20" spans="1:5">
      <c r="A20" s="2">
        <v>5607097</v>
      </c>
      <c r="B20" s="3" t="s">
        <v>876</v>
      </c>
      <c r="C20" s="3" t="s">
        <v>919</v>
      </c>
      <c r="D20" s="3" t="s">
        <v>2</v>
      </c>
      <c r="E20" s="3" t="s">
        <v>994</v>
      </c>
    </row>
    <row r="21" spans="1:5">
      <c r="A21" s="2">
        <v>5606097</v>
      </c>
      <c r="B21" s="3" t="s">
        <v>876</v>
      </c>
      <c r="C21" s="3" t="s">
        <v>919</v>
      </c>
      <c r="D21" s="3" t="s">
        <v>2</v>
      </c>
      <c r="E21" s="3" t="s">
        <v>1001</v>
      </c>
    </row>
    <row r="22" spans="1:5">
      <c r="A22" s="2">
        <v>5605097</v>
      </c>
      <c r="B22" s="3" t="s">
        <v>876</v>
      </c>
      <c r="C22" s="3" t="s">
        <v>919</v>
      </c>
      <c r="D22" s="3" t="s">
        <v>2</v>
      </c>
      <c r="E22" s="3" t="s">
        <v>1001</v>
      </c>
    </row>
    <row r="23" spans="1:5">
      <c r="A23" s="2">
        <v>5604097</v>
      </c>
      <c r="B23" s="3" t="s">
        <v>876</v>
      </c>
      <c r="C23" s="3" t="s">
        <v>919</v>
      </c>
      <c r="D23" s="3" t="s">
        <v>2</v>
      </c>
      <c r="E23" s="3" t="s">
        <v>905</v>
      </c>
    </row>
    <row r="24" spans="1:5">
      <c r="A24" s="2">
        <v>5603097</v>
      </c>
      <c r="B24" s="3" t="s">
        <v>876</v>
      </c>
      <c r="C24" s="3" t="s">
        <v>919</v>
      </c>
      <c r="D24" s="3" t="s">
        <v>2</v>
      </c>
      <c r="E24" s="3" t="s">
        <v>884</v>
      </c>
    </row>
    <row r="25" spans="1:5">
      <c r="A25" s="2">
        <v>5597097</v>
      </c>
      <c r="B25" s="3" t="s">
        <v>891</v>
      </c>
      <c r="C25" s="3" t="s">
        <v>1026</v>
      </c>
      <c r="D25" s="3" t="s">
        <v>2</v>
      </c>
      <c r="E25" s="3" t="s">
        <v>1025</v>
      </c>
    </row>
    <row r="26" spans="1:5">
      <c r="A26" s="2">
        <v>5588097</v>
      </c>
      <c r="B26" s="3" t="s">
        <v>1033</v>
      </c>
      <c r="C26" s="3" t="s">
        <v>875</v>
      </c>
      <c r="D26" s="3" t="s">
        <v>2</v>
      </c>
      <c r="E26" s="3" t="s">
        <v>918</v>
      </c>
    </row>
    <row r="27" spans="1:5">
      <c r="A27" s="2">
        <v>5585097</v>
      </c>
      <c r="B27" s="3" t="s">
        <v>1033</v>
      </c>
      <c r="C27" s="3" t="s">
        <v>875</v>
      </c>
      <c r="D27" s="3" t="s">
        <v>2</v>
      </c>
      <c r="E27" s="3" t="s">
        <v>918</v>
      </c>
    </row>
    <row r="28" spans="1:5">
      <c r="A28" s="2">
        <v>5584097</v>
      </c>
      <c r="B28" s="3" t="s">
        <v>1033</v>
      </c>
      <c r="C28" s="3" t="s">
        <v>875</v>
      </c>
      <c r="D28" s="3" t="s">
        <v>2</v>
      </c>
      <c r="E28" s="3" t="s">
        <v>1001</v>
      </c>
    </row>
    <row r="29" spans="1:5">
      <c r="A29" s="2">
        <v>5583097</v>
      </c>
      <c r="B29" s="3" t="s">
        <v>876</v>
      </c>
      <c r="C29" s="3" t="s">
        <v>875</v>
      </c>
      <c r="D29" s="3" t="s">
        <v>2</v>
      </c>
      <c r="E29" s="3" t="s">
        <v>918</v>
      </c>
    </row>
    <row r="30" spans="1:5">
      <c r="A30" s="2">
        <v>5582097</v>
      </c>
      <c r="B30" s="3" t="s">
        <v>876</v>
      </c>
      <c r="C30" s="3" t="s">
        <v>875</v>
      </c>
      <c r="D30" s="3" t="s">
        <v>2</v>
      </c>
      <c r="E30" s="3" t="s">
        <v>1056</v>
      </c>
    </row>
    <row r="31" spans="1:5">
      <c r="A31" s="2">
        <v>5567097</v>
      </c>
      <c r="B31" s="3" t="s">
        <v>876</v>
      </c>
      <c r="C31" s="3" t="s">
        <v>919</v>
      </c>
      <c r="D31" s="3" t="s">
        <v>2</v>
      </c>
      <c r="E31" s="3" t="s">
        <v>1063</v>
      </c>
    </row>
    <row r="32" spans="1:5">
      <c r="A32" s="2">
        <v>5564097</v>
      </c>
      <c r="B32" s="3" t="s">
        <v>891</v>
      </c>
      <c r="C32" s="3" t="s">
        <v>1026</v>
      </c>
      <c r="D32" s="3" t="s">
        <v>2</v>
      </c>
      <c r="E32" s="3" t="s">
        <v>953</v>
      </c>
    </row>
    <row r="33" spans="1:5">
      <c r="A33" s="2">
        <v>5563097</v>
      </c>
      <c r="B33" s="3" t="s">
        <v>876</v>
      </c>
      <c r="C33" s="3" t="s">
        <v>875</v>
      </c>
      <c r="D33" s="3" t="s">
        <v>2</v>
      </c>
      <c r="E33" s="3" t="s">
        <v>1075</v>
      </c>
    </row>
    <row r="34" spans="1:5">
      <c r="A34" s="2">
        <v>5558097</v>
      </c>
      <c r="B34" s="3" t="s">
        <v>876</v>
      </c>
      <c r="C34" s="3" t="s">
        <v>875</v>
      </c>
      <c r="D34" s="3" t="s">
        <v>2</v>
      </c>
      <c r="E34" s="3" t="s">
        <v>1082</v>
      </c>
    </row>
    <row r="35" spans="1:5">
      <c r="A35" s="2">
        <v>5553097</v>
      </c>
      <c r="B35" s="3" t="s">
        <v>876</v>
      </c>
      <c r="C35" s="3" t="s">
        <v>875</v>
      </c>
      <c r="D35" s="3" t="s">
        <v>2</v>
      </c>
      <c r="E35" s="3" t="s">
        <v>1089</v>
      </c>
    </row>
    <row r="36" spans="1:5">
      <c r="A36" s="2">
        <v>5549097</v>
      </c>
      <c r="B36" s="3" t="s">
        <v>891</v>
      </c>
      <c r="C36" s="3" t="s">
        <v>1097</v>
      </c>
      <c r="D36" s="3" t="s">
        <v>76</v>
      </c>
      <c r="E36" s="3" t="s">
        <v>1096</v>
      </c>
    </row>
    <row r="37" spans="1:5">
      <c r="A37" s="2">
        <v>5547097</v>
      </c>
      <c r="B37" s="3" t="s">
        <v>891</v>
      </c>
      <c r="C37" s="3" t="s">
        <v>1097</v>
      </c>
      <c r="D37" s="3" t="s">
        <v>2</v>
      </c>
      <c r="E37" s="3" t="s">
        <v>966</v>
      </c>
    </row>
    <row r="38" spans="1:5">
      <c r="A38" s="2">
        <v>5546097</v>
      </c>
      <c r="B38" s="3" t="s">
        <v>891</v>
      </c>
      <c r="C38" s="3" t="s">
        <v>1097</v>
      </c>
      <c r="D38" s="3" t="s">
        <v>2</v>
      </c>
      <c r="E38" s="3" t="s">
        <v>1096</v>
      </c>
    </row>
    <row r="39" spans="1:5">
      <c r="A39" s="2">
        <v>5545097</v>
      </c>
      <c r="B39" s="3" t="s">
        <v>891</v>
      </c>
      <c r="C39" s="3" t="s">
        <v>1097</v>
      </c>
      <c r="D39" s="3" t="s">
        <v>76</v>
      </c>
      <c r="E39" s="3" t="s">
        <v>1001</v>
      </c>
    </row>
    <row r="40" spans="1:5">
      <c r="A40" s="2">
        <v>5544097</v>
      </c>
      <c r="B40" s="3" t="s">
        <v>891</v>
      </c>
      <c r="C40" s="3" t="s">
        <v>1097</v>
      </c>
      <c r="D40" s="3" t="s">
        <v>76</v>
      </c>
      <c r="E40" s="3" t="s">
        <v>1001</v>
      </c>
    </row>
    <row r="41" spans="1:5">
      <c r="A41" s="2">
        <v>5541097</v>
      </c>
      <c r="B41" s="3" t="s">
        <v>891</v>
      </c>
      <c r="C41" s="3" t="s">
        <v>1097</v>
      </c>
      <c r="D41" s="3" t="s">
        <v>76</v>
      </c>
      <c r="E41" s="3" t="s">
        <v>1126</v>
      </c>
    </row>
    <row r="42" spans="1:5">
      <c r="A42" s="2">
        <v>5540097</v>
      </c>
      <c r="B42" s="3" t="s">
        <v>891</v>
      </c>
      <c r="C42" s="3" t="s">
        <v>1097</v>
      </c>
      <c r="D42" s="3" t="s">
        <v>2</v>
      </c>
      <c r="E42" s="3" t="s">
        <v>1132</v>
      </c>
    </row>
    <row r="43" spans="1:5">
      <c r="A43" s="2">
        <v>5539097</v>
      </c>
      <c r="B43" s="3" t="s">
        <v>891</v>
      </c>
      <c r="C43" s="3" t="s">
        <v>1097</v>
      </c>
      <c r="D43" s="3" t="s">
        <v>76</v>
      </c>
      <c r="E43" s="3" t="s">
        <v>1138</v>
      </c>
    </row>
    <row r="44" spans="1:5">
      <c r="A44" s="2">
        <v>5537097</v>
      </c>
      <c r="B44" s="3" t="s">
        <v>876</v>
      </c>
      <c r="C44" s="3" t="s">
        <v>919</v>
      </c>
      <c r="D44" s="3" t="s">
        <v>2</v>
      </c>
      <c r="E44" s="3" t="s">
        <v>966</v>
      </c>
    </row>
    <row r="45" spans="1:5">
      <c r="A45" s="2">
        <v>5536097</v>
      </c>
      <c r="B45" s="3" t="s">
        <v>891</v>
      </c>
      <c r="C45" s="3" t="s">
        <v>1097</v>
      </c>
      <c r="D45" s="3" t="s">
        <v>2</v>
      </c>
      <c r="E45" s="3" t="s">
        <v>1151</v>
      </c>
    </row>
    <row r="46" spans="1:5">
      <c r="A46" s="2">
        <v>5535097</v>
      </c>
      <c r="B46" s="3" t="s">
        <v>891</v>
      </c>
      <c r="C46" s="3" t="s">
        <v>1097</v>
      </c>
      <c r="D46" s="3" t="s">
        <v>2</v>
      </c>
      <c r="E46" s="3" t="s">
        <v>1158</v>
      </c>
    </row>
    <row r="47" spans="1:5">
      <c r="A47" s="2">
        <v>5534097</v>
      </c>
      <c r="B47" s="3" t="s">
        <v>891</v>
      </c>
      <c r="C47" s="3" t="s">
        <v>1097</v>
      </c>
      <c r="D47" s="3" t="s">
        <v>2</v>
      </c>
      <c r="E47" s="3" t="s">
        <v>1126</v>
      </c>
    </row>
    <row r="48" spans="1:5">
      <c r="A48" s="2">
        <v>5531097</v>
      </c>
      <c r="B48" s="3" t="s">
        <v>1033</v>
      </c>
      <c r="C48" s="3" t="s">
        <v>875</v>
      </c>
      <c r="D48" s="3" t="s">
        <v>2</v>
      </c>
      <c r="E48" s="3" t="s">
        <v>932</v>
      </c>
    </row>
    <row r="49" spans="1:5">
      <c r="A49" s="2">
        <v>5530097</v>
      </c>
      <c r="B49" s="3" t="s">
        <v>1033</v>
      </c>
      <c r="C49" s="3" t="s">
        <v>875</v>
      </c>
      <c r="D49" s="3" t="s">
        <v>2</v>
      </c>
      <c r="E49" s="3" t="s">
        <v>1177</v>
      </c>
    </row>
    <row r="50" spans="1:5">
      <c r="A50" s="2">
        <v>5529097</v>
      </c>
      <c r="B50" s="3" t="s">
        <v>1033</v>
      </c>
      <c r="C50" s="3" t="s">
        <v>875</v>
      </c>
      <c r="D50" s="3" t="s">
        <v>2</v>
      </c>
      <c r="E50" s="3" t="s">
        <v>932</v>
      </c>
    </row>
    <row r="51" spans="1:5">
      <c r="A51" s="2">
        <v>5528097</v>
      </c>
      <c r="B51" s="3" t="s">
        <v>1033</v>
      </c>
      <c r="C51" s="3" t="s">
        <v>875</v>
      </c>
      <c r="D51" s="3" t="s">
        <v>2</v>
      </c>
      <c r="E51" s="3" t="s">
        <v>1132</v>
      </c>
    </row>
    <row r="52" spans="1:5">
      <c r="A52" s="2">
        <v>5527097</v>
      </c>
      <c r="B52" s="3" t="s">
        <v>1033</v>
      </c>
      <c r="C52" s="3" t="s">
        <v>875</v>
      </c>
      <c r="D52" s="3" t="s">
        <v>2</v>
      </c>
      <c r="E52" s="3" t="s">
        <v>1132</v>
      </c>
    </row>
    <row r="53" spans="1:5">
      <c r="A53" s="2">
        <v>5526097</v>
      </c>
      <c r="B53" s="3" t="s">
        <v>1033</v>
      </c>
      <c r="C53" s="3" t="s">
        <v>875</v>
      </c>
      <c r="D53" s="3" t="s">
        <v>7</v>
      </c>
      <c r="E53" s="3" t="s">
        <v>1177</v>
      </c>
    </row>
    <row r="54" spans="1:5">
      <c r="A54" s="2">
        <v>5525097</v>
      </c>
      <c r="B54" s="3" t="s">
        <v>1033</v>
      </c>
      <c r="C54" s="3" t="s">
        <v>875</v>
      </c>
      <c r="D54" s="3" t="s">
        <v>2</v>
      </c>
      <c r="E54" s="3" t="s">
        <v>1205</v>
      </c>
    </row>
    <row r="55" spans="1:5">
      <c r="A55" s="2">
        <v>5524097</v>
      </c>
      <c r="B55" s="3" t="s">
        <v>1033</v>
      </c>
      <c r="C55" s="3" t="s">
        <v>875</v>
      </c>
      <c r="D55" s="3" t="s">
        <v>2</v>
      </c>
      <c r="E55" s="3" t="s">
        <v>1158</v>
      </c>
    </row>
    <row r="56" spans="1:5">
      <c r="A56" s="2">
        <v>5523097</v>
      </c>
      <c r="B56" s="3" t="s">
        <v>1033</v>
      </c>
      <c r="C56" s="3" t="s">
        <v>875</v>
      </c>
      <c r="D56" s="3" t="s">
        <v>2</v>
      </c>
      <c r="E56" s="3" t="s">
        <v>1138</v>
      </c>
    </row>
    <row r="57" spans="1:5">
      <c r="A57" s="2">
        <v>5522097</v>
      </c>
      <c r="B57" s="3" t="s">
        <v>1033</v>
      </c>
      <c r="C57" s="3" t="s">
        <v>875</v>
      </c>
      <c r="D57" s="3" t="s">
        <v>2</v>
      </c>
      <c r="E57" s="3" t="s">
        <v>1138</v>
      </c>
    </row>
    <row r="58" spans="1:5">
      <c r="A58" s="2">
        <v>5521097</v>
      </c>
      <c r="B58" s="3" t="s">
        <v>1033</v>
      </c>
      <c r="C58" s="3" t="s">
        <v>875</v>
      </c>
      <c r="D58" s="3" t="s">
        <v>2</v>
      </c>
      <c r="E58" s="3" t="s">
        <v>1229</v>
      </c>
    </row>
    <row r="59" spans="1:5">
      <c r="A59" s="2">
        <v>5520097</v>
      </c>
      <c r="B59" s="3" t="s">
        <v>1033</v>
      </c>
      <c r="C59" s="3" t="s">
        <v>875</v>
      </c>
      <c r="D59" s="3" t="s">
        <v>2</v>
      </c>
      <c r="E59" s="3" t="s">
        <v>1235</v>
      </c>
    </row>
    <row r="60" spans="1:5">
      <c r="A60" s="2">
        <v>5519097</v>
      </c>
      <c r="B60" s="3" t="s">
        <v>1033</v>
      </c>
      <c r="C60" s="3" t="s">
        <v>875</v>
      </c>
      <c r="D60" s="3" t="s">
        <v>2</v>
      </c>
      <c r="E60" s="3" t="s">
        <v>1158</v>
      </c>
    </row>
    <row r="61" spans="1:5">
      <c r="A61" s="2">
        <v>5518097</v>
      </c>
      <c r="B61" s="3" t="s">
        <v>876</v>
      </c>
      <c r="C61" s="3" t="s">
        <v>919</v>
      </c>
      <c r="D61" s="3" t="s">
        <v>2</v>
      </c>
      <c r="E61" s="3" t="s">
        <v>1205</v>
      </c>
    </row>
    <row r="62" spans="1:5">
      <c r="A62" s="2">
        <v>5517097</v>
      </c>
      <c r="B62" s="3" t="s">
        <v>876</v>
      </c>
      <c r="C62" s="3" t="s">
        <v>919</v>
      </c>
      <c r="D62" s="3" t="s">
        <v>2</v>
      </c>
      <c r="E62" s="3" t="s">
        <v>1126</v>
      </c>
    </row>
    <row r="63" spans="1:5">
      <c r="A63" s="2">
        <v>5516097</v>
      </c>
      <c r="B63" s="3" t="s">
        <v>876</v>
      </c>
      <c r="C63" s="3" t="s">
        <v>919</v>
      </c>
      <c r="D63" s="3" t="s">
        <v>2</v>
      </c>
      <c r="E63" s="3" t="s">
        <v>994</v>
      </c>
    </row>
    <row r="64" spans="1:5">
      <c r="A64" s="2">
        <v>5514097</v>
      </c>
      <c r="B64" s="3" t="s">
        <v>1033</v>
      </c>
      <c r="C64" s="3" t="s">
        <v>875</v>
      </c>
      <c r="D64" s="3" t="s">
        <v>2</v>
      </c>
      <c r="E64" s="3" t="s">
        <v>1235</v>
      </c>
    </row>
    <row r="65" spans="1:5">
      <c r="A65" s="2">
        <v>5513097</v>
      </c>
      <c r="B65" s="3" t="s">
        <v>1033</v>
      </c>
      <c r="C65" s="3" t="s">
        <v>875</v>
      </c>
      <c r="D65" s="3" t="s">
        <v>2</v>
      </c>
      <c r="E65" s="3" t="s">
        <v>1268</v>
      </c>
    </row>
    <row r="66" spans="1:5">
      <c r="A66" s="2">
        <v>5512097</v>
      </c>
      <c r="B66" s="3" t="s">
        <v>1033</v>
      </c>
      <c r="C66" s="3" t="s">
        <v>875</v>
      </c>
      <c r="D66" s="3" t="s">
        <v>2</v>
      </c>
      <c r="E66" s="3" t="s">
        <v>1056</v>
      </c>
    </row>
    <row r="67" spans="1:5">
      <c r="A67" s="2">
        <v>5509097</v>
      </c>
      <c r="B67" s="3" t="s">
        <v>1033</v>
      </c>
      <c r="C67" s="3" t="s">
        <v>875</v>
      </c>
      <c r="D67" s="3" t="s">
        <v>2</v>
      </c>
      <c r="E67" s="3" t="s">
        <v>972</v>
      </c>
    </row>
    <row r="68" spans="1:5">
      <c r="A68" s="2">
        <v>5508097</v>
      </c>
      <c r="B68" s="3" t="s">
        <v>876</v>
      </c>
      <c r="C68" s="3" t="s">
        <v>919</v>
      </c>
      <c r="D68" s="3" t="s">
        <v>2</v>
      </c>
      <c r="E68" s="3" t="s">
        <v>898</v>
      </c>
    </row>
    <row r="69" spans="1:5">
      <c r="A69" s="2">
        <v>5507097</v>
      </c>
      <c r="B69" s="3" t="s">
        <v>1033</v>
      </c>
      <c r="C69" s="3" t="s">
        <v>875</v>
      </c>
      <c r="D69" s="3" t="s">
        <v>2</v>
      </c>
      <c r="E69" s="3" t="s">
        <v>1235</v>
      </c>
    </row>
    <row r="70" spans="1:5">
      <c r="A70" s="2">
        <v>5505097</v>
      </c>
      <c r="B70" s="3" t="s">
        <v>876</v>
      </c>
      <c r="C70" s="3" t="s">
        <v>919</v>
      </c>
      <c r="D70" s="3" t="s">
        <v>2</v>
      </c>
      <c r="E70" s="3" t="s">
        <v>1298</v>
      </c>
    </row>
    <row r="71" spans="1:5">
      <c r="A71" s="2">
        <v>5504097</v>
      </c>
      <c r="B71" s="3" t="s">
        <v>1033</v>
      </c>
      <c r="C71" s="3" t="s">
        <v>1097</v>
      </c>
      <c r="D71" s="3" t="s">
        <v>2</v>
      </c>
      <c r="E71" s="3" t="s">
        <v>1305</v>
      </c>
    </row>
    <row r="72" spans="1:5">
      <c r="A72" s="2">
        <v>5503097</v>
      </c>
      <c r="B72" s="3" t="s">
        <v>1312</v>
      </c>
      <c r="C72" s="3" t="s">
        <v>875</v>
      </c>
      <c r="D72" s="3" t="s">
        <v>2</v>
      </c>
      <c r="E72" s="3" t="s">
        <v>905</v>
      </c>
    </row>
    <row r="73" spans="1:5">
      <c r="A73" s="2">
        <v>5500097</v>
      </c>
      <c r="B73" s="3" t="s">
        <v>876</v>
      </c>
      <c r="C73" s="3" t="s">
        <v>919</v>
      </c>
      <c r="D73" s="3" t="s">
        <v>2</v>
      </c>
      <c r="E73" s="3" t="s">
        <v>1132</v>
      </c>
    </row>
    <row r="74" spans="1:5">
      <c r="A74" s="2">
        <v>5499097</v>
      </c>
      <c r="B74" s="3" t="s">
        <v>876</v>
      </c>
      <c r="C74" s="3" t="s">
        <v>919</v>
      </c>
      <c r="D74" s="3" t="s">
        <v>2</v>
      </c>
      <c r="E74" s="3" t="s">
        <v>1001</v>
      </c>
    </row>
    <row r="75" spans="1:5">
      <c r="A75" s="2">
        <v>5498097</v>
      </c>
      <c r="B75" s="3" t="s">
        <v>1312</v>
      </c>
      <c r="C75" s="3" t="s">
        <v>875</v>
      </c>
      <c r="D75" s="3" t="s">
        <v>7</v>
      </c>
      <c r="E75" s="3" t="s">
        <v>1126</v>
      </c>
    </row>
    <row r="76" spans="1:5">
      <c r="A76" s="2">
        <v>5496097</v>
      </c>
      <c r="B76" s="3" t="s">
        <v>1033</v>
      </c>
      <c r="C76" s="3" t="s">
        <v>919</v>
      </c>
      <c r="D76" s="3" t="s">
        <v>2</v>
      </c>
      <c r="E76" s="3" t="s">
        <v>1132</v>
      </c>
    </row>
    <row r="77" spans="1:5">
      <c r="A77" s="2">
        <v>5495097</v>
      </c>
      <c r="B77" s="3" t="s">
        <v>1033</v>
      </c>
      <c r="C77" s="3" t="s">
        <v>919</v>
      </c>
      <c r="D77" s="3" t="s">
        <v>2</v>
      </c>
      <c r="E77" s="3" t="s">
        <v>1342</v>
      </c>
    </row>
    <row r="78" spans="1:5">
      <c r="A78" s="2">
        <v>5494097</v>
      </c>
      <c r="B78" s="3" t="s">
        <v>1033</v>
      </c>
      <c r="C78" s="3" t="s">
        <v>919</v>
      </c>
      <c r="D78" s="3" t="s">
        <v>2</v>
      </c>
      <c r="E78" s="3" t="s">
        <v>905</v>
      </c>
    </row>
    <row r="79" spans="1:5">
      <c r="A79" s="2">
        <v>5493097</v>
      </c>
      <c r="B79" s="3" t="s">
        <v>1033</v>
      </c>
      <c r="C79" s="3" t="s">
        <v>919</v>
      </c>
      <c r="D79" s="3" t="s">
        <v>2</v>
      </c>
      <c r="E79" s="3" t="s">
        <v>1075</v>
      </c>
    </row>
    <row r="80" spans="1:5">
      <c r="A80" s="2">
        <v>5492097</v>
      </c>
      <c r="B80" s="3" t="s">
        <v>1033</v>
      </c>
      <c r="C80" s="3" t="s">
        <v>919</v>
      </c>
      <c r="D80" s="3" t="s">
        <v>2</v>
      </c>
      <c r="E80" s="3" t="s">
        <v>1361</v>
      </c>
    </row>
    <row r="81" spans="1:5">
      <c r="A81" s="2">
        <v>5491097</v>
      </c>
      <c r="B81" s="3" t="s">
        <v>1033</v>
      </c>
      <c r="C81" s="3" t="s">
        <v>919</v>
      </c>
      <c r="D81" s="3" t="s">
        <v>2</v>
      </c>
      <c r="E81" s="3" t="s">
        <v>1342</v>
      </c>
    </row>
    <row r="82" spans="1:5">
      <c r="A82" s="2">
        <v>5490097</v>
      </c>
      <c r="B82" s="3" t="s">
        <v>1033</v>
      </c>
      <c r="C82" s="3" t="s">
        <v>919</v>
      </c>
      <c r="D82" s="3" t="s">
        <v>2</v>
      </c>
      <c r="E82" s="3" t="s">
        <v>1374</v>
      </c>
    </row>
    <row r="83" spans="1:5">
      <c r="A83" s="2">
        <v>5488097</v>
      </c>
      <c r="B83" s="3" t="s">
        <v>1033</v>
      </c>
      <c r="C83" s="3" t="s">
        <v>919</v>
      </c>
      <c r="D83" s="3" t="s">
        <v>2</v>
      </c>
      <c r="E83" s="3" t="s">
        <v>994</v>
      </c>
    </row>
    <row r="84" spans="1:5">
      <c r="A84" s="2">
        <v>5487097</v>
      </c>
      <c r="B84" s="3" t="s">
        <v>1033</v>
      </c>
      <c r="C84" s="3" t="s">
        <v>919</v>
      </c>
      <c r="D84" s="3" t="s">
        <v>2</v>
      </c>
      <c r="E84" s="3" t="s">
        <v>918</v>
      </c>
    </row>
    <row r="85" spans="1:5">
      <c r="A85" s="2">
        <v>5486097</v>
      </c>
      <c r="B85" s="3" t="s">
        <v>876</v>
      </c>
      <c r="C85" s="3" t="s">
        <v>875</v>
      </c>
      <c r="D85" s="3" t="s">
        <v>2</v>
      </c>
      <c r="E85" s="3" t="s">
        <v>1096</v>
      </c>
    </row>
    <row r="86" spans="1:5">
      <c r="A86" s="2">
        <v>5484097</v>
      </c>
      <c r="B86" s="3" t="s">
        <v>1312</v>
      </c>
      <c r="C86" s="3" t="s">
        <v>919</v>
      </c>
      <c r="D86" s="3" t="s">
        <v>2</v>
      </c>
      <c r="E86" s="3" t="s">
        <v>1399</v>
      </c>
    </row>
    <row r="87" spans="1:5">
      <c r="A87" s="2">
        <v>5482097</v>
      </c>
      <c r="B87" s="3" t="s">
        <v>876</v>
      </c>
      <c r="C87" s="3" t="s">
        <v>875</v>
      </c>
      <c r="D87" s="3" t="s">
        <v>2</v>
      </c>
      <c r="E87" s="3" t="s">
        <v>1001</v>
      </c>
    </row>
    <row r="88" spans="1:5">
      <c r="A88" s="2">
        <v>5481097</v>
      </c>
      <c r="B88" s="3" t="s">
        <v>876</v>
      </c>
      <c r="C88" s="3" t="s">
        <v>919</v>
      </c>
      <c r="D88" s="3" t="s">
        <v>2</v>
      </c>
      <c r="E88" s="3" t="s">
        <v>1412</v>
      </c>
    </row>
    <row r="89" spans="1:5">
      <c r="A89" s="2">
        <v>5477097</v>
      </c>
      <c r="B89" s="3" t="s">
        <v>876</v>
      </c>
      <c r="C89" s="3" t="s">
        <v>875</v>
      </c>
      <c r="D89" s="3" t="s">
        <v>2</v>
      </c>
      <c r="E89" s="3" t="s">
        <v>898</v>
      </c>
    </row>
    <row r="90" spans="1:5">
      <c r="A90" s="2">
        <v>5476097</v>
      </c>
      <c r="B90" s="3" t="s">
        <v>876</v>
      </c>
      <c r="C90" s="3" t="s">
        <v>919</v>
      </c>
      <c r="D90" s="3" t="s">
        <v>7</v>
      </c>
      <c r="E90" s="3" t="s">
        <v>1424</v>
      </c>
    </row>
    <row r="91" spans="1:5">
      <c r="A91" s="2">
        <v>5475097</v>
      </c>
      <c r="B91" s="3" t="s">
        <v>876</v>
      </c>
      <c r="C91" s="3" t="s">
        <v>919</v>
      </c>
      <c r="D91" s="3" t="s">
        <v>2</v>
      </c>
      <c r="E91" s="3" t="s">
        <v>1430</v>
      </c>
    </row>
    <row r="92" spans="1:5">
      <c r="A92" s="2">
        <v>5474097</v>
      </c>
      <c r="B92" s="3" t="s">
        <v>876</v>
      </c>
      <c r="C92" s="3" t="s">
        <v>1097</v>
      </c>
      <c r="D92" s="3" t="s">
        <v>2</v>
      </c>
      <c r="E92" s="3" t="s">
        <v>1235</v>
      </c>
    </row>
    <row r="93" spans="1:5">
      <c r="A93" s="2">
        <v>5473097</v>
      </c>
      <c r="B93" s="3" t="s">
        <v>876</v>
      </c>
      <c r="C93" s="3" t="s">
        <v>1026</v>
      </c>
      <c r="D93" s="3" t="s">
        <v>2</v>
      </c>
      <c r="E93" s="3" t="s">
        <v>1443</v>
      </c>
    </row>
    <row r="94" spans="1:5">
      <c r="A94" s="2">
        <v>5472097</v>
      </c>
      <c r="B94" s="3" t="s">
        <v>876</v>
      </c>
      <c r="C94" s="3" t="s">
        <v>1097</v>
      </c>
      <c r="D94" s="3" t="s">
        <v>2</v>
      </c>
      <c r="E94" s="3" t="s">
        <v>966</v>
      </c>
    </row>
    <row r="95" spans="1:5">
      <c r="A95" s="2">
        <v>5471097</v>
      </c>
      <c r="B95" s="3" t="s">
        <v>876</v>
      </c>
      <c r="C95" s="3" t="s">
        <v>919</v>
      </c>
      <c r="D95" s="3" t="s">
        <v>2</v>
      </c>
      <c r="E95" s="3" t="s">
        <v>1455</v>
      </c>
    </row>
    <row r="96" spans="1:5">
      <c r="A96" s="2">
        <v>5470097</v>
      </c>
      <c r="B96" s="3" t="s">
        <v>876</v>
      </c>
      <c r="C96" s="3" t="s">
        <v>919</v>
      </c>
      <c r="D96" s="3" t="s">
        <v>2</v>
      </c>
      <c r="E96" s="3" t="s">
        <v>1462</v>
      </c>
    </row>
    <row r="97" spans="1:5">
      <c r="A97" s="2">
        <v>5468097</v>
      </c>
      <c r="B97" s="3" t="s">
        <v>876</v>
      </c>
      <c r="C97" s="3" t="s">
        <v>875</v>
      </c>
      <c r="D97" s="3" t="s">
        <v>2</v>
      </c>
      <c r="E97" s="3" t="s">
        <v>884</v>
      </c>
    </row>
    <row r="98" spans="1:5">
      <c r="A98" s="2">
        <v>5464097</v>
      </c>
      <c r="B98" s="3" t="s">
        <v>876</v>
      </c>
      <c r="C98" s="3" t="s">
        <v>875</v>
      </c>
      <c r="D98" s="3" t="s">
        <v>2</v>
      </c>
      <c r="E98" s="3" t="s">
        <v>1474</v>
      </c>
    </row>
    <row r="99" spans="1:5">
      <c r="A99" s="2">
        <v>5463097</v>
      </c>
      <c r="B99" s="3" t="s">
        <v>876</v>
      </c>
      <c r="C99" s="3" t="s">
        <v>919</v>
      </c>
      <c r="D99" s="3" t="s">
        <v>2</v>
      </c>
      <c r="E99" s="3" t="s">
        <v>1268</v>
      </c>
    </row>
    <row r="100" spans="1:5">
      <c r="A100" s="2">
        <v>5462097</v>
      </c>
      <c r="B100" s="3" t="s">
        <v>876</v>
      </c>
      <c r="C100" s="3" t="s">
        <v>919</v>
      </c>
      <c r="D100" s="3" t="s">
        <v>2</v>
      </c>
      <c r="E100" s="3" t="s">
        <v>1268</v>
      </c>
    </row>
    <row r="101" spans="1:5">
      <c r="A101" s="2">
        <v>5461097</v>
      </c>
      <c r="B101" s="3" t="s">
        <v>876</v>
      </c>
      <c r="C101" s="3" t="s">
        <v>1097</v>
      </c>
      <c r="D101" s="3" t="s">
        <v>2</v>
      </c>
      <c r="E101" s="3" t="s">
        <v>1492</v>
      </c>
    </row>
    <row r="102" spans="1:5">
      <c r="A102" s="2">
        <v>5460097</v>
      </c>
      <c r="B102" s="3" t="s">
        <v>876</v>
      </c>
      <c r="C102" s="3" t="s">
        <v>1097</v>
      </c>
      <c r="D102" s="3" t="s">
        <v>2</v>
      </c>
      <c r="E102" s="3" t="s">
        <v>1056</v>
      </c>
    </row>
    <row r="103" spans="1:5">
      <c r="A103" s="2">
        <v>5459097</v>
      </c>
      <c r="B103" s="3" t="s">
        <v>1033</v>
      </c>
      <c r="C103" s="3" t="s">
        <v>875</v>
      </c>
      <c r="D103" s="3" t="s">
        <v>2</v>
      </c>
      <c r="E103" s="3" t="s">
        <v>994</v>
      </c>
    </row>
    <row r="104" spans="1:5">
      <c r="A104" s="2">
        <v>5458097</v>
      </c>
      <c r="B104" s="3" t="s">
        <v>876</v>
      </c>
      <c r="C104" s="3" t="s">
        <v>919</v>
      </c>
      <c r="D104" s="3" t="s">
        <v>2</v>
      </c>
      <c r="E104" s="3" t="s">
        <v>1001</v>
      </c>
    </row>
    <row r="105" spans="1:5">
      <c r="A105" s="2">
        <v>5457097</v>
      </c>
      <c r="B105" s="3" t="s">
        <v>876</v>
      </c>
      <c r="C105" s="3" t="s">
        <v>919</v>
      </c>
      <c r="D105" s="3" t="s">
        <v>2</v>
      </c>
      <c r="E105" s="3" t="s">
        <v>932</v>
      </c>
    </row>
    <row r="106" spans="1:5">
      <c r="A106" s="2">
        <v>5456097</v>
      </c>
      <c r="B106" s="3" t="s">
        <v>876</v>
      </c>
      <c r="C106" s="3" t="s">
        <v>919</v>
      </c>
      <c r="D106" s="3" t="s">
        <v>2</v>
      </c>
      <c r="E106" s="3" t="s">
        <v>1522</v>
      </c>
    </row>
    <row r="107" spans="1:5">
      <c r="A107" s="2">
        <v>5455097</v>
      </c>
      <c r="B107" s="3" t="s">
        <v>876</v>
      </c>
      <c r="C107" s="3" t="s">
        <v>919</v>
      </c>
      <c r="D107" s="3" t="s">
        <v>2</v>
      </c>
      <c r="E107" s="3" t="s">
        <v>1492</v>
      </c>
    </row>
    <row r="108" spans="1:5">
      <c r="A108" s="2">
        <v>5454097</v>
      </c>
      <c r="B108" s="3" t="s">
        <v>1033</v>
      </c>
      <c r="C108" s="3" t="s">
        <v>1097</v>
      </c>
      <c r="D108" s="3" t="s">
        <v>2</v>
      </c>
      <c r="E108" s="3" t="s">
        <v>1138</v>
      </c>
    </row>
    <row r="109" spans="1:5">
      <c r="A109" s="2">
        <v>5451097</v>
      </c>
      <c r="B109" s="3" t="s">
        <v>1312</v>
      </c>
      <c r="C109" s="3" t="s">
        <v>919</v>
      </c>
      <c r="D109" s="3" t="s">
        <v>2</v>
      </c>
      <c r="E109" s="3" t="s">
        <v>1540</v>
      </c>
    </row>
    <row r="110" spans="1:5">
      <c r="A110" s="2">
        <v>5450097</v>
      </c>
      <c r="B110" s="3" t="s">
        <v>876</v>
      </c>
      <c r="C110" s="3" t="s">
        <v>875</v>
      </c>
      <c r="D110" s="3" t="s">
        <v>2</v>
      </c>
      <c r="E110" s="3" t="s">
        <v>1138</v>
      </c>
    </row>
    <row r="111" spans="1:5">
      <c r="A111" s="2">
        <v>5449097</v>
      </c>
      <c r="B111" s="3" t="s">
        <v>876</v>
      </c>
      <c r="C111" s="3" t="s">
        <v>919</v>
      </c>
      <c r="D111" s="3" t="s">
        <v>2</v>
      </c>
      <c r="E111" s="3" t="s">
        <v>1551</v>
      </c>
    </row>
    <row r="112" spans="1:5">
      <c r="A112" s="2">
        <v>5448097</v>
      </c>
      <c r="B112" s="3" t="s">
        <v>876</v>
      </c>
      <c r="C112" s="3" t="s">
        <v>919</v>
      </c>
      <c r="D112" s="3" t="s">
        <v>2</v>
      </c>
      <c r="E112" s="3" t="s">
        <v>1557</v>
      </c>
    </row>
    <row r="113" spans="1:5">
      <c r="A113" s="2">
        <v>5446097</v>
      </c>
      <c r="B113" s="3" t="s">
        <v>876</v>
      </c>
      <c r="C113" s="3" t="s">
        <v>1026</v>
      </c>
      <c r="D113" s="3" t="s">
        <v>2</v>
      </c>
      <c r="E113" s="3" t="s">
        <v>1492</v>
      </c>
    </row>
    <row r="114" spans="1:5">
      <c r="A114" s="2">
        <v>5445097</v>
      </c>
      <c r="B114" s="3" t="s">
        <v>876</v>
      </c>
      <c r="C114" s="3" t="s">
        <v>875</v>
      </c>
      <c r="D114" s="3" t="s">
        <v>2</v>
      </c>
      <c r="E114" s="3" t="s">
        <v>874</v>
      </c>
    </row>
    <row r="115" spans="1:5">
      <c r="A115" s="2">
        <v>5444097</v>
      </c>
      <c r="B115" s="3" t="s">
        <v>876</v>
      </c>
      <c r="C115" s="3" t="s">
        <v>919</v>
      </c>
      <c r="D115" s="3" t="s">
        <v>2</v>
      </c>
      <c r="E115" s="3" t="s">
        <v>1056</v>
      </c>
    </row>
    <row r="116" spans="1:5">
      <c r="A116" s="2">
        <v>5443097</v>
      </c>
      <c r="B116" s="3" t="s">
        <v>876</v>
      </c>
      <c r="C116" s="3" t="s">
        <v>919</v>
      </c>
      <c r="D116" s="3" t="s">
        <v>2</v>
      </c>
      <c r="E116" s="3" t="s">
        <v>1235</v>
      </c>
    </row>
    <row r="117" spans="1:5">
      <c r="A117" s="2">
        <v>5441097</v>
      </c>
      <c r="B117" s="3" t="s">
        <v>876</v>
      </c>
      <c r="C117" s="3" t="s">
        <v>875</v>
      </c>
      <c r="D117" s="3" t="s">
        <v>2</v>
      </c>
      <c r="E117" s="3" t="s">
        <v>1412</v>
      </c>
    </row>
    <row r="118" spans="1:5">
      <c r="A118" s="2">
        <v>5440097</v>
      </c>
      <c r="B118" s="3" t="s">
        <v>876</v>
      </c>
      <c r="C118" s="3" t="s">
        <v>875</v>
      </c>
      <c r="D118" s="3" t="s">
        <v>2</v>
      </c>
      <c r="E118" s="3" t="s">
        <v>898</v>
      </c>
    </row>
    <row r="119" spans="1:5">
      <c r="A119" s="2">
        <v>5439097</v>
      </c>
      <c r="B119" s="3" t="s">
        <v>876</v>
      </c>
      <c r="C119" s="3" t="s">
        <v>875</v>
      </c>
      <c r="D119" s="3" t="s">
        <v>7</v>
      </c>
      <c r="E119" s="3" t="s">
        <v>932</v>
      </c>
    </row>
    <row r="120" spans="1:5">
      <c r="A120" s="2">
        <v>5438097</v>
      </c>
      <c r="B120" s="3" t="s">
        <v>876</v>
      </c>
      <c r="C120" s="3" t="s">
        <v>919</v>
      </c>
      <c r="D120" s="3" t="s">
        <v>2</v>
      </c>
      <c r="E120" s="3" t="s">
        <v>1462</v>
      </c>
    </row>
    <row r="121" spans="1:5">
      <c r="A121" s="2">
        <v>5437097</v>
      </c>
      <c r="B121" s="3" t="s">
        <v>876</v>
      </c>
      <c r="C121" s="3" t="s">
        <v>919</v>
      </c>
      <c r="D121" s="3" t="s">
        <v>2</v>
      </c>
      <c r="E121" s="3" t="s">
        <v>1063</v>
      </c>
    </row>
    <row r="122" spans="1:5">
      <c r="A122" s="2">
        <v>5436097</v>
      </c>
      <c r="B122" s="3" t="s">
        <v>876</v>
      </c>
      <c r="C122" s="3" t="s">
        <v>919</v>
      </c>
      <c r="D122" s="3" t="s">
        <v>2</v>
      </c>
      <c r="E122" s="3" t="s">
        <v>905</v>
      </c>
    </row>
    <row r="123" spans="1:5">
      <c r="A123" s="2">
        <v>5435097</v>
      </c>
      <c r="B123" s="3" t="s">
        <v>876</v>
      </c>
      <c r="C123" s="3" t="s">
        <v>919</v>
      </c>
      <c r="D123" s="3" t="s">
        <v>2</v>
      </c>
      <c r="E123" s="3" t="s">
        <v>932</v>
      </c>
    </row>
    <row r="124" spans="1:5">
      <c r="A124" s="2">
        <v>5434097</v>
      </c>
      <c r="B124" s="3" t="s">
        <v>876</v>
      </c>
      <c r="C124" s="3" t="s">
        <v>919</v>
      </c>
      <c r="D124" s="3" t="s">
        <v>2</v>
      </c>
      <c r="E124" s="3" t="s">
        <v>1474</v>
      </c>
    </row>
    <row r="125" spans="1:5">
      <c r="A125" s="2">
        <v>5433097</v>
      </c>
      <c r="B125" s="3" t="s">
        <v>876</v>
      </c>
      <c r="C125" s="3" t="s">
        <v>919</v>
      </c>
      <c r="D125" s="3" t="s">
        <v>2</v>
      </c>
      <c r="E125" s="3" t="s">
        <v>1205</v>
      </c>
    </row>
    <row r="126" spans="1:5">
      <c r="A126" s="2">
        <v>5432097</v>
      </c>
      <c r="B126" s="3" t="s">
        <v>876</v>
      </c>
      <c r="C126" s="3" t="s">
        <v>919</v>
      </c>
      <c r="D126" s="3" t="s">
        <v>2</v>
      </c>
      <c r="E126" s="3" t="s">
        <v>1374</v>
      </c>
    </row>
    <row r="127" spans="1:5">
      <c r="A127" s="2">
        <v>5431097</v>
      </c>
      <c r="B127" s="3" t="s">
        <v>876</v>
      </c>
      <c r="C127" s="3" t="s">
        <v>1097</v>
      </c>
      <c r="D127" s="3" t="s">
        <v>76</v>
      </c>
      <c r="E127" s="3" t="s">
        <v>1082</v>
      </c>
    </row>
    <row r="128" spans="1:5">
      <c r="A128" s="2">
        <v>5430097</v>
      </c>
      <c r="B128" s="3" t="s">
        <v>1312</v>
      </c>
      <c r="C128" s="3" t="s">
        <v>875</v>
      </c>
      <c r="D128" s="3" t="s">
        <v>2</v>
      </c>
      <c r="E128" s="3" t="s">
        <v>1126</v>
      </c>
    </row>
    <row r="129" spans="1:5">
      <c r="A129" s="2">
        <v>5428097</v>
      </c>
      <c r="B129" s="3" t="s">
        <v>876</v>
      </c>
      <c r="C129" s="3" t="s">
        <v>919</v>
      </c>
      <c r="D129" s="3" t="s">
        <v>2</v>
      </c>
      <c r="E129" s="3" t="s">
        <v>1268</v>
      </c>
    </row>
    <row r="130" spans="1:5">
      <c r="A130" s="2">
        <v>5427097</v>
      </c>
      <c r="B130" s="3" t="s">
        <v>876</v>
      </c>
      <c r="C130" s="3" t="s">
        <v>919</v>
      </c>
      <c r="D130" s="3" t="s">
        <v>2</v>
      </c>
      <c r="E130" s="3" t="s">
        <v>1056</v>
      </c>
    </row>
    <row r="131" spans="1:5">
      <c r="A131" s="2">
        <v>5426097</v>
      </c>
      <c r="B131" s="3" t="s">
        <v>876</v>
      </c>
      <c r="C131" s="3" t="s">
        <v>919</v>
      </c>
      <c r="D131" s="3" t="s">
        <v>2</v>
      </c>
      <c r="E131" s="3" t="s">
        <v>1305</v>
      </c>
    </row>
    <row r="132" spans="1:5">
      <c r="A132" s="2">
        <v>5425097</v>
      </c>
      <c r="B132" s="3" t="s">
        <v>876</v>
      </c>
      <c r="C132" s="3" t="s">
        <v>919</v>
      </c>
      <c r="D132" s="3" t="s">
        <v>2</v>
      </c>
      <c r="E132" s="3" t="s">
        <v>1443</v>
      </c>
    </row>
    <row r="133" spans="1:5">
      <c r="A133" s="2">
        <v>5422097</v>
      </c>
      <c r="B133" s="3" t="s">
        <v>876</v>
      </c>
      <c r="C133" s="3" t="s">
        <v>919</v>
      </c>
      <c r="D133" s="3" t="s">
        <v>2</v>
      </c>
      <c r="E133" s="3" t="s">
        <v>1672</v>
      </c>
    </row>
    <row r="134" spans="1:5">
      <c r="A134" s="2">
        <v>5419097</v>
      </c>
      <c r="B134" s="3" t="s">
        <v>876</v>
      </c>
      <c r="C134" s="3" t="s">
        <v>919</v>
      </c>
      <c r="D134" s="3" t="s">
        <v>2</v>
      </c>
      <c r="E134" s="3" t="s">
        <v>994</v>
      </c>
    </row>
    <row r="135" spans="1:5">
      <c r="A135" s="2">
        <v>5418097</v>
      </c>
      <c r="B135" s="3" t="s">
        <v>876</v>
      </c>
      <c r="C135" s="3" t="s">
        <v>919</v>
      </c>
      <c r="D135" s="3" t="s">
        <v>2</v>
      </c>
      <c r="E135" s="3" t="s">
        <v>1229</v>
      </c>
    </row>
    <row r="136" spans="1:5">
      <c r="A136" s="2">
        <v>5417097</v>
      </c>
      <c r="B136" s="3" t="s">
        <v>876</v>
      </c>
      <c r="C136" s="3" t="s">
        <v>919</v>
      </c>
      <c r="D136" s="3" t="s">
        <v>2</v>
      </c>
      <c r="E136" s="3" t="s">
        <v>1126</v>
      </c>
    </row>
    <row r="137" spans="1:5">
      <c r="A137" s="2">
        <v>5416097</v>
      </c>
      <c r="B137" s="3" t="s">
        <v>876</v>
      </c>
      <c r="C137" s="3" t="s">
        <v>919</v>
      </c>
      <c r="D137" s="3" t="s">
        <v>2</v>
      </c>
      <c r="E137" s="3" t="s">
        <v>1268</v>
      </c>
    </row>
    <row r="138" spans="1:5">
      <c r="A138" s="2">
        <v>5415097</v>
      </c>
      <c r="B138" s="3" t="s">
        <v>876</v>
      </c>
      <c r="C138" s="3" t="s">
        <v>1097</v>
      </c>
      <c r="D138" s="3" t="s">
        <v>2</v>
      </c>
      <c r="E138" s="3" t="s">
        <v>972</v>
      </c>
    </row>
    <row r="139" spans="1:5">
      <c r="A139" s="2">
        <v>5413097</v>
      </c>
      <c r="B139" s="3" t="s">
        <v>876</v>
      </c>
      <c r="C139" s="3" t="s">
        <v>919</v>
      </c>
      <c r="D139" s="3" t="s">
        <v>2</v>
      </c>
      <c r="E139" s="3" t="s">
        <v>994</v>
      </c>
    </row>
    <row r="140" spans="1:5">
      <c r="A140" s="2">
        <v>5412097</v>
      </c>
      <c r="B140" s="3" t="s">
        <v>876</v>
      </c>
      <c r="C140" s="3" t="s">
        <v>919</v>
      </c>
      <c r="D140" s="3" t="s">
        <v>2</v>
      </c>
      <c r="E140" s="3" t="s">
        <v>925</v>
      </c>
    </row>
    <row r="141" spans="1:5">
      <c r="A141" s="2">
        <v>5411097</v>
      </c>
      <c r="B141" s="3" t="s">
        <v>876</v>
      </c>
      <c r="C141" s="3" t="s">
        <v>919</v>
      </c>
      <c r="D141" s="3" t="s">
        <v>2</v>
      </c>
      <c r="E141" s="3" t="s">
        <v>898</v>
      </c>
    </row>
    <row r="142" spans="1:5">
      <c r="A142" s="2">
        <v>5409097</v>
      </c>
      <c r="B142" s="3" t="s">
        <v>876</v>
      </c>
      <c r="C142" s="3" t="s">
        <v>919</v>
      </c>
      <c r="D142" s="3" t="s">
        <v>2</v>
      </c>
      <c r="E142" s="3" t="s">
        <v>1001</v>
      </c>
    </row>
    <row r="143" spans="1:5">
      <c r="A143" s="2">
        <v>5407097</v>
      </c>
      <c r="B143" s="3" t="s">
        <v>876</v>
      </c>
      <c r="C143" s="3" t="s">
        <v>919</v>
      </c>
      <c r="D143" s="3" t="s">
        <v>2</v>
      </c>
      <c r="E143" s="3" t="s">
        <v>1342</v>
      </c>
    </row>
    <row r="144" spans="1:5">
      <c r="A144" s="2">
        <v>5406097</v>
      </c>
      <c r="B144" s="3" t="s">
        <v>876</v>
      </c>
      <c r="C144" s="3" t="s">
        <v>919</v>
      </c>
      <c r="D144" s="3" t="s">
        <v>2</v>
      </c>
      <c r="E144" s="3" t="s">
        <v>925</v>
      </c>
    </row>
    <row r="145" spans="1:5">
      <c r="A145" s="2">
        <v>5405097</v>
      </c>
      <c r="B145" s="3" t="s">
        <v>876</v>
      </c>
      <c r="C145" s="3" t="s">
        <v>875</v>
      </c>
      <c r="D145" s="3" t="s">
        <v>2</v>
      </c>
      <c r="E145" s="3" t="s">
        <v>1151</v>
      </c>
    </row>
    <row r="146" spans="1:5">
      <c r="A146" s="2">
        <v>5404097</v>
      </c>
      <c r="B146" s="3" t="s">
        <v>876</v>
      </c>
      <c r="C146" s="3" t="s">
        <v>919</v>
      </c>
      <c r="D146" s="3" t="s">
        <v>2</v>
      </c>
      <c r="E146" s="3" t="s">
        <v>1551</v>
      </c>
    </row>
    <row r="147" spans="1:5">
      <c r="A147" s="2">
        <v>5400097</v>
      </c>
      <c r="B147" s="3" t="s">
        <v>876</v>
      </c>
      <c r="C147" s="3" t="s">
        <v>1026</v>
      </c>
      <c r="D147" s="3" t="s">
        <v>2</v>
      </c>
      <c r="E147" s="3" t="s">
        <v>1672</v>
      </c>
    </row>
    <row r="148" spans="1:5">
      <c r="A148" s="2">
        <v>5399097</v>
      </c>
      <c r="B148" s="3" t="s">
        <v>876</v>
      </c>
      <c r="C148" s="3" t="s">
        <v>875</v>
      </c>
      <c r="D148" s="3" t="s">
        <v>2</v>
      </c>
      <c r="E148" s="3" t="s">
        <v>925</v>
      </c>
    </row>
    <row r="149" spans="1:5">
      <c r="A149" s="2">
        <v>5397097</v>
      </c>
      <c r="B149" s="3" t="s">
        <v>876</v>
      </c>
      <c r="C149" s="3" t="s">
        <v>919</v>
      </c>
      <c r="D149" s="3" t="s">
        <v>2</v>
      </c>
      <c r="E149" s="3" t="s">
        <v>1763</v>
      </c>
    </row>
    <row r="150" spans="1:5">
      <c r="A150" s="2">
        <v>5396097</v>
      </c>
      <c r="B150" s="3" t="s">
        <v>876</v>
      </c>
      <c r="C150" s="3" t="s">
        <v>1097</v>
      </c>
      <c r="D150" s="3" t="s">
        <v>2</v>
      </c>
      <c r="E150" s="3" t="s">
        <v>1229</v>
      </c>
    </row>
    <row r="151" spans="1:5">
      <c r="A151" s="2">
        <v>5395097</v>
      </c>
      <c r="B151" s="3" t="s">
        <v>876</v>
      </c>
      <c r="C151" s="3" t="s">
        <v>1097</v>
      </c>
      <c r="D151" s="3" t="s">
        <v>2</v>
      </c>
      <c r="E151" s="3" t="s">
        <v>932</v>
      </c>
    </row>
    <row r="152" spans="1:5">
      <c r="A152" s="2">
        <v>5394097</v>
      </c>
      <c r="B152" s="3" t="s">
        <v>876</v>
      </c>
      <c r="C152" s="3" t="s">
        <v>1097</v>
      </c>
      <c r="D152" s="3" t="s">
        <v>76</v>
      </c>
      <c r="E152" s="3" t="s">
        <v>1235</v>
      </c>
    </row>
    <row r="153" spans="1:5">
      <c r="A153" s="2">
        <v>5393097</v>
      </c>
      <c r="B153" s="3" t="s">
        <v>876</v>
      </c>
      <c r="C153" s="3" t="s">
        <v>1097</v>
      </c>
      <c r="D153" s="3" t="s">
        <v>2</v>
      </c>
      <c r="E153" s="3" t="s">
        <v>1305</v>
      </c>
    </row>
    <row r="154" spans="1:5">
      <c r="A154" s="2">
        <v>5392097</v>
      </c>
      <c r="B154" s="3" t="s">
        <v>876</v>
      </c>
      <c r="C154" s="3" t="s">
        <v>919</v>
      </c>
      <c r="D154" s="3" t="s">
        <v>2</v>
      </c>
      <c r="E154" s="3" t="s">
        <v>1792</v>
      </c>
    </row>
    <row r="155" spans="1:5">
      <c r="A155" s="2">
        <v>5386097</v>
      </c>
      <c r="B155" s="3" t="s">
        <v>876</v>
      </c>
      <c r="C155" s="3" t="s">
        <v>919</v>
      </c>
      <c r="D155" s="3" t="s">
        <v>2</v>
      </c>
      <c r="E155" s="3" t="s">
        <v>1799</v>
      </c>
    </row>
    <row r="156" spans="1:5">
      <c r="A156" s="2">
        <v>5385097</v>
      </c>
      <c r="B156" s="3" t="s">
        <v>876</v>
      </c>
      <c r="C156" s="3" t="s">
        <v>1097</v>
      </c>
      <c r="D156" s="3" t="s">
        <v>2</v>
      </c>
      <c r="E156" s="3" t="s">
        <v>994</v>
      </c>
    </row>
    <row r="157" spans="1:5">
      <c r="A157" s="2">
        <v>5383097</v>
      </c>
      <c r="B157" s="3" t="s">
        <v>876</v>
      </c>
      <c r="C157" s="3" t="s">
        <v>875</v>
      </c>
      <c r="D157" s="3" t="s">
        <v>2</v>
      </c>
      <c r="E157" s="3" t="s">
        <v>1342</v>
      </c>
    </row>
    <row r="158" spans="1:5">
      <c r="A158" s="2">
        <v>5378097</v>
      </c>
      <c r="B158" s="3" t="s">
        <v>876</v>
      </c>
      <c r="C158" s="3" t="s">
        <v>919</v>
      </c>
      <c r="D158" s="3" t="s">
        <v>2</v>
      </c>
      <c r="E158" s="3" t="s">
        <v>1063</v>
      </c>
    </row>
    <row r="159" spans="1:5">
      <c r="A159" s="2">
        <v>5377097</v>
      </c>
      <c r="B159" s="3" t="s">
        <v>876</v>
      </c>
      <c r="C159" s="3" t="s">
        <v>875</v>
      </c>
      <c r="D159" s="3" t="s">
        <v>2</v>
      </c>
      <c r="E159" s="3" t="s">
        <v>1672</v>
      </c>
    </row>
    <row r="160" spans="1:5">
      <c r="A160" s="2">
        <v>5375097</v>
      </c>
      <c r="B160" s="3" t="s">
        <v>876</v>
      </c>
      <c r="C160" s="3" t="s">
        <v>919</v>
      </c>
      <c r="D160" s="3" t="s">
        <v>2</v>
      </c>
      <c r="E160" s="3" t="s">
        <v>1827</v>
      </c>
    </row>
    <row r="161" spans="1:5">
      <c r="A161" s="2">
        <v>5364097</v>
      </c>
      <c r="B161" s="3" t="s">
        <v>876</v>
      </c>
      <c r="C161" s="3" t="s">
        <v>919</v>
      </c>
      <c r="D161" s="3" t="s">
        <v>2</v>
      </c>
      <c r="E161" s="3" t="s">
        <v>1557</v>
      </c>
    </row>
    <row r="162" spans="1:5">
      <c r="A162" s="2">
        <v>5356097</v>
      </c>
      <c r="B162" s="3" t="s">
        <v>876</v>
      </c>
      <c r="C162" s="3" t="s">
        <v>1026</v>
      </c>
      <c r="D162" s="3" t="s">
        <v>2</v>
      </c>
      <c r="E162" s="3" t="s">
        <v>953</v>
      </c>
    </row>
    <row r="163" spans="1:5">
      <c r="A163" s="2">
        <v>5353097</v>
      </c>
      <c r="B163" s="3" t="s">
        <v>933</v>
      </c>
      <c r="C163" s="3" t="s">
        <v>1026</v>
      </c>
      <c r="D163" s="3" t="s">
        <v>2</v>
      </c>
      <c r="E163" s="3" t="s">
        <v>1845</v>
      </c>
    </row>
    <row r="164" spans="1:5">
      <c r="A164" s="2">
        <v>5352097</v>
      </c>
      <c r="B164" s="3" t="s">
        <v>933</v>
      </c>
      <c r="C164" s="3" t="s">
        <v>1026</v>
      </c>
      <c r="D164" s="3" t="s">
        <v>2</v>
      </c>
      <c r="E164" s="3" t="s">
        <v>953</v>
      </c>
    </row>
    <row r="165" spans="1:5">
      <c r="A165" s="2">
        <v>5351097</v>
      </c>
      <c r="B165" s="3" t="s">
        <v>876</v>
      </c>
      <c r="C165" s="3" t="s">
        <v>875</v>
      </c>
      <c r="D165" s="3" t="s">
        <v>2</v>
      </c>
      <c r="E165" s="3" t="s">
        <v>972</v>
      </c>
    </row>
    <row r="166" spans="1:5">
      <c r="A166" s="2">
        <v>5347097</v>
      </c>
      <c r="B166" s="3" t="s">
        <v>1033</v>
      </c>
      <c r="C166" s="3" t="s">
        <v>1097</v>
      </c>
      <c r="D166" s="3" t="s">
        <v>2</v>
      </c>
      <c r="E166" s="3" t="s">
        <v>1863</v>
      </c>
    </row>
    <row r="167" spans="1:5">
      <c r="A167" s="2">
        <v>5346097</v>
      </c>
      <c r="B167" s="3" t="s">
        <v>1033</v>
      </c>
      <c r="C167" s="3" t="s">
        <v>919</v>
      </c>
      <c r="D167" s="3" t="s">
        <v>2</v>
      </c>
      <c r="E167" s="3" t="s">
        <v>1870</v>
      </c>
    </row>
    <row r="168" spans="1:5">
      <c r="A168" s="2">
        <v>5343097</v>
      </c>
      <c r="B168" s="3" t="s">
        <v>876</v>
      </c>
      <c r="C168" s="3" t="s">
        <v>919</v>
      </c>
      <c r="D168" s="3" t="s">
        <v>2</v>
      </c>
      <c r="E168" s="3" t="s">
        <v>1876</v>
      </c>
    </row>
    <row r="169" spans="1:5">
      <c r="A169" s="2">
        <v>5341097</v>
      </c>
      <c r="B169" s="3" t="s">
        <v>876</v>
      </c>
      <c r="C169" s="3" t="s">
        <v>875</v>
      </c>
      <c r="D169" s="3" t="s">
        <v>2</v>
      </c>
      <c r="E169" s="3" t="s">
        <v>972</v>
      </c>
    </row>
    <row r="170" spans="1:5">
      <c r="A170" s="2">
        <v>5339097</v>
      </c>
      <c r="B170" s="3" t="s">
        <v>1033</v>
      </c>
      <c r="C170" s="3" t="s">
        <v>919</v>
      </c>
      <c r="D170" s="3" t="s">
        <v>2</v>
      </c>
      <c r="E170" s="3" t="s">
        <v>932</v>
      </c>
    </row>
    <row r="171" spans="1:5">
      <c r="A171" s="2">
        <v>5336097</v>
      </c>
      <c r="B171" s="3" t="s">
        <v>876</v>
      </c>
      <c r="C171" s="3" t="s">
        <v>919</v>
      </c>
      <c r="D171" s="3" t="s">
        <v>2</v>
      </c>
      <c r="E171" s="3" t="s">
        <v>1894</v>
      </c>
    </row>
    <row r="172" spans="1:5">
      <c r="A172" s="2">
        <v>5335097</v>
      </c>
      <c r="B172" s="3" t="s">
        <v>876</v>
      </c>
      <c r="C172" s="3" t="s">
        <v>919</v>
      </c>
      <c r="D172" s="3" t="s">
        <v>2</v>
      </c>
      <c r="E172" s="3" t="s">
        <v>1901</v>
      </c>
    </row>
    <row r="173" spans="1:5">
      <c r="A173" s="2">
        <v>5334097</v>
      </c>
      <c r="B173" s="3" t="s">
        <v>876</v>
      </c>
      <c r="C173" s="3" t="s">
        <v>919</v>
      </c>
      <c r="D173" s="3" t="s">
        <v>2</v>
      </c>
      <c r="E173" s="3" t="s">
        <v>1827</v>
      </c>
    </row>
    <row r="174" spans="1:5">
      <c r="A174" s="2">
        <v>5333097</v>
      </c>
      <c r="B174" s="3" t="s">
        <v>876</v>
      </c>
      <c r="C174" s="3" t="s">
        <v>919</v>
      </c>
      <c r="D174" s="3" t="s">
        <v>2</v>
      </c>
      <c r="E174" s="3" t="s">
        <v>1914</v>
      </c>
    </row>
    <row r="175" spans="1:5">
      <c r="A175" s="2">
        <v>5332097</v>
      </c>
      <c r="B175" s="3" t="s">
        <v>933</v>
      </c>
      <c r="C175" s="3" t="s">
        <v>1026</v>
      </c>
      <c r="D175" s="3" t="s">
        <v>2</v>
      </c>
      <c r="E175" s="3" t="s">
        <v>1920</v>
      </c>
    </row>
    <row r="176" spans="1:5">
      <c r="A176" s="2">
        <v>5331097</v>
      </c>
      <c r="B176" s="3" t="s">
        <v>876</v>
      </c>
      <c r="C176" s="3" t="s">
        <v>919</v>
      </c>
      <c r="D176" s="3" t="s">
        <v>2</v>
      </c>
      <c r="E176" s="3" t="s">
        <v>1926</v>
      </c>
    </row>
    <row r="177" spans="1:5">
      <c r="A177" s="2">
        <v>5329097</v>
      </c>
      <c r="B177" s="3" t="s">
        <v>876</v>
      </c>
      <c r="C177" s="3" t="s">
        <v>875</v>
      </c>
      <c r="D177" s="3" t="s">
        <v>2</v>
      </c>
      <c r="E177" s="3" t="s">
        <v>1056</v>
      </c>
    </row>
    <row r="178" spans="1:5">
      <c r="A178" s="2">
        <v>5327097</v>
      </c>
      <c r="B178" s="3" t="s">
        <v>933</v>
      </c>
      <c r="C178" s="3" t="s">
        <v>1026</v>
      </c>
      <c r="D178" s="3" t="s">
        <v>2</v>
      </c>
      <c r="E178" s="3" t="s">
        <v>1937</v>
      </c>
    </row>
    <row r="179" spans="1:5">
      <c r="A179" s="2">
        <v>5326097</v>
      </c>
      <c r="B179" s="3" t="s">
        <v>876</v>
      </c>
      <c r="C179" s="3" t="s">
        <v>875</v>
      </c>
      <c r="D179" s="3" t="s">
        <v>2</v>
      </c>
      <c r="E179" s="3" t="s">
        <v>911</v>
      </c>
    </row>
    <row r="180" spans="1:5">
      <c r="A180" s="2">
        <v>5325097</v>
      </c>
      <c r="B180" s="3" t="s">
        <v>876</v>
      </c>
      <c r="C180" s="3" t="s">
        <v>1026</v>
      </c>
      <c r="D180" s="3" t="s">
        <v>2</v>
      </c>
      <c r="E180" s="3" t="s">
        <v>953</v>
      </c>
    </row>
    <row r="181" spans="1:5">
      <c r="A181" s="2">
        <v>5324097</v>
      </c>
      <c r="B181" s="3" t="s">
        <v>876</v>
      </c>
      <c r="C181" s="3" t="s">
        <v>875</v>
      </c>
      <c r="D181" s="3" t="s">
        <v>2</v>
      </c>
      <c r="E181" s="3" t="s">
        <v>884</v>
      </c>
    </row>
    <row r="182" spans="1:5">
      <c r="A182" s="2">
        <v>5320097</v>
      </c>
      <c r="B182" s="3" t="s">
        <v>876</v>
      </c>
      <c r="C182" s="3" t="s">
        <v>875</v>
      </c>
      <c r="D182" s="3" t="s">
        <v>2</v>
      </c>
      <c r="E182" s="3" t="s">
        <v>1025</v>
      </c>
    </row>
    <row r="183" spans="1:5">
      <c r="A183" s="2">
        <v>5319097</v>
      </c>
      <c r="B183" s="3" t="s">
        <v>876</v>
      </c>
      <c r="C183" s="3" t="s">
        <v>875</v>
      </c>
      <c r="D183" s="3" t="s">
        <v>2</v>
      </c>
      <c r="E183" s="3" t="s">
        <v>1082</v>
      </c>
    </row>
    <row r="184" spans="1:5">
      <c r="A184" s="2">
        <v>5318097</v>
      </c>
      <c r="B184" s="3" t="s">
        <v>876</v>
      </c>
      <c r="C184" s="3" t="s">
        <v>875</v>
      </c>
      <c r="D184" s="3" t="s">
        <v>2</v>
      </c>
      <c r="E184" s="3" t="s">
        <v>1056</v>
      </c>
    </row>
    <row r="185" spans="1:5">
      <c r="A185" s="2">
        <v>5316097</v>
      </c>
      <c r="B185" s="3" t="s">
        <v>876</v>
      </c>
      <c r="C185" s="3" t="s">
        <v>875</v>
      </c>
      <c r="D185" s="3" t="s">
        <v>2</v>
      </c>
      <c r="E185" s="3" t="s">
        <v>1443</v>
      </c>
    </row>
    <row r="186" spans="1:5">
      <c r="A186" s="2">
        <v>5314097</v>
      </c>
      <c r="B186" s="3" t="s">
        <v>876</v>
      </c>
      <c r="C186" s="3" t="s">
        <v>875</v>
      </c>
      <c r="D186" s="3" t="s">
        <v>2</v>
      </c>
      <c r="E186" s="3" t="s">
        <v>1845</v>
      </c>
    </row>
    <row r="187" spans="1:5">
      <c r="A187" s="2">
        <v>5292097</v>
      </c>
      <c r="B187" s="3" t="s">
        <v>876</v>
      </c>
      <c r="C187" s="3" t="s">
        <v>875</v>
      </c>
      <c r="D187" s="3" t="s">
        <v>2</v>
      </c>
      <c r="E187" s="3" t="s">
        <v>1235</v>
      </c>
    </row>
    <row r="188" spans="1:5">
      <c r="A188" s="2">
        <v>5291097</v>
      </c>
      <c r="B188" s="3" t="s">
        <v>1033</v>
      </c>
      <c r="C188" s="3" t="s">
        <v>1097</v>
      </c>
      <c r="D188" s="3" t="s">
        <v>2</v>
      </c>
      <c r="E188" s="3" t="s">
        <v>932</v>
      </c>
    </row>
    <row r="189" spans="1:5">
      <c r="A189" s="2">
        <v>5289097</v>
      </c>
      <c r="B189" s="3" t="s">
        <v>1033</v>
      </c>
      <c r="C189" s="3" t="s">
        <v>1097</v>
      </c>
      <c r="D189" s="3" t="s">
        <v>2</v>
      </c>
      <c r="E189" s="3" t="s">
        <v>911</v>
      </c>
    </row>
    <row r="190" spans="1:5">
      <c r="A190" s="2">
        <v>5288097</v>
      </c>
      <c r="B190" s="3" t="s">
        <v>876</v>
      </c>
      <c r="C190" s="3" t="s">
        <v>919</v>
      </c>
      <c r="D190" s="3" t="s">
        <v>2</v>
      </c>
      <c r="E190" s="3" t="s">
        <v>932</v>
      </c>
    </row>
    <row r="191" spans="1:5">
      <c r="A191" s="2">
        <v>5285097</v>
      </c>
      <c r="B191" s="3" t="s">
        <v>1033</v>
      </c>
      <c r="C191" s="3" t="s">
        <v>875</v>
      </c>
      <c r="D191" s="3" t="s">
        <v>2</v>
      </c>
      <c r="E191" s="3" t="s">
        <v>1235</v>
      </c>
    </row>
    <row r="192" spans="1:5">
      <c r="A192" s="2">
        <v>5281097</v>
      </c>
      <c r="B192" s="3" t="s">
        <v>876</v>
      </c>
      <c r="C192" s="3" t="s">
        <v>1026</v>
      </c>
      <c r="D192" s="3" t="s">
        <v>2</v>
      </c>
      <c r="E192" s="3" t="s">
        <v>1672</v>
      </c>
    </row>
    <row r="193" spans="1:5">
      <c r="A193" s="2">
        <v>5279097</v>
      </c>
      <c r="B193" s="3" t="s">
        <v>876</v>
      </c>
      <c r="C193" s="3" t="s">
        <v>1097</v>
      </c>
      <c r="D193" s="3" t="s">
        <v>2</v>
      </c>
      <c r="E193" s="3" t="s">
        <v>1138</v>
      </c>
    </row>
    <row r="194" spans="1:5">
      <c r="A194" s="2">
        <v>5275097</v>
      </c>
      <c r="B194" s="3" t="s">
        <v>1033</v>
      </c>
      <c r="C194" s="3" t="s">
        <v>919</v>
      </c>
      <c r="D194" s="3" t="s">
        <v>2</v>
      </c>
      <c r="E194" s="3" t="s">
        <v>2027</v>
      </c>
    </row>
    <row r="195" spans="1:5">
      <c r="A195" s="2">
        <v>5269097</v>
      </c>
      <c r="B195" s="3" t="s">
        <v>1033</v>
      </c>
      <c r="C195" s="3" t="s">
        <v>875</v>
      </c>
      <c r="D195" s="3" t="s">
        <v>2</v>
      </c>
      <c r="E195" s="3" t="s">
        <v>1056</v>
      </c>
    </row>
    <row r="196" spans="1:5">
      <c r="A196" s="2">
        <v>5268097</v>
      </c>
      <c r="B196" s="3" t="s">
        <v>876</v>
      </c>
      <c r="C196" s="3" t="s">
        <v>919</v>
      </c>
      <c r="D196" s="3" t="s">
        <v>2</v>
      </c>
      <c r="E196" s="3" t="s">
        <v>1268</v>
      </c>
    </row>
    <row r="197" spans="1:5">
      <c r="A197" s="2">
        <v>5267097</v>
      </c>
      <c r="B197" s="3" t="s">
        <v>876</v>
      </c>
      <c r="C197" s="3" t="s">
        <v>919</v>
      </c>
      <c r="D197" s="3" t="s">
        <v>2</v>
      </c>
      <c r="E197" s="3" t="s">
        <v>1894</v>
      </c>
    </row>
    <row r="198" spans="1:5">
      <c r="A198" s="2">
        <v>5263097</v>
      </c>
      <c r="B198" s="3" t="s">
        <v>876</v>
      </c>
      <c r="C198" s="3" t="s">
        <v>919</v>
      </c>
      <c r="D198" s="3" t="s">
        <v>2</v>
      </c>
      <c r="E198" s="3" t="s">
        <v>1229</v>
      </c>
    </row>
    <row r="199" spans="1:5">
      <c r="A199" s="2">
        <v>5259097</v>
      </c>
      <c r="B199" s="3" t="s">
        <v>876</v>
      </c>
      <c r="C199" s="3" t="s">
        <v>919</v>
      </c>
      <c r="D199" s="3" t="s">
        <v>7</v>
      </c>
      <c r="E199" s="3" t="s">
        <v>925</v>
      </c>
    </row>
    <row r="200" spans="1:5">
      <c r="A200" s="2">
        <v>5257097</v>
      </c>
      <c r="B200" s="3" t="s">
        <v>876</v>
      </c>
      <c r="C200" s="3" t="s">
        <v>919</v>
      </c>
      <c r="D200" s="3" t="s">
        <v>7</v>
      </c>
      <c r="E200" s="3" t="s">
        <v>1132</v>
      </c>
    </row>
    <row r="201" spans="1:5">
      <c r="A201" s="2">
        <v>5254097</v>
      </c>
      <c r="B201" s="3" t="s">
        <v>876</v>
      </c>
      <c r="C201" s="3" t="s">
        <v>919</v>
      </c>
      <c r="D201" s="3" t="s">
        <v>2</v>
      </c>
      <c r="E201" s="3" t="s">
        <v>1158</v>
      </c>
    </row>
    <row r="202" spans="1:5">
      <c r="A202" s="2">
        <v>5253097</v>
      </c>
      <c r="B202" s="3" t="s">
        <v>876</v>
      </c>
      <c r="C202" s="3" t="s">
        <v>919</v>
      </c>
      <c r="D202" s="3" t="s">
        <v>2</v>
      </c>
      <c r="E202" s="3" t="s">
        <v>2071</v>
      </c>
    </row>
    <row r="203" spans="1:5">
      <c r="A203" s="2">
        <v>5251097</v>
      </c>
      <c r="B203" s="3" t="s">
        <v>876</v>
      </c>
      <c r="C203" s="3" t="s">
        <v>919</v>
      </c>
      <c r="D203" s="3" t="s">
        <v>2</v>
      </c>
      <c r="E203" s="3" t="s">
        <v>994</v>
      </c>
    </row>
    <row r="204" spans="1:5">
      <c r="A204" s="2">
        <v>5250097</v>
      </c>
      <c r="B204" s="3" t="s">
        <v>876</v>
      </c>
      <c r="C204" s="3" t="s">
        <v>875</v>
      </c>
      <c r="D204" s="3" t="s">
        <v>2</v>
      </c>
      <c r="E204" s="3" t="s">
        <v>905</v>
      </c>
    </row>
    <row r="205" spans="1:5">
      <c r="A205" s="2">
        <v>5249097</v>
      </c>
      <c r="B205" s="3" t="s">
        <v>876</v>
      </c>
      <c r="C205" s="3" t="s">
        <v>919</v>
      </c>
      <c r="D205" s="3" t="s">
        <v>2</v>
      </c>
      <c r="E205" s="3" t="s">
        <v>918</v>
      </c>
    </row>
    <row r="206" spans="1:5">
      <c r="A206" s="2">
        <v>5244097</v>
      </c>
      <c r="B206" s="3" t="s">
        <v>876</v>
      </c>
      <c r="C206" s="3" t="s">
        <v>1097</v>
      </c>
      <c r="D206" s="3" t="s">
        <v>2</v>
      </c>
      <c r="E206" s="3" t="s">
        <v>1177</v>
      </c>
    </row>
    <row r="207" spans="1:5">
      <c r="A207" s="2">
        <v>5241097</v>
      </c>
      <c r="B207" s="3" t="s">
        <v>876</v>
      </c>
      <c r="C207" s="3" t="s">
        <v>1097</v>
      </c>
      <c r="D207" s="3" t="s">
        <v>2</v>
      </c>
      <c r="E207" s="3" t="s">
        <v>1672</v>
      </c>
    </row>
    <row r="208" spans="1:5">
      <c r="A208" s="2">
        <v>5238097</v>
      </c>
      <c r="B208" s="3" t="s">
        <v>876</v>
      </c>
      <c r="C208" s="3" t="s">
        <v>919</v>
      </c>
      <c r="D208" s="3" t="s">
        <v>7</v>
      </c>
      <c r="E208" s="3" t="s">
        <v>1205</v>
      </c>
    </row>
    <row r="209" spans="1:5">
      <c r="A209" s="2">
        <v>5236097</v>
      </c>
      <c r="B209" s="3" t="s">
        <v>876</v>
      </c>
      <c r="C209" s="3" t="s">
        <v>919</v>
      </c>
      <c r="D209" s="3" t="s">
        <v>2</v>
      </c>
      <c r="E209" s="3" t="s">
        <v>2111</v>
      </c>
    </row>
    <row r="210" spans="1:5">
      <c r="A210" s="2">
        <v>5235097</v>
      </c>
      <c r="B210" s="3" t="s">
        <v>876</v>
      </c>
      <c r="C210" s="3" t="s">
        <v>919</v>
      </c>
      <c r="D210" s="3" t="s">
        <v>2</v>
      </c>
      <c r="E210" s="3" t="s">
        <v>1863</v>
      </c>
    </row>
    <row r="211" spans="1:5">
      <c r="A211" s="2">
        <v>5234097</v>
      </c>
      <c r="B211" s="3" t="s">
        <v>876</v>
      </c>
      <c r="C211" s="3" t="s">
        <v>919</v>
      </c>
      <c r="D211" s="3" t="s">
        <v>2</v>
      </c>
      <c r="E211" s="3" t="s">
        <v>925</v>
      </c>
    </row>
    <row r="212" spans="1:5">
      <c r="A212" s="2">
        <v>5233097</v>
      </c>
      <c r="B212" s="3" t="s">
        <v>876</v>
      </c>
      <c r="C212" s="3" t="s">
        <v>919</v>
      </c>
      <c r="D212" s="3" t="s">
        <v>2</v>
      </c>
      <c r="E212" s="3" t="s">
        <v>1342</v>
      </c>
    </row>
    <row r="213" spans="1:5">
      <c r="A213" s="2">
        <v>5232097</v>
      </c>
      <c r="B213" s="3" t="s">
        <v>876</v>
      </c>
      <c r="C213" s="3" t="s">
        <v>919</v>
      </c>
      <c r="D213" s="3" t="s">
        <v>2</v>
      </c>
      <c r="E213" s="3" t="s">
        <v>905</v>
      </c>
    </row>
    <row r="214" spans="1:5">
      <c r="A214" s="2">
        <v>5226097</v>
      </c>
      <c r="B214" s="3" t="s">
        <v>876</v>
      </c>
      <c r="C214" s="3" t="s">
        <v>919</v>
      </c>
      <c r="D214" s="3" t="s">
        <v>2</v>
      </c>
      <c r="E214" s="3" t="s">
        <v>1089</v>
      </c>
    </row>
    <row r="215" spans="1:5">
      <c r="A215" s="2">
        <v>5223097</v>
      </c>
      <c r="B215" s="3" t="s">
        <v>876</v>
      </c>
      <c r="C215" s="3" t="s">
        <v>919</v>
      </c>
      <c r="D215" s="3" t="s">
        <v>2</v>
      </c>
      <c r="E215" s="3" t="s">
        <v>1268</v>
      </c>
    </row>
    <row r="216" spans="1:5">
      <c r="A216" s="2">
        <v>5221097</v>
      </c>
      <c r="B216" s="3" t="s">
        <v>876</v>
      </c>
      <c r="C216" s="3" t="s">
        <v>875</v>
      </c>
      <c r="D216" s="3" t="s">
        <v>2</v>
      </c>
      <c r="E216" s="3" t="s">
        <v>1268</v>
      </c>
    </row>
    <row r="217" spans="1:5">
      <c r="A217" s="2">
        <v>5218097</v>
      </c>
      <c r="B217" s="3" t="s">
        <v>876</v>
      </c>
      <c r="C217" s="3" t="s">
        <v>1097</v>
      </c>
      <c r="D217" s="3" t="s">
        <v>2</v>
      </c>
      <c r="E217" s="3" t="s">
        <v>1235</v>
      </c>
    </row>
    <row r="218" spans="1:5">
      <c r="A218" s="2">
        <v>5217097</v>
      </c>
      <c r="B218" s="3" t="s">
        <v>876</v>
      </c>
      <c r="C218" s="3" t="s">
        <v>1097</v>
      </c>
      <c r="D218" s="3" t="s">
        <v>2</v>
      </c>
      <c r="E218" s="3" t="s">
        <v>1443</v>
      </c>
    </row>
    <row r="219" spans="1:5">
      <c r="A219" s="2">
        <v>5216097</v>
      </c>
      <c r="B219" s="3" t="s">
        <v>876</v>
      </c>
      <c r="C219" s="3" t="s">
        <v>919</v>
      </c>
      <c r="D219" s="3" t="s">
        <v>2</v>
      </c>
      <c r="E219" s="3" t="s">
        <v>1138</v>
      </c>
    </row>
    <row r="220" spans="1:5">
      <c r="A220" s="2">
        <v>5215097</v>
      </c>
      <c r="B220" s="3" t="s">
        <v>876</v>
      </c>
      <c r="C220" s="3" t="s">
        <v>919</v>
      </c>
      <c r="D220" s="3" t="s">
        <v>2</v>
      </c>
      <c r="E220" s="3" t="s">
        <v>1151</v>
      </c>
    </row>
    <row r="221" spans="1:5">
      <c r="A221" s="2">
        <v>5214097</v>
      </c>
      <c r="B221" s="3" t="s">
        <v>876</v>
      </c>
      <c r="C221" s="3" t="s">
        <v>1097</v>
      </c>
      <c r="D221" s="3" t="s">
        <v>2</v>
      </c>
      <c r="E221" s="3" t="s">
        <v>1672</v>
      </c>
    </row>
    <row r="222" spans="1:5">
      <c r="A222" s="2">
        <v>5213097</v>
      </c>
      <c r="B222" s="3" t="s">
        <v>876</v>
      </c>
      <c r="C222" s="3" t="s">
        <v>1097</v>
      </c>
      <c r="D222" s="3" t="s">
        <v>2</v>
      </c>
      <c r="E222" s="3" t="s">
        <v>1305</v>
      </c>
    </row>
    <row r="223" spans="1:5">
      <c r="A223" s="2">
        <v>5212097</v>
      </c>
      <c r="B223" s="3" t="s">
        <v>876</v>
      </c>
      <c r="C223" s="3" t="s">
        <v>1097</v>
      </c>
      <c r="D223" s="3" t="s">
        <v>2</v>
      </c>
      <c r="E223" s="3" t="s">
        <v>1268</v>
      </c>
    </row>
    <row r="224" spans="1:5">
      <c r="A224" s="2">
        <v>5211097</v>
      </c>
      <c r="B224" s="3" t="s">
        <v>876</v>
      </c>
      <c r="C224" s="3" t="s">
        <v>1097</v>
      </c>
      <c r="D224" s="3" t="s">
        <v>2</v>
      </c>
      <c r="E224" s="3" t="s">
        <v>1443</v>
      </c>
    </row>
    <row r="225" spans="1:5">
      <c r="A225" s="2">
        <v>5210097</v>
      </c>
      <c r="B225" s="3" t="s">
        <v>876</v>
      </c>
      <c r="C225" s="3" t="s">
        <v>1097</v>
      </c>
      <c r="D225" s="3" t="s">
        <v>2</v>
      </c>
      <c r="E225" s="3" t="s">
        <v>1235</v>
      </c>
    </row>
    <row r="226" spans="1:5">
      <c r="A226" s="2">
        <v>5209097</v>
      </c>
      <c r="B226" s="3" t="s">
        <v>876</v>
      </c>
      <c r="C226" s="3" t="s">
        <v>919</v>
      </c>
      <c r="D226" s="3" t="s">
        <v>2</v>
      </c>
      <c r="E226" s="3" t="s">
        <v>2210</v>
      </c>
    </row>
    <row r="227" spans="1:5">
      <c r="A227" s="2">
        <v>5208097</v>
      </c>
      <c r="B227" s="3" t="s">
        <v>876</v>
      </c>
      <c r="C227" s="3" t="s">
        <v>919</v>
      </c>
      <c r="D227" s="3" t="s">
        <v>2</v>
      </c>
      <c r="E227" s="3" t="s">
        <v>1672</v>
      </c>
    </row>
    <row r="228" spans="1:5">
      <c r="A228" s="2">
        <v>5206097</v>
      </c>
      <c r="B228" s="3" t="s">
        <v>876</v>
      </c>
      <c r="C228" s="3" t="s">
        <v>919</v>
      </c>
      <c r="D228" s="3" t="s">
        <v>2</v>
      </c>
      <c r="E228" s="3" t="s">
        <v>905</v>
      </c>
    </row>
    <row r="229" spans="1:5">
      <c r="A229" s="2">
        <v>5200097</v>
      </c>
      <c r="B229" s="3" t="s">
        <v>876</v>
      </c>
      <c r="C229" s="3" t="s">
        <v>919</v>
      </c>
      <c r="D229" s="3" t="s">
        <v>2</v>
      </c>
      <c r="E229" s="3" t="s">
        <v>1138</v>
      </c>
    </row>
    <row r="230" spans="1:5">
      <c r="A230" s="2">
        <v>5199097</v>
      </c>
      <c r="B230" s="3" t="s">
        <v>876</v>
      </c>
      <c r="C230" s="3" t="s">
        <v>919</v>
      </c>
      <c r="D230" s="3" t="s">
        <v>2</v>
      </c>
      <c r="E230" s="3" t="s">
        <v>994</v>
      </c>
    </row>
    <row r="231" spans="1:5">
      <c r="A231" s="2">
        <v>5198097</v>
      </c>
      <c r="B231" s="3" t="s">
        <v>876</v>
      </c>
      <c r="C231" s="3" t="s">
        <v>1097</v>
      </c>
      <c r="D231" s="3" t="s">
        <v>2</v>
      </c>
      <c r="E231" s="3" t="s">
        <v>1305</v>
      </c>
    </row>
    <row r="232" spans="1:5">
      <c r="A232" s="2">
        <v>5194097</v>
      </c>
      <c r="B232" s="3" t="s">
        <v>876</v>
      </c>
      <c r="C232" s="3" t="s">
        <v>919</v>
      </c>
      <c r="D232" s="3" t="s">
        <v>2</v>
      </c>
      <c r="E232" s="3" t="s">
        <v>1177</v>
      </c>
    </row>
    <row r="233" spans="1:5">
      <c r="A233" s="2">
        <v>5193097</v>
      </c>
      <c r="B233" s="3" t="s">
        <v>876</v>
      </c>
      <c r="C233" s="3" t="s">
        <v>919</v>
      </c>
      <c r="D233" s="3" t="s">
        <v>2</v>
      </c>
      <c r="E233" s="3" t="s">
        <v>966</v>
      </c>
    </row>
    <row r="234" spans="1:5">
      <c r="A234" s="2">
        <v>5192097</v>
      </c>
      <c r="B234" s="3" t="s">
        <v>876</v>
      </c>
      <c r="C234" s="3" t="s">
        <v>919</v>
      </c>
      <c r="D234" s="3" t="s">
        <v>2</v>
      </c>
      <c r="E234" s="3" t="s">
        <v>898</v>
      </c>
    </row>
    <row r="235" spans="1:5">
      <c r="A235" s="2">
        <v>5191097</v>
      </c>
      <c r="B235" s="3" t="s">
        <v>876</v>
      </c>
      <c r="C235" s="3" t="s">
        <v>919</v>
      </c>
      <c r="D235" s="3" t="s">
        <v>2</v>
      </c>
      <c r="E235" s="3" t="s">
        <v>1235</v>
      </c>
    </row>
    <row r="236" spans="1:5">
      <c r="A236" s="2">
        <v>5181097</v>
      </c>
      <c r="B236" s="3" t="s">
        <v>876</v>
      </c>
      <c r="C236" s="3" t="s">
        <v>919</v>
      </c>
      <c r="D236" s="3" t="s">
        <v>2</v>
      </c>
      <c r="E236" s="3" t="s">
        <v>1096</v>
      </c>
    </row>
    <row r="237" spans="1:5">
      <c r="A237" s="2">
        <v>5176097</v>
      </c>
      <c r="B237" s="3" t="s">
        <v>2274</v>
      </c>
      <c r="C237" s="3" t="s">
        <v>875</v>
      </c>
      <c r="D237" s="3" t="s">
        <v>2</v>
      </c>
      <c r="E237" s="3" t="s">
        <v>1268</v>
      </c>
    </row>
    <row r="238" spans="1:5">
      <c r="A238" s="2">
        <v>5175097</v>
      </c>
      <c r="B238" s="3" t="s">
        <v>2281</v>
      </c>
      <c r="C238" s="3" t="s">
        <v>875</v>
      </c>
      <c r="D238" s="3" t="s">
        <v>2</v>
      </c>
      <c r="E238" s="3" t="s">
        <v>1138</v>
      </c>
    </row>
    <row r="239" spans="1:5">
      <c r="A239" s="2">
        <v>5172097</v>
      </c>
      <c r="B239" s="3" t="s">
        <v>876</v>
      </c>
      <c r="C239" s="3" t="s">
        <v>1026</v>
      </c>
      <c r="D239" s="3" t="s">
        <v>2</v>
      </c>
      <c r="E239" s="3" t="s">
        <v>1229</v>
      </c>
    </row>
    <row r="240" spans="1:5">
      <c r="A240" s="2">
        <v>5170097</v>
      </c>
      <c r="B240" s="3" t="s">
        <v>876</v>
      </c>
      <c r="C240" s="3" t="s">
        <v>919</v>
      </c>
      <c r="D240" s="3" t="s">
        <v>2</v>
      </c>
      <c r="E240" s="3" t="s">
        <v>1126</v>
      </c>
    </row>
    <row r="241" spans="1:5">
      <c r="A241" s="2">
        <v>5169097</v>
      </c>
      <c r="B241" s="3" t="s">
        <v>876</v>
      </c>
      <c r="C241" s="3" t="s">
        <v>919</v>
      </c>
      <c r="D241" s="3" t="s">
        <v>2</v>
      </c>
      <c r="E241" s="3" t="s">
        <v>1672</v>
      </c>
    </row>
    <row r="242" spans="1:5">
      <c r="A242" s="2">
        <v>5162097</v>
      </c>
      <c r="B242" s="3" t="s">
        <v>876</v>
      </c>
      <c r="C242" s="3" t="s">
        <v>875</v>
      </c>
      <c r="D242" s="3" t="s">
        <v>2</v>
      </c>
      <c r="E242" s="3" t="s">
        <v>1672</v>
      </c>
    </row>
    <row r="243" spans="1:5">
      <c r="A243" s="2">
        <v>5160097</v>
      </c>
      <c r="B243" s="3" t="s">
        <v>876</v>
      </c>
      <c r="C243" s="3" t="s">
        <v>919</v>
      </c>
      <c r="D243" s="3" t="s">
        <v>2</v>
      </c>
      <c r="E243" s="3" t="s">
        <v>1151</v>
      </c>
    </row>
    <row r="244" spans="1:5">
      <c r="A244" s="2">
        <v>5159097</v>
      </c>
      <c r="B244" s="3" t="s">
        <v>876</v>
      </c>
      <c r="C244" s="3" t="s">
        <v>875</v>
      </c>
      <c r="D244" s="3" t="s">
        <v>2</v>
      </c>
      <c r="E244" s="3" t="s">
        <v>911</v>
      </c>
    </row>
    <row r="245" spans="1:5">
      <c r="A245" s="2">
        <v>5158097</v>
      </c>
      <c r="B245" s="3" t="s">
        <v>876</v>
      </c>
      <c r="C245" s="3" t="s">
        <v>1026</v>
      </c>
      <c r="D245" s="3" t="s">
        <v>7</v>
      </c>
      <c r="E245" s="3" t="s">
        <v>2320</v>
      </c>
    </row>
    <row r="246" spans="1:5">
      <c r="A246" s="2">
        <v>5152097</v>
      </c>
      <c r="B246" s="3" t="s">
        <v>876</v>
      </c>
      <c r="C246" s="3" t="s">
        <v>919</v>
      </c>
      <c r="D246" s="3" t="s">
        <v>2</v>
      </c>
      <c r="E246" s="3" t="s">
        <v>1672</v>
      </c>
    </row>
    <row r="247" spans="1:5">
      <c r="A247" s="2">
        <v>5151097</v>
      </c>
      <c r="B247" s="3" t="s">
        <v>876</v>
      </c>
      <c r="C247" s="3" t="s">
        <v>919</v>
      </c>
      <c r="D247" s="3" t="s">
        <v>2</v>
      </c>
      <c r="E247" s="3" t="s">
        <v>1229</v>
      </c>
    </row>
    <row r="248" spans="1:5">
      <c r="A248" s="2">
        <v>5150097</v>
      </c>
      <c r="B248" s="3" t="s">
        <v>876</v>
      </c>
      <c r="C248" s="3" t="s">
        <v>1026</v>
      </c>
      <c r="D248" s="3" t="s">
        <v>2</v>
      </c>
      <c r="E248" s="3" t="s">
        <v>918</v>
      </c>
    </row>
    <row r="249" spans="1:5">
      <c r="A249" s="2">
        <v>5146097</v>
      </c>
      <c r="B249" s="3" t="s">
        <v>876</v>
      </c>
      <c r="C249" s="3" t="s">
        <v>919</v>
      </c>
      <c r="D249" s="3" t="s">
        <v>2</v>
      </c>
      <c r="E249" s="3" t="s">
        <v>1305</v>
      </c>
    </row>
    <row r="250" spans="1:5">
      <c r="A250" s="2">
        <v>5141097</v>
      </c>
      <c r="B250" s="3" t="s">
        <v>876</v>
      </c>
      <c r="C250" s="3" t="s">
        <v>919</v>
      </c>
      <c r="D250" s="3" t="s">
        <v>2</v>
      </c>
      <c r="E250" s="3" t="s">
        <v>1268</v>
      </c>
    </row>
    <row r="251" spans="1:5">
      <c r="A251" s="2">
        <v>5140097</v>
      </c>
      <c r="B251" s="3" t="s">
        <v>876</v>
      </c>
      <c r="C251" s="3" t="s">
        <v>919</v>
      </c>
      <c r="D251" s="3" t="s">
        <v>2</v>
      </c>
      <c r="E251" s="3" t="s">
        <v>1177</v>
      </c>
    </row>
    <row r="252" spans="1:5">
      <c r="A252" s="2">
        <v>5139097</v>
      </c>
      <c r="B252" s="3" t="s">
        <v>876</v>
      </c>
      <c r="C252" s="3" t="s">
        <v>1097</v>
      </c>
      <c r="D252" s="3" t="s">
        <v>2</v>
      </c>
      <c r="E252" s="3" t="s">
        <v>1082</v>
      </c>
    </row>
    <row r="253" spans="1:5">
      <c r="A253" s="2">
        <v>5138097</v>
      </c>
      <c r="B253" s="3" t="s">
        <v>876</v>
      </c>
      <c r="C253" s="3" t="s">
        <v>919</v>
      </c>
      <c r="D253" s="3" t="s">
        <v>2</v>
      </c>
      <c r="E253" s="3" t="s">
        <v>1089</v>
      </c>
    </row>
    <row r="254" spans="1:5">
      <c r="A254" s="2">
        <v>5137097</v>
      </c>
      <c r="B254" s="3" t="s">
        <v>876</v>
      </c>
      <c r="C254" s="3" t="s">
        <v>919</v>
      </c>
      <c r="D254" s="3" t="s">
        <v>2</v>
      </c>
      <c r="E254" s="3" t="s">
        <v>918</v>
      </c>
    </row>
    <row r="255" spans="1:5">
      <c r="A255" s="2">
        <v>5135097</v>
      </c>
      <c r="B255" s="3" t="s">
        <v>876</v>
      </c>
      <c r="C255" s="3" t="s">
        <v>875</v>
      </c>
      <c r="D255" s="3" t="s">
        <v>2</v>
      </c>
      <c r="E255" s="3" t="s">
        <v>1025</v>
      </c>
    </row>
    <row r="256" spans="1:5">
      <c r="A256" s="2">
        <v>5134097</v>
      </c>
      <c r="B256" s="3" t="s">
        <v>876</v>
      </c>
      <c r="C256" s="3" t="s">
        <v>919</v>
      </c>
      <c r="D256" s="3" t="s">
        <v>2</v>
      </c>
      <c r="E256" s="3" t="s">
        <v>2381</v>
      </c>
    </row>
    <row r="257" spans="1:5">
      <c r="A257" s="2">
        <v>5133097</v>
      </c>
      <c r="B257" s="3" t="s">
        <v>876</v>
      </c>
      <c r="C257" s="3" t="s">
        <v>919</v>
      </c>
      <c r="D257" s="3" t="s">
        <v>2</v>
      </c>
      <c r="E257" s="3" t="s">
        <v>1792</v>
      </c>
    </row>
    <row r="258" spans="1:5">
      <c r="A258" s="2">
        <v>5132097</v>
      </c>
      <c r="B258" s="3" t="s">
        <v>876</v>
      </c>
      <c r="C258" s="3" t="s">
        <v>919</v>
      </c>
      <c r="D258" s="3" t="s">
        <v>2</v>
      </c>
      <c r="E258" s="3" t="s">
        <v>2394</v>
      </c>
    </row>
    <row r="259" spans="1:5">
      <c r="A259" s="2">
        <v>5130097</v>
      </c>
      <c r="B259" s="3" t="s">
        <v>876</v>
      </c>
      <c r="C259" s="3" t="s">
        <v>875</v>
      </c>
      <c r="D259" s="3" t="s">
        <v>2</v>
      </c>
      <c r="E259" s="3" t="s">
        <v>1229</v>
      </c>
    </row>
    <row r="260" spans="1:5">
      <c r="A260" s="2">
        <v>5127097</v>
      </c>
      <c r="B260" s="3" t="s">
        <v>876</v>
      </c>
      <c r="C260" s="3" t="s">
        <v>919</v>
      </c>
      <c r="D260" s="3" t="s">
        <v>2</v>
      </c>
      <c r="E260" s="3" t="s">
        <v>1305</v>
      </c>
    </row>
    <row r="261" spans="1:5">
      <c r="A261" s="2">
        <v>5124097</v>
      </c>
      <c r="B261" s="3" t="s">
        <v>876</v>
      </c>
      <c r="C261" s="3" t="s">
        <v>919</v>
      </c>
      <c r="D261" s="3" t="s">
        <v>2</v>
      </c>
      <c r="E261" s="3" t="s">
        <v>1126</v>
      </c>
    </row>
    <row r="262" spans="1:5">
      <c r="A262" s="2">
        <v>5123097</v>
      </c>
      <c r="B262" s="3" t="s">
        <v>876</v>
      </c>
      <c r="C262" s="3" t="s">
        <v>919</v>
      </c>
      <c r="D262" s="3" t="s">
        <v>2</v>
      </c>
      <c r="E262" s="3" t="s">
        <v>1229</v>
      </c>
    </row>
    <row r="263" spans="1:5">
      <c r="A263" s="2">
        <v>5122097</v>
      </c>
      <c r="B263" s="3" t="s">
        <v>876</v>
      </c>
      <c r="C263" s="3" t="s">
        <v>919</v>
      </c>
      <c r="D263" s="3" t="s">
        <v>2</v>
      </c>
      <c r="E263" s="3" t="s">
        <v>1268</v>
      </c>
    </row>
    <row r="264" spans="1:5">
      <c r="A264" s="2">
        <v>5119097</v>
      </c>
      <c r="B264" s="3" t="s">
        <v>876</v>
      </c>
      <c r="C264" s="3" t="s">
        <v>919</v>
      </c>
      <c r="D264" s="3" t="s">
        <v>2</v>
      </c>
      <c r="E264" s="3" t="s">
        <v>905</v>
      </c>
    </row>
    <row r="265" spans="1:5">
      <c r="A265" s="2">
        <v>5116097</v>
      </c>
      <c r="B265" s="3" t="s">
        <v>876</v>
      </c>
      <c r="C265" s="3" t="s">
        <v>1097</v>
      </c>
      <c r="D265" s="3" t="s">
        <v>2</v>
      </c>
      <c r="E265" s="3" t="s">
        <v>994</v>
      </c>
    </row>
    <row r="266" spans="1:5">
      <c r="A266" s="2">
        <v>5115097</v>
      </c>
      <c r="B266" s="3" t="s">
        <v>876</v>
      </c>
      <c r="C266" s="3" t="s">
        <v>1097</v>
      </c>
      <c r="D266" s="3" t="s">
        <v>2</v>
      </c>
      <c r="E266" s="3" t="s">
        <v>1001</v>
      </c>
    </row>
    <row r="267" spans="1:5">
      <c r="A267" s="2">
        <v>5113097</v>
      </c>
      <c r="B267" s="3" t="s">
        <v>876</v>
      </c>
      <c r="C267" s="3" t="s">
        <v>919</v>
      </c>
      <c r="D267" s="3" t="s">
        <v>7</v>
      </c>
      <c r="E267" s="3" t="s">
        <v>2443</v>
      </c>
    </row>
    <row r="268" spans="1:5">
      <c r="A268" s="2">
        <v>5109097</v>
      </c>
      <c r="B268" s="3" t="s">
        <v>876</v>
      </c>
      <c r="C268" s="3" t="s">
        <v>875</v>
      </c>
      <c r="D268" s="3" t="s">
        <v>2</v>
      </c>
      <c r="E268" s="3" t="s">
        <v>1056</v>
      </c>
    </row>
    <row r="269" spans="1:5">
      <c r="A269" s="2">
        <v>5108097</v>
      </c>
      <c r="B269" s="3" t="s">
        <v>876</v>
      </c>
      <c r="C269" s="3" t="s">
        <v>919</v>
      </c>
      <c r="D269" s="3" t="s">
        <v>2</v>
      </c>
      <c r="E269" s="3" t="s">
        <v>994</v>
      </c>
    </row>
    <row r="270" spans="1:5">
      <c r="A270" s="2">
        <v>5107097</v>
      </c>
      <c r="B270" s="3" t="s">
        <v>876</v>
      </c>
      <c r="C270" s="3" t="s">
        <v>875</v>
      </c>
      <c r="D270" s="3" t="s">
        <v>2</v>
      </c>
      <c r="E270" s="3" t="s">
        <v>1374</v>
      </c>
    </row>
    <row r="271" spans="1:5">
      <c r="A271" s="2">
        <v>5106097</v>
      </c>
      <c r="B271" s="3" t="s">
        <v>1033</v>
      </c>
      <c r="C271" s="3" t="s">
        <v>875</v>
      </c>
      <c r="D271" s="3" t="s">
        <v>2</v>
      </c>
      <c r="E271" s="3" t="s">
        <v>1056</v>
      </c>
    </row>
    <row r="272" spans="1:5">
      <c r="A272" s="2">
        <v>5105097</v>
      </c>
      <c r="B272" s="3" t="s">
        <v>1033</v>
      </c>
      <c r="C272" s="3" t="s">
        <v>875</v>
      </c>
      <c r="D272" s="3" t="s">
        <v>2</v>
      </c>
      <c r="E272" s="3" t="s">
        <v>1443</v>
      </c>
    </row>
    <row r="273" spans="1:5">
      <c r="A273" s="2">
        <v>5104097</v>
      </c>
      <c r="B273" s="3" t="s">
        <v>876</v>
      </c>
      <c r="C273" s="3" t="s">
        <v>1097</v>
      </c>
      <c r="D273" s="3" t="s">
        <v>2</v>
      </c>
      <c r="E273" s="3" t="s">
        <v>1305</v>
      </c>
    </row>
    <row r="274" spans="1:5">
      <c r="A274" s="2">
        <v>5103097</v>
      </c>
      <c r="B274" s="3" t="s">
        <v>876</v>
      </c>
      <c r="C274" s="3" t="s">
        <v>1097</v>
      </c>
      <c r="D274" s="3" t="s">
        <v>2</v>
      </c>
      <c r="E274" s="3" t="s">
        <v>1672</v>
      </c>
    </row>
    <row r="275" spans="1:5">
      <c r="A275" s="2">
        <v>5102097</v>
      </c>
      <c r="B275" s="3" t="s">
        <v>876</v>
      </c>
      <c r="C275" s="3" t="s">
        <v>1097</v>
      </c>
      <c r="D275" s="3" t="s">
        <v>2</v>
      </c>
      <c r="E275" s="3" t="s">
        <v>1305</v>
      </c>
    </row>
    <row r="276" spans="1:5">
      <c r="A276" s="2">
        <v>5101097</v>
      </c>
      <c r="B276" s="3" t="s">
        <v>876</v>
      </c>
      <c r="C276" s="3" t="s">
        <v>1097</v>
      </c>
      <c r="D276" s="3" t="s">
        <v>2</v>
      </c>
      <c r="E276" s="3" t="s">
        <v>918</v>
      </c>
    </row>
    <row r="277" spans="1:5">
      <c r="A277" s="2">
        <v>5100097</v>
      </c>
      <c r="B277" s="3" t="s">
        <v>876</v>
      </c>
      <c r="C277" s="3" t="s">
        <v>1097</v>
      </c>
      <c r="D277" s="3" t="s">
        <v>2</v>
      </c>
      <c r="E277" s="3" t="s">
        <v>1268</v>
      </c>
    </row>
    <row r="278" spans="1:5">
      <c r="A278" s="2">
        <v>5099097</v>
      </c>
      <c r="B278" s="3" t="s">
        <v>876</v>
      </c>
      <c r="C278" s="3" t="s">
        <v>1097</v>
      </c>
      <c r="D278" s="3" t="s">
        <v>2</v>
      </c>
      <c r="E278" s="3" t="s">
        <v>1672</v>
      </c>
    </row>
    <row r="279" spans="1:5">
      <c r="A279" s="2">
        <v>5098097</v>
      </c>
      <c r="B279" s="3" t="s">
        <v>2511</v>
      </c>
      <c r="C279" s="3" t="s">
        <v>875</v>
      </c>
      <c r="D279" s="3" t="s">
        <v>2</v>
      </c>
      <c r="E279" s="3" t="s">
        <v>1845</v>
      </c>
    </row>
    <row r="280" spans="1:5">
      <c r="A280" s="2">
        <v>5096097</v>
      </c>
      <c r="B280" s="3" t="s">
        <v>876</v>
      </c>
      <c r="C280" s="3" t="s">
        <v>919</v>
      </c>
      <c r="D280" s="3" t="s">
        <v>2</v>
      </c>
      <c r="E280" s="3" t="s">
        <v>947</v>
      </c>
    </row>
    <row r="281" spans="1:5">
      <c r="A281" s="2">
        <v>5086097</v>
      </c>
      <c r="B281" s="3" t="s">
        <v>876</v>
      </c>
      <c r="C281" s="3" t="s">
        <v>1097</v>
      </c>
      <c r="D281" s="3" t="s">
        <v>2</v>
      </c>
      <c r="E281" s="3" t="s">
        <v>1492</v>
      </c>
    </row>
    <row r="282" spans="1:5">
      <c r="A282" s="2">
        <v>5085097</v>
      </c>
      <c r="B282" s="3" t="s">
        <v>876</v>
      </c>
      <c r="C282" s="3" t="s">
        <v>1097</v>
      </c>
      <c r="D282" s="3" t="s">
        <v>2</v>
      </c>
      <c r="E282" s="3" t="s">
        <v>1443</v>
      </c>
    </row>
    <row r="283" spans="1:5">
      <c r="A283" s="2">
        <v>5084097</v>
      </c>
      <c r="B283" s="3" t="s">
        <v>876</v>
      </c>
      <c r="C283" s="3" t="s">
        <v>1097</v>
      </c>
      <c r="D283" s="3" t="s">
        <v>2</v>
      </c>
      <c r="E283" s="3" t="s">
        <v>1229</v>
      </c>
    </row>
    <row r="284" spans="1:5">
      <c r="A284" s="2">
        <v>5083097</v>
      </c>
      <c r="B284" s="3" t="s">
        <v>876</v>
      </c>
      <c r="C284" s="3" t="s">
        <v>1097</v>
      </c>
      <c r="D284" s="3" t="s">
        <v>2</v>
      </c>
      <c r="E284" s="3" t="s">
        <v>1229</v>
      </c>
    </row>
    <row r="285" spans="1:5">
      <c r="A285" s="2">
        <v>5082097</v>
      </c>
      <c r="B285" s="3" t="s">
        <v>876</v>
      </c>
      <c r="C285" s="3" t="s">
        <v>1097</v>
      </c>
      <c r="D285" s="3" t="s">
        <v>2</v>
      </c>
      <c r="E285" s="3" t="s">
        <v>1268</v>
      </c>
    </row>
    <row r="286" spans="1:5">
      <c r="A286" s="2">
        <v>5081097</v>
      </c>
      <c r="B286" s="3" t="s">
        <v>876</v>
      </c>
      <c r="C286" s="3" t="s">
        <v>1097</v>
      </c>
      <c r="D286" s="3" t="s">
        <v>2</v>
      </c>
      <c r="E286" s="3" t="s">
        <v>1672</v>
      </c>
    </row>
    <row r="287" spans="1:5">
      <c r="A287" s="2">
        <v>5080097</v>
      </c>
      <c r="B287" s="3" t="s">
        <v>876</v>
      </c>
      <c r="C287" s="3" t="s">
        <v>1097</v>
      </c>
      <c r="D287" s="3" t="s">
        <v>2</v>
      </c>
      <c r="E287" s="3" t="s">
        <v>1268</v>
      </c>
    </row>
    <row r="288" spans="1:5">
      <c r="A288" s="2">
        <v>5077097</v>
      </c>
      <c r="B288" s="3" t="s">
        <v>876</v>
      </c>
      <c r="C288" s="3" t="s">
        <v>919</v>
      </c>
      <c r="D288" s="3" t="s">
        <v>2</v>
      </c>
      <c r="E288" s="3" t="s">
        <v>2559</v>
      </c>
    </row>
    <row r="289" spans="1:5">
      <c r="A289" s="2">
        <v>5070097</v>
      </c>
      <c r="B289" s="3" t="s">
        <v>876</v>
      </c>
      <c r="C289" s="3" t="s">
        <v>919</v>
      </c>
      <c r="D289" s="3" t="s">
        <v>7</v>
      </c>
      <c r="E289" s="3" t="s">
        <v>2443</v>
      </c>
    </row>
    <row r="290" spans="1:5">
      <c r="A290" s="2">
        <v>5069097</v>
      </c>
      <c r="B290" s="3" t="s">
        <v>876</v>
      </c>
      <c r="C290" s="3" t="s">
        <v>1097</v>
      </c>
      <c r="D290" s="3" t="s">
        <v>2</v>
      </c>
      <c r="E290" s="3" t="s">
        <v>1492</v>
      </c>
    </row>
    <row r="291" spans="1:5">
      <c r="A291" s="2">
        <v>5068097</v>
      </c>
      <c r="B291" s="3" t="s">
        <v>876</v>
      </c>
      <c r="C291" s="3" t="s">
        <v>919</v>
      </c>
      <c r="D291" s="3" t="s">
        <v>2</v>
      </c>
      <c r="E291" s="3" t="s">
        <v>1096</v>
      </c>
    </row>
    <row r="292" spans="1:5">
      <c r="A292" s="2">
        <v>5065097</v>
      </c>
      <c r="B292" s="3" t="s">
        <v>876</v>
      </c>
      <c r="C292" s="3" t="s">
        <v>919</v>
      </c>
      <c r="D292" s="3" t="s">
        <v>2</v>
      </c>
      <c r="E292" s="3" t="s">
        <v>1001</v>
      </c>
    </row>
    <row r="293" spans="1:5">
      <c r="A293" s="2">
        <v>5064097</v>
      </c>
      <c r="B293" s="3" t="s">
        <v>876</v>
      </c>
      <c r="C293" s="3" t="s">
        <v>919</v>
      </c>
      <c r="D293" s="3" t="s">
        <v>2</v>
      </c>
      <c r="E293" s="3" t="s">
        <v>1792</v>
      </c>
    </row>
    <row r="294" spans="1:5">
      <c r="A294" s="2">
        <v>5063097</v>
      </c>
      <c r="B294" s="3" t="s">
        <v>876</v>
      </c>
      <c r="C294" s="3" t="s">
        <v>919</v>
      </c>
      <c r="D294" s="3" t="s">
        <v>2</v>
      </c>
      <c r="E294" s="3" t="s">
        <v>905</v>
      </c>
    </row>
    <row r="295" spans="1:5">
      <c r="A295" s="2">
        <v>5062097</v>
      </c>
      <c r="B295" s="3" t="s">
        <v>876</v>
      </c>
      <c r="C295" s="3" t="s">
        <v>875</v>
      </c>
      <c r="D295" s="3" t="s">
        <v>2</v>
      </c>
      <c r="E295" s="3" t="s">
        <v>1792</v>
      </c>
    </row>
    <row r="296" spans="1:5">
      <c r="A296" s="2">
        <v>5060097</v>
      </c>
      <c r="B296" s="3" t="s">
        <v>876</v>
      </c>
      <c r="C296" s="3" t="s">
        <v>1097</v>
      </c>
      <c r="D296" s="3" t="s">
        <v>2</v>
      </c>
      <c r="E296" s="3" t="s">
        <v>1235</v>
      </c>
    </row>
    <row r="297" spans="1:5">
      <c r="A297" s="2">
        <v>5059097</v>
      </c>
      <c r="B297" s="3" t="s">
        <v>876</v>
      </c>
      <c r="C297" s="3" t="s">
        <v>1097</v>
      </c>
      <c r="D297" s="3" t="s">
        <v>2</v>
      </c>
      <c r="E297" s="3" t="s">
        <v>1443</v>
      </c>
    </row>
    <row r="298" spans="1:5">
      <c r="A298" s="2">
        <v>5058097</v>
      </c>
      <c r="B298" s="3" t="s">
        <v>876</v>
      </c>
      <c r="C298" s="3" t="s">
        <v>875</v>
      </c>
      <c r="D298" s="3" t="s">
        <v>2</v>
      </c>
      <c r="E298" s="3" t="s">
        <v>1126</v>
      </c>
    </row>
    <row r="299" spans="1:5">
      <c r="A299" s="2">
        <v>5057097</v>
      </c>
      <c r="B299" s="3" t="s">
        <v>876</v>
      </c>
      <c r="C299" s="3" t="s">
        <v>919</v>
      </c>
      <c r="D299" s="3" t="s">
        <v>2</v>
      </c>
      <c r="E299" s="3" t="s">
        <v>1063</v>
      </c>
    </row>
    <row r="300" spans="1:5">
      <c r="A300" s="2">
        <v>5056097</v>
      </c>
      <c r="B300" s="3" t="s">
        <v>876</v>
      </c>
      <c r="C300" s="3" t="s">
        <v>1097</v>
      </c>
      <c r="D300" s="3" t="s">
        <v>2</v>
      </c>
      <c r="E300" s="3" t="s">
        <v>1305</v>
      </c>
    </row>
    <row r="301" spans="1:5">
      <c r="A301" s="2">
        <v>5055097</v>
      </c>
      <c r="B301" s="3" t="s">
        <v>876</v>
      </c>
      <c r="C301" s="3" t="s">
        <v>1097</v>
      </c>
      <c r="D301" s="3" t="s">
        <v>2</v>
      </c>
      <c r="E301" s="3" t="s">
        <v>1492</v>
      </c>
    </row>
    <row r="302" spans="1:5">
      <c r="A302" s="2">
        <v>5049097</v>
      </c>
      <c r="B302" s="3" t="s">
        <v>1033</v>
      </c>
      <c r="C302" s="3" t="s">
        <v>1026</v>
      </c>
      <c r="D302" s="3" t="s">
        <v>2</v>
      </c>
      <c r="E302" s="3" t="s">
        <v>2320</v>
      </c>
    </row>
    <row r="303" spans="1:5">
      <c r="A303" s="2">
        <v>5043097</v>
      </c>
      <c r="B303" s="3" t="s">
        <v>876</v>
      </c>
      <c r="C303" s="3" t="s">
        <v>1097</v>
      </c>
      <c r="D303" s="3" t="s">
        <v>2</v>
      </c>
      <c r="E303" s="3" t="s">
        <v>1229</v>
      </c>
    </row>
    <row r="304" spans="1:5">
      <c r="A304" s="2">
        <v>5042097</v>
      </c>
      <c r="B304" s="3" t="s">
        <v>876</v>
      </c>
      <c r="C304" s="3" t="s">
        <v>1097</v>
      </c>
      <c r="D304" s="3" t="s">
        <v>2</v>
      </c>
      <c r="E304" s="3" t="s">
        <v>1492</v>
      </c>
    </row>
    <row r="305" spans="1:5">
      <c r="A305" s="2">
        <v>5041097</v>
      </c>
      <c r="B305" s="3" t="s">
        <v>876</v>
      </c>
      <c r="C305" s="3" t="s">
        <v>1097</v>
      </c>
      <c r="D305" s="3" t="s">
        <v>2</v>
      </c>
      <c r="E305" s="3" t="s">
        <v>1305</v>
      </c>
    </row>
    <row r="306" spans="1:5">
      <c r="A306" s="2">
        <v>5040097</v>
      </c>
      <c r="B306" s="3" t="s">
        <v>876</v>
      </c>
      <c r="C306" s="3" t="s">
        <v>1097</v>
      </c>
      <c r="D306" s="3" t="s">
        <v>2</v>
      </c>
      <c r="E306" s="3" t="s">
        <v>1305</v>
      </c>
    </row>
    <row r="307" spans="1:5">
      <c r="A307" s="2">
        <v>5039097</v>
      </c>
      <c r="B307" s="3" t="s">
        <v>876</v>
      </c>
      <c r="C307" s="3" t="s">
        <v>1097</v>
      </c>
      <c r="D307" s="3" t="s">
        <v>2</v>
      </c>
      <c r="E307" s="3" t="s">
        <v>1235</v>
      </c>
    </row>
    <row r="308" spans="1:5">
      <c r="A308" s="2">
        <v>5038097</v>
      </c>
      <c r="B308" s="3" t="s">
        <v>876</v>
      </c>
      <c r="C308" s="3" t="s">
        <v>919</v>
      </c>
      <c r="D308" s="3" t="s">
        <v>2</v>
      </c>
      <c r="E308" s="3" t="s">
        <v>972</v>
      </c>
    </row>
    <row r="309" spans="1:5">
      <c r="A309" s="2">
        <v>5036097</v>
      </c>
      <c r="B309" s="3" t="s">
        <v>876</v>
      </c>
      <c r="C309" s="3" t="s">
        <v>875</v>
      </c>
      <c r="D309" s="3" t="s">
        <v>2</v>
      </c>
      <c r="E309" s="3" t="s">
        <v>1672</v>
      </c>
    </row>
    <row r="310" spans="1:5">
      <c r="A310" s="2">
        <v>5034097</v>
      </c>
      <c r="B310" s="3" t="s">
        <v>876</v>
      </c>
      <c r="C310" s="3" t="s">
        <v>875</v>
      </c>
      <c r="D310" s="3" t="s">
        <v>2</v>
      </c>
      <c r="E310" s="3" t="s">
        <v>1492</v>
      </c>
    </row>
    <row r="311" spans="1:5">
      <c r="A311" s="2">
        <v>5032097</v>
      </c>
      <c r="B311" s="3" t="s">
        <v>876</v>
      </c>
      <c r="C311" s="3" t="s">
        <v>919</v>
      </c>
      <c r="D311" s="3" t="s">
        <v>2</v>
      </c>
      <c r="E311" s="3" t="s">
        <v>2685</v>
      </c>
    </row>
    <row r="312" spans="1:5">
      <c r="A312" s="2">
        <v>5030097</v>
      </c>
      <c r="B312" s="3" t="s">
        <v>876</v>
      </c>
      <c r="C312" s="3" t="s">
        <v>919</v>
      </c>
      <c r="D312" s="3" t="s">
        <v>2</v>
      </c>
      <c r="E312" s="3" t="s">
        <v>1792</v>
      </c>
    </row>
    <row r="313" spans="1:5">
      <c r="A313" s="2">
        <v>5029097</v>
      </c>
      <c r="B313" s="3" t="s">
        <v>2274</v>
      </c>
      <c r="C313" s="3" t="s">
        <v>875</v>
      </c>
      <c r="D313" s="3" t="s">
        <v>2</v>
      </c>
      <c r="E313" s="3" t="s">
        <v>884</v>
      </c>
    </row>
    <row r="314" spans="1:5">
      <c r="A314" s="2">
        <v>5027097</v>
      </c>
      <c r="B314" s="3" t="s">
        <v>876</v>
      </c>
      <c r="C314" s="3" t="s">
        <v>919</v>
      </c>
      <c r="D314" s="3" t="s">
        <v>2</v>
      </c>
      <c r="E314" s="3" t="s">
        <v>1138</v>
      </c>
    </row>
    <row r="315" spans="1:5">
      <c r="A315" s="2">
        <v>5023097</v>
      </c>
      <c r="B315" s="3" t="s">
        <v>876</v>
      </c>
      <c r="C315" s="3" t="s">
        <v>875</v>
      </c>
      <c r="D315" s="3" t="s">
        <v>2</v>
      </c>
      <c r="E315" s="3" t="s">
        <v>947</v>
      </c>
    </row>
    <row r="316" spans="1:5">
      <c r="A316" s="2">
        <v>5021097</v>
      </c>
      <c r="B316" s="3" t="s">
        <v>876</v>
      </c>
      <c r="C316" s="3" t="s">
        <v>919</v>
      </c>
      <c r="D316" s="3" t="s">
        <v>7</v>
      </c>
      <c r="E316" s="3" t="s">
        <v>1138</v>
      </c>
    </row>
    <row r="317" spans="1:5">
      <c r="A317" s="2">
        <v>5015097</v>
      </c>
      <c r="B317" s="3" t="s">
        <v>1033</v>
      </c>
      <c r="C317" s="3" t="s">
        <v>875</v>
      </c>
      <c r="D317" s="3" t="s">
        <v>2</v>
      </c>
      <c r="E317" s="3" t="s">
        <v>1672</v>
      </c>
    </row>
    <row r="318" spans="1:5">
      <c r="A318" s="2">
        <v>5014097</v>
      </c>
      <c r="B318" s="3" t="s">
        <v>876</v>
      </c>
      <c r="C318" s="3" t="s">
        <v>1097</v>
      </c>
      <c r="D318" s="3" t="s">
        <v>2</v>
      </c>
      <c r="E318" s="3" t="s">
        <v>1151</v>
      </c>
    </row>
    <row r="319" spans="1:5">
      <c r="A319" s="2">
        <v>5013097</v>
      </c>
      <c r="B319" s="3" t="s">
        <v>876</v>
      </c>
      <c r="C319" s="3" t="s">
        <v>1097</v>
      </c>
      <c r="D319" s="3" t="s">
        <v>2</v>
      </c>
      <c r="E319" s="3" t="s">
        <v>1177</v>
      </c>
    </row>
    <row r="320" spans="1:5">
      <c r="A320" s="2">
        <v>5012097</v>
      </c>
      <c r="B320" s="3" t="s">
        <v>876</v>
      </c>
      <c r="C320" s="3" t="s">
        <v>1097</v>
      </c>
      <c r="D320" s="3" t="s">
        <v>2</v>
      </c>
      <c r="E320" s="3" t="s">
        <v>1158</v>
      </c>
    </row>
    <row r="321" spans="1:5">
      <c r="A321" s="2">
        <v>5010097</v>
      </c>
      <c r="B321" s="3" t="s">
        <v>876</v>
      </c>
      <c r="C321" s="3" t="s">
        <v>919</v>
      </c>
      <c r="D321" s="3" t="s">
        <v>2</v>
      </c>
      <c r="E321" s="3" t="s">
        <v>1342</v>
      </c>
    </row>
    <row r="322" spans="1:5">
      <c r="A322" s="2">
        <v>5009097</v>
      </c>
      <c r="B322" s="3" t="s">
        <v>876</v>
      </c>
      <c r="C322" s="3" t="s">
        <v>1097</v>
      </c>
      <c r="D322" s="3" t="s">
        <v>2</v>
      </c>
      <c r="E322" s="3" t="s">
        <v>966</v>
      </c>
    </row>
    <row r="323" spans="1:5">
      <c r="A323" s="2">
        <v>5008097</v>
      </c>
      <c r="B323" s="3" t="s">
        <v>876</v>
      </c>
      <c r="C323" s="3" t="s">
        <v>1097</v>
      </c>
      <c r="D323" s="3" t="s">
        <v>2</v>
      </c>
      <c r="E323" s="3" t="s">
        <v>1096</v>
      </c>
    </row>
    <row r="324" spans="1:5">
      <c r="A324" s="2">
        <v>5007097</v>
      </c>
      <c r="B324" s="3" t="s">
        <v>876</v>
      </c>
      <c r="C324" s="3" t="s">
        <v>919</v>
      </c>
      <c r="D324" s="3" t="s">
        <v>2</v>
      </c>
      <c r="E324" s="3" t="s">
        <v>2559</v>
      </c>
    </row>
    <row r="325" spans="1:5">
      <c r="A325" s="2">
        <v>5001097</v>
      </c>
      <c r="B325" s="3" t="s">
        <v>876</v>
      </c>
      <c r="C325" s="3" t="s">
        <v>1097</v>
      </c>
      <c r="D325" s="3" t="s">
        <v>2</v>
      </c>
      <c r="E325" s="3" t="s">
        <v>1158</v>
      </c>
    </row>
    <row r="326" spans="1:5">
      <c r="A326" s="2">
        <v>5000097</v>
      </c>
      <c r="B326" s="3" t="s">
        <v>876</v>
      </c>
      <c r="C326" s="3" t="s">
        <v>919</v>
      </c>
      <c r="D326" s="3" t="s">
        <v>2</v>
      </c>
      <c r="E326" s="3" t="s">
        <v>1298</v>
      </c>
    </row>
    <row r="327" spans="1:5">
      <c r="A327" s="2">
        <v>4999097</v>
      </c>
      <c r="B327" s="3" t="s">
        <v>876</v>
      </c>
      <c r="C327" s="3" t="s">
        <v>919</v>
      </c>
      <c r="D327" s="3" t="s">
        <v>2</v>
      </c>
      <c r="E327" s="3" t="s">
        <v>2774</v>
      </c>
    </row>
    <row r="328" spans="1:5">
      <c r="A328" s="2">
        <v>4997097</v>
      </c>
      <c r="B328" s="3" t="s">
        <v>876</v>
      </c>
      <c r="C328" s="3" t="s">
        <v>875</v>
      </c>
      <c r="D328" s="3" t="s">
        <v>2</v>
      </c>
      <c r="E328" s="3" t="s">
        <v>1056</v>
      </c>
    </row>
    <row r="329" spans="1:5">
      <c r="A329" s="2">
        <v>4986097</v>
      </c>
      <c r="B329" s="3" t="s">
        <v>876</v>
      </c>
      <c r="C329" s="3" t="s">
        <v>919</v>
      </c>
      <c r="D329" s="3" t="s">
        <v>2</v>
      </c>
      <c r="E329" s="3" t="s">
        <v>2071</v>
      </c>
    </row>
    <row r="330" spans="1:5">
      <c r="A330" s="2">
        <v>4984097</v>
      </c>
      <c r="B330" s="3" t="s">
        <v>876</v>
      </c>
      <c r="C330" s="3" t="s">
        <v>1097</v>
      </c>
      <c r="D330" s="3" t="s">
        <v>2</v>
      </c>
      <c r="E330" s="3" t="s">
        <v>1235</v>
      </c>
    </row>
    <row r="331" spans="1:5">
      <c r="A331" s="2">
        <v>4981097</v>
      </c>
      <c r="B331" s="3" t="s">
        <v>876</v>
      </c>
      <c r="C331" s="3" t="s">
        <v>919</v>
      </c>
      <c r="D331" s="3" t="s">
        <v>2</v>
      </c>
      <c r="E331" s="3" t="s">
        <v>1126</v>
      </c>
    </row>
    <row r="332" spans="1:5">
      <c r="A332" s="2">
        <v>4980097</v>
      </c>
      <c r="B332" s="3" t="s">
        <v>876</v>
      </c>
      <c r="C332" s="3" t="s">
        <v>919</v>
      </c>
      <c r="D332" s="3" t="s">
        <v>2</v>
      </c>
      <c r="E332" s="3" t="s">
        <v>918</v>
      </c>
    </row>
    <row r="333" spans="1:5">
      <c r="A333" s="2">
        <v>4978097</v>
      </c>
      <c r="B333" s="3" t="s">
        <v>876</v>
      </c>
      <c r="C333" s="3" t="s">
        <v>1097</v>
      </c>
      <c r="D333" s="3" t="s">
        <v>2</v>
      </c>
      <c r="E333" s="3" t="s">
        <v>1672</v>
      </c>
    </row>
    <row r="334" spans="1:5">
      <c r="A334" s="2">
        <v>4977097</v>
      </c>
      <c r="B334" s="3" t="s">
        <v>876</v>
      </c>
      <c r="C334" s="3" t="s">
        <v>1097</v>
      </c>
      <c r="D334" s="3" t="s">
        <v>2</v>
      </c>
      <c r="E334" s="3" t="s">
        <v>1229</v>
      </c>
    </row>
    <row r="335" spans="1:5">
      <c r="A335" s="2">
        <v>4976097</v>
      </c>
      <c r="B335" s="3" t="s">
        <v>876</v>
      </c>
      <c r="C335" s="3" t="s">
        <v>875</v>
      </c>
      <c r="D335" s="3" t="s">
        <v>2</v>
      </c>
      <c r="E335" s="3" t="s">
        <v>1920</v>
      </c>
    </row>
    <row r="336" spans="1:5">
      <c r="A336" s="2">
        <v>4975097</v>
      </c>
      <c r="B336" s="3" t="s">
        <v>876</v>
      </c>
      <c r="C336" s="3" t="s">
        <v>919</v>
      </c>
      <c r="D336" s="3" t="s">
        <v>2</v>
      </c>
      <c r="E336" s="3" t="s">
        <v>2823</v>
      </c>
    </row>
    <row r="337" spans="1:5">
      <c r="A337" s="2">
        <v>4974097</v>
      </c>
      <c r="B337" s="3" t="s">
        <v>876</v>
      </c>
      <c r="C337" s="3" t="s">
        <v>919</v>
      </c>
      <c r="D337" s="3" t="s">
        <v>2</v>
      </c>
      <c r="E337" s="3" t="s">
        <v>1557</v>
      </c>
    </row>
    <row r="338" spans="1:5">
      <c r="A338" s="2">
        <v>4973097</v>
      </c>
      <c r="B338" s="3" t="s">
        <v>876</v>
      </c>
      <c r="C338" s="3" t="s">
        <v>919</v>
      </c>
      <c r="D338" s="3" t="s">
        <v>2</v>
      </c>
      <c r="E338" s="3" t="s">
        <v>1876</v>
      </c>
    </row>
    <row r="339" spans="1:5">
      <c r="A339" s="2">
        <v>4963097</v>
      </c>
      <c r="B339" s="3" t="s">
        <v>876</v>
      </c>
      <c r="C339" s="3" t="s">
        <v>919</v>
      </c>
      <c r="D339" s="3" t="s">
        <v>2</v>
      </c>
      <c r="E339" s="3" t="s">
        <v>1075</v>
      </c>
    </row>
    <row r="340" spans="1:5">
      <c r="A340" s="2">
        <v>4962097</v>
      </c>
      <c r="B340" s="3" t="s">
        <v>2274</v>
      </c>
      <c r="C340" s="3" t="s">
        <v>875</v>
      </c>
      <c r="D340" s="3" t="s">
        <v>7</v>
      </c>
      <c r="E340" s="3" t="s">
        <v>1920</v>
      </c>
    </row>
    <row r="341" spans="1:5">
      <c r="A341" s="2">
        <v>4960097</v>
      </c>
      <c r="B341" s="3" t="s">
        <v>876</v>
      </c>
      <c r="C341" s="3" t="s">
        <v>1097</v>
      </c>
      <c r="D341" s="3" t="s">
        <v>2</v>
      </c>
      <c r="E341" s="3" t="s">
        <v>1492</v>
      </c>
    </row>
    <row r="342" spans="1:5">
      <c r="A342" s="2">
        <v>4959097</v>
      </c>
      <c r="B342" s="3" t="s">
        <v>876</v>
      </c>
      <c r="C342" s="3" t="s">
        <v>1097</v>
      </c>
      <c r="D342" s="3" t="s">
        <v>2</v>
      </c>
      <c r="E342" s="3" t="s">
        <v>1082</v>
      </c>
    </row>
    <row r="343" spans="1:5">
      <c r="A343" s="2">
        <v>4958097</v>
      </c>
      <c r="B343" s="3" t="s">
        <v>876</v>
      </c>
      <c r="C343" s="3" t="s">
        <v>919</v>
      </c>
      <c r="D343" s="3" t="s">
        <v>2</v>
      </c>
      <c r="E343" s="3" t="s">
        <v>1455</v>
      </c>
    </row>
    <row r="344" spans="1:5">
      <c r="A344" s="2">
        <v>4957097</v>
      </c>
      <c r="B344" s="3" t="s">
        <v>876</v>
      </c>
      <c r="C344" s="3" t="s">
        <v>1097</v>
      </c>
      <c r="D344" s="3" t="s">
        <v>2</v>
      </c>
      <c r="E344" s="3" t="s">
        <v>994</v>
      </c>
    </row>
    <row r="345" spans="1:5">
      <c r="A345" s="2">
        <v>4956097</v>
      </c>
      <c r="B345" s="3" t="s">
        <v>876</v>
      </c>
      <c r="C345" s="3" t="s">
        <v>1097</v>
      </c>
      <c r="D345" s="3" t="s">
        <v>2</v>
      </c>
      <c r="E345" s="3" t="s">
        <v>1474</v>
      </c>
    </row>
    <row r="346" spans="1:5">
      <c r="A346" s="2">
        <v>4955097</v>
      </c>
      <c r="B346" s="3" t="s">
        <v>876</v>
      </c>
      <c r="C346" s="3" t="s">
        <v>1097</v>
      </c>
      <c r="D346" s="3" t="s">
        <v>2</v>
      </c>
      <c r="E346" s="3" t="s">
        <v>1205</v>
      </c>
    </row>
    <row r="347" spans="1:5">
      <c r="A347" s="2">
        <v>4954097</v>
      </c>
      <c r="B347" s="3" t="s">
        <v>876</v>
      </c>
      <c r="C347" s="3" t="s">
        <v>1097</v>
      </c>
      <c r="D347" s="3" t="s">
        <v>2</v>
      </c>
      <c r="E347" s="3" t="s">
        <v>947</v>
      </c>
    </row>
    <row r="348" spans="1:5">
      <c r="A348" s="2">
        <v>4953097</v>
      </c>
      <c r="B348" s="3" t="s">
        <v>876</v>
      </c>
      <c r="C348" s="3" t="s">
        <v>919</v>
      </c>
      <c r="D348" s="3" t="s">
        <v>2</v>
      </c>
      <c r="E348" s="3" t="s">
        <v>1462</v>
      </c>
    </row>
    <row r="349" spans="1:5">
      <c r="A349" s="2">
        <v>4952097</v>
      </c>
      <c r="B349" s="3" t="s">
        <v>876</v>
      </c>
      <c r="C349" s="3" t="s">
        <v>919</v>
      </c>
      <c r="D349" s="3" t="s">
        <v>2</v>
      </c>
      <c r="E349" s="3" t="s">
        <v>947</v>
      </c>
    </row>
    <row r="350" spans="1:5">
      <c r="A350" s="2">
        <v>4951097</v>
      </c>
      <c r="B350" s="3" t="s">
        <v>876</v>
      </c>
      <c r="C350" s="3" t="s">
        <v>919</v>
      </c>
      <c r="D350" s="3" t="s">
        <v>2</v>
      </c>
      <c r="E350" s="3" t="s">
        <v>1551</v>
      </c>
    </row>
    <row r="351" spans="1:5">
      <c r="A351" s="2">
        <v>4949097</v>
      </c>
      <c r="B351" s="3" t="s">
        <v>876</v>
      </c>
      <c r="C351" s="3" t="s">
        <v>919</v>
      </c>
      <c r="D351" s="3" t="s">
        <v>2</v>
      </c>
      <c r="E351" s="3" t="s">
        <v>1792</v>
      </c>
    </row>
    <row r="352" spans="1:5">
      <c r="A352" s="2">
        <v>4942097</v>
      </c>
      <c r="B352" s="3" t="s">
        <v>876</v>
      </c>
      <c r="C352" s="3" t="s">
        <v>919</v>
      </c>
      <c r="D352" s="3" t="s">
        <v>2</v>
      </c>
      <c r="E352" s="3" t="s">
        <v>1424</v>
      </c>
    </row>
    <row r="353" spans="1:5">
      <c r="A353" s="2">
        <v>4941097</v>
      </c>
      <c r="B353" s="3" t="s">
        <v>876</v>
      </c>
      <c r="C353" s="3" t="s">
        <v>919</v>
      </c>
      <c r="D353" s="3" t="s">
        <v>2</v>
      </c>
      <c r="E353" s="3" t="s">
        <v>2394</v>
      </c>
    </row>
    <row r="354" spans="1:5">
      <c r="A354" s="2">
        <v>4940097</v>
      </c>
      <c r="B354" s="3" t="s">
        <v>876</v>
      </c>
      <c r="C354" s="3" t="s">
        <v>919</v>
      </c>
      <c r="D354" s="3" t="s">
        <v>2</v>
      </c>
      <c r="E354" s="3" t="s">
        <v>2925</v>
      </c>
    </row>
    <row r="355" spans="1:5">
      <c r="A355" s="2">
        <v>4939097</v>
      </c>
      <c r="B355" s="3" t="s">
        <v>876</v>
      </c>
      <c r="C355" s="3" t="s">
        <v>919</v>
      </c>
      <c r="D355" s="3" t="s">
        <v>2</v>
      </c>
      <c r="E355" s="3" t="s">
        <v>1926</v>
      </c>
    </row>
    <row r="356" spans="1:5">
      <c r="A356" s="2">
        <v>4938097</v>
      </c>
      <c r="B356" s="3" t="s">
        <v>876</v>
      </c>
      <c r="C356" s="3" t="s">
        <v>919</v>
      </c>
      <c r="D356" s="3" t="s">
        <v>2</v>
      </c>
      <c r="E356" s="3" t="s">
        <v>1551</v>
      </c>
    </row>
    <row r="357" spans="1:5">
      <c r="A357" s="2">
        <v>4937097</v>
      </c>
      <c r="B357" s="3" t="s">
        <v>876</v>
      </c>
      <c r="C357" s="3" t="s">
        <v>919</v>
      </c>
      <c r="D357" s="3" t="s">
        <v>2</v>
      </c>
      <c r="E357" s="3" t="s">
        <v>1901</v>
      </c>
    </row>
    <row r="358" spans="1:5">
      <c r="A358" s="2">
        <v>4936097</v>
      </c>
      <c r="B358" s="3" t="s">
        <v>876</v>
      </c>
      <c r="C358" s="3" t="s">
        <v>919</v>
      </c>
      <c r="D358" s="3" t="s">
        <v>2</v>
      </c>
      <c r="E358" s="3" t="s">
        <v>1926</v>
      </c>
    </row>
    <row r="359" spans="1:5">
      <c r="A359" s="2">
        <v>4935097</v>
      </c>
      <c r="B359" s="3" t="s">
        <v>876</v>
      </c>
      <c r="C359" s="3" t="s">
        <v>919</v>
      </c>
      <c r="D359" s="3" t="s">
        <v>2</v>
      </c>
      <c r="E359" s="3" t="s">
        <v>1075</v>
      </c>
    </row>
    <row r="360" spans="1:5">
      <c r="A360" s="2">
        <v>4934097</v>
      </c>
      <c r="B360" s="3" t="s">
        <v>876</v>
      </c>
      <c r="C360" s="3" t="s">
        <v>919</v>
      </c>
      <c r="D360" s="3" t="s">
        <v>2</v>
      </c>
      <c r="E360" s="3" t="s">
        <v>1075</v>
      </c>
    </row>
    <row r="361" spans="1:5">
      <c r="A361" s="2">
        <v>4932097</v>
      </c>
      <c r="B361" s="3" t="s">
        <v>876</v>
      </c>
      <c r="C361" s="3" t="s">
        <v>919</v>
      </c>
      <c r="D361" s="3" t="s">
        <v>2</v>
      </c>
      <c r="E361" s="3" t="s">
        <v>947</v>
      </c>
    </row>
    <row r="362" spans="1:5">
      <c r="A362" s="2">
        <v>4930097</v>
      </c>
      <c r="B362" s="3" t="s">
        <v>876</v>
      </c>
      <c r="C362" s="3" t="s">
        <v>919</v>
      </c>
      <c r="D362" s="3" t="s">
        <v>2</v>
      </c>
      <c r="E362" s="3" t="s">
        <v>2027</v>
      </c>
    </row>
    <row r="363" spans="1:5">
      <c r="A363" s="2">
        <v>4929097</v>
      </c>
      <c r="B363" s="3" t="s">
        <v>876</v>
      </c>
      <c r="C363" s="3" t="s">
        <v>919</v>
      </c>
      <c r="D363" s="3" t="s">
        <v>2</v>
      </c>
      <c r="E363" s="3" t="s">
        <v>2978</v>
      </c>
    </row>
    <row r="364" spans="1:5">
      <c r="A364" s="2">
        <v>4924097</v>
      </c>
      <c r="B364" s="3" t="s">
        <v>2985</v>
      </c>
      <c r="C364" s="3" t="s">
        <v>919</v>
      </c>
      <c r="D364" s="3" t="s">
        <v>2</v>
      </c>
      <c r="E364" s="3" t="s">
        <v>1063</v>
      </c>
    </row>
    <row r="365" spans="1:5">
      <c r="A365" s="2">
        <v>4923097</v>
      </c>
      <c r="B365" s="3" t="s">
        <v>876</v>
      </c>
      <c r="C365" s="3" t="s">
        <v>919</v>
      </c>
      <c r="D365" s="3" t="s">
        <v>2</v>
      </c>
      <c r="E365" s="3" t="s">
        <v>2111</v>
      </c>
    </row>
    <row r="366" spans="1:5">
      <c r="A366" s="2">
        <v>4922097</v>
      </c>
      <c r="B366" s="3" t="s">
        <v>876</v>
      </c>
      <c r="C366" s="3" t="s">
        <v>919</v>
      </c>
      <c r="D366" s="3" t="s">
        <v>2</v>
      </c>
      <c r="E366" s="3" t="s">
        <v>1374</v>
      </c>
    </row>
    <row r="367" spans="1:5">
      <c r="A367" s="2">
        <v>4921097</v>
      </c>
      <c r="B367" s="3" t="s">
        <v>876</v>
      </c>
      <c r="C367" s="3" t="s">
        <v>919</v>
      </c>
      <c r="D367" s="3" t="s">
        <v>2</v>
      </c>
      <c r="E367" s="3" t="s">
        <v>1430</v>
      </c>
    </row>
    <row r="368" spans="1:5">
      <c r="A368" s="2">
        <v>4919097</v>
      </c>
      <c r="B368" s="3" t="s">
        <v>2985</v>
      </c>
      <c r="C368" s="3" t="s">
        <v>875</v>
      </c>
      <c r="D368" s="3" t="s">
        <v>2</v>
      </c>
      <c r="E368" s="3" t="s">
        <v>1235</v>
      </c>
    </row>
    <row r="369" spans="1:5">
      <c r="A369" s="2">
        <v>4915097</v>
      </c>
      <c r="B369" s="3" t="s">
        <v>876</v>
      </c>
      <c r="C369" s="3" t="s">
        <v>1097</v>
      </c>
      <c r="D369" s="3" t="s">
        <v>2</v>
      </c>
      <c r="E369" s="3" t="s">
        <v>1158</v>
      </c>
    </row>
    <row r="370" spans="1:5">
      <c r="A370" s="2">
        <v>4914097</v>
      </c>
      <c r="B370" s="3" t="s">
        <v>876</v>
      </c>
      <c r="C370" s="3" t="s">
        <v>1097</v>
      </c>
      <c r="D370" s="3" t="s">
        <v>2</v>
      </c>
      <c r="E370" s="3" t="s">
        <v>1158</v>
      </c>
    </row>
    <row r="371" spans="1:5">
      <c r="A371" s="2">
        <v>4913097</v>
      </c>
      <c r="B371" s="3" t="s">
        <v>876</v>
      </c>
      <c r="C371" s="3" t="s">
        <v>1097</v>
      </c>
      <c r="D371" s="3" t="s">
        <v>2</v>
      </c>
      <c r="E371" s="3" t="s">
        <v>1177</v>
      </c>
    </row>
    <row r="372" spans="1:5">
      <c r="A372" s="2">
        <v>4912097</v>
      </c>
      <c r="B372" s="3" t="s">
        <v>876</v>
      </c>
      <c r="C372" s="3" t="s">
        <v>1097</v>
      </c>
      <c r="D372" s="3" t="s">
        <v>2</v>
      </c>
      <c r="E372" s="3" t="s">
        <v>1672</v>
      </c>
    </row>
    <row r="373" spans="1:5">
      <c r="A373" s="2">
        <v>4910097</v>
      </c>
      <c r="B373" s="3" t="s">
        <v>876</v>
      </c>
      <c r="C373" s="3" t="s">
        <v>1097</v>
      </c>
      <c r="D373" s="3" t="s">
        <v>2</v>
      </c>
      <c r="E373" s="3" t="s">
        <v>918</v>
      </c>
    </row>
    <row r="374" spans="1:5">
      <c r="A374" s="2">
        <v>4909097</v>
      </c>
      <c r="B374" s="3" t="s">
        <v>876</v>
      </c>
      <c r="C374" s="3" t="s">
        <v>1097</v>
      </c>
      <c r="D374" s="3" t="s">
        <v>2</v>
      </c>
      <c r="E374" s="3" t="s">
        <v>1158</v>
      </c>
    </row>
    <row r="375" spans="1:5">
      <c r="A375" s="2">
        <v>4903097</v>
      </c>
      <c r="B375" s="3" t="s">
        <v>1033</v>
      </c>
      <c r="C375" s="3" t="s">
        <v>875</v>
      </c>
      <c r="D375" s="3" t="s">
        <v>2</v>
      </c>
      <c r="E375" s="3" t="s">
        <v>966</v>
      </c>
    </row>
    <row r="376" spans="1:5">
      <c r="A376" s="2">
        <v>4901097</v>
      </c>
      <c r="B376" s="3" t="s">
        <v>876</v>
      </c>
      <c r="C376" s="3" t="s">
        <v>1097</v>
      </c>
      <c r="D376" s="3" t="s">
        <v>2</v>
      </c>
      <c r="E376" s="3" t="s">
        <v>911</v>
      </c>
    </row>
    <row r="377" spans="1:5">
      <c r="A377" s="2">
        <v>4900097</v>
      </c>
      <c r="B377" s="3" t="s">
        <v>876</v>
      </c>
      <c r="C377" s="3" t="s">
        <v>1097</v>
      </c>
      <c r="D377" s="3" t="s">
        <v>2</v>
      </c>
      <c r="E377" s="3" t="s">
        <v>1229</v>
      </c>
    </row>
    <row r="378" spans="1:5">
      <c r="A378" s="2">
        <v>4898097</v>
      </c>
      <c r="B378" s="3" t="s">
        <v>876</v>
      </c>
      <c r="C378" s="3" t="s">
        <v>1097</v>
      </c>
      <c r="D378" s="3" t="s">
        <v>2</v>
      </c>
      <c r="E378" s="3" t="s">
        <v>1672</v>
      </c>
    </row>
    <row r="379" spans="1:5">
      <c r="A379" s="2">
        <v>4897097</v>
      </c>
      <c r="B379" s="3" t="s">
        <v>876</v>
      </c>
      <c r="C379" s="3" t="s">
        <v>1097</v>
      </c>
      <c r="D379" s="3" t="s">
        <v>2</v>
      </c>
      <c r="E379" s="3" t="s">
        <v>1235</v>
      </c>
    </row>
    <row r="380" spans="1:5">
      <c r="A380" s="2">
        <v>4895097</v>
      </c>
      <c r="B380" s="3" t="s">
        <v>876</v>
      </c>
      <c r="C380" s="3" t="s">
        <v>875</v>
      </c>
      <c r="D380" s="3" t="s">
        <v>7</v>
      </c>
      <c r="E380" s="3" t="s">
        <v>1025</v>
      </c>
    </row>
    <row r="381" spans="1:5">
      <c r="A381" s="2">
        <v>4892097</v>
      </c>
      <c r="B381" s="3" t="s">
        <v>876</v>
      </c>
      <c r="C381" s="3" t="s">
        <v>919</v>
      </c>
      <c r="D381" s="3" t="s">
        <v>2</v>
      </c>
      <c r="E381" s="3" t="s">
        <v>1914</v>
      </c>
    </row>
    <row r="382" spans="1:5">
      <c r="A382" s="2">
        <v>4890097</v>
      </c>
      <c r="B382" s="3" t="s">
        <v>876</v>
      </c>
      <c r="C382" s="3" t="s">
        <v>1097</v>
      </c>
      <c r="D382" s="3" t="s">
        <v>2</v>
      </c>
      <c r="E382" s="3" t="s">
        <v>1056</v>
      </c>
    </row>
    <row r="383" spans="1:5">
      <c r="A383" s="2">
        <v>4889097</v>
      </c>
      <c r="B383" s="3" t="s">
        <v>876</v>
      </c>
      <c r="C383" s="3" t="s">
        <v>1097</v>
      </c>
      <c r="D383" s="3" t="s">
        <v>2</v>
      </c>
      <c r="E383" s="3" t="s">
        <v>918</v>
      </c>
    </row>
    <row r="384" spans="1:5">
      <c r="A384" s="2">
        <v>4888097</v>
      </c>
      <c r="B384" s="3" t="s">
        <v>876</v>
      </c>
      <c r="C384" s="3" t="s">
        <v>1097</v>
      </c>
      <c r="D384" s="3" t="s">
        <v>2</v>
      </c>
      <c r="E384" s="3" t="s">
        <v>1672</v>
      </c>
    </row>
    <row r="385" spans="1:5">
      <c r="A385" s="2">
        <v>4887097</v>
      </c>
      <c r="B385" s="3" t="s">
        <v>876</v>
      </c>
      <c r="C385" s="3" t="s">
        <v>875</v>
      </c>
      <c r="D385" s="3" t="s">
        <v>2</v>
      </c>
      <c r="E385" s="3" t="s">
        <v>1268</v>
      </c>
    </row>
    <row r="386" spans="1:5">
      <c r="A386" s="2">
        <v>4886097</v>
      </c>
      <c r="B386" s="3" t="s">
        <v>876</v>
      </c>
      <c r="C386" s="3" t="s">
        <v>1097</v>
      </c>
      <c r="D386" s="3" t="s">
        <v>2</v>
      </c>
      <c r="E386" s="3" t="s">
        <v>932</v>
      </c>
    </row>
    <row r="387" spans="1:5">
      <c r="A387" s="2">
        <v>4885097</v>
      </c>
      <c r="B387" s="3" t="s">
        <v>876</v>
      </c>
      <c r="C387" s="3" t="s">
        <v>1097</v>
      </c>
      <c r="D387" s="3" t="s">
        <v>2</v>
      </c>
      <c r="E387" s="3" t="s">
        <v>966</v>
      </c>
    </row>
    <row r="388" spans="1:5">
      <c r="A388" s="2">
        <v>4884097</v>
      </c>
      <c r="B388" s="3" t="s">
        <v>876</v>
      </c>
      <c r="C388" s="3" t="s">
        <v>1097</v>
      </c>
      <c r="D388" s="3" t="s">
        <v>2</v>
      </c>
      <c r="E388" s="3" t="s">
        <v>932</v>
      </c>
    </row>
    <row r="389" spans="1:5">
      <c r="A389" s="2">
        <v>4883097</v>
      </c>
      <c r="B389" s="3" t="s">
        <v>876</v>
      </c>
      <c r="C389" s="3" t="s">
        <v>1097</v>
      </c>
      <c r="D389" s="3" t="s">
        <v>2</v>
      </c>
      <c r="E389" s="3" t="s">
        <v>925</v>
      </c>
    </row>
    <row r="390" spans="1:5">
      <c r="A390" s="2">
        <v>4882097</v>
      </c>
      <c r="B390" s="3" t="s">
        <v>876</v>
      </c>
      <c r="C390" s="3" t="s">
        <v>875</v>
      </c>
      <c r="D390" s="3" t="s">
        <v>2</v>
      </c>
      <c r="E390" s="3" t="s">
        <v>972</v>
      </c>
    </row>
    <row r="391" spans="1:5">
      <c r="A391" s="2">
        <v>4881097</v>
      </c>
      <c r="B391" s="3" t="s">
        <v>876</v>
      </c>
      <c r="C391" s="3" t="s">
        <v>1097</v>
      </c>
      <c r="D391" s="3" t="s">
        <v>2</v>
      </c>
      <c r="E391" s="3" t="s">
        <v>1132</v>
      </c>
    </row>
    <row r="392" spans="1:5">
      <c r="A392" s="2">
        <v>4879097</v>
      </c>
      <c r="B392" s="3" t="s">
        <v>876</v>
      </c>
      <c r="C392" s="3" t="s">
        <v>875</v>
      </c>
      <c r="D392" s="3" t="s">
        <v>2</v>
      </c>
      <c r="E392" s="3" t="s">
        <v>1305</v>
      </c>
    </row>
    <row r="393" spans="1:5">
      <c r="A393" s="2">
        <v>4875097</v>
      </c>
      <c r="B393" s="3" t="s">
        <v>876</v>
      </c>
      <c r="C393" s="3" t="s">
        <v>1097</v>
      </c>
      <c r="D393" s="3" t="s">
        <v>76</v>
      </c>
      <c r="E393" s="3" t="s">
        <v>966</v>
      </c>
    </row>
    <row r="394" spans="1:5">
      <c r="A394" s="2">
        <v>4874097</v>
      </c>
      <c r="B394" s="3" t="s">
        <v>876</v>
      </c>
      <c r="C394" s="3" t="s">
        <v>1097</v>
      </c>
      <c r="D394" s="3" t="s">
        <v>76</v>
      </c>
      <c r="E394" s="3" t="s">
        <v>1138</v>
      </c>
    </row>
    <row r="395" spans="1:5">
      <c r="A395" s="2">
        <v>4872097</v>
      </c>
      <c r="B395" s="3" t="s">
        <v>876</v>
      </c>
      <c r="C395" s="3" t="s">
        <v>1097</v>
      </c>
      <c r="D395" s="3" t="s">
        <v>2</v>
      </c>
      <c r="E395" s="3" t="s">
        <v>966</v>
      </c>
    </row>
    <row r="396" spans="1:5">
      <c r="A396" s="2">
        <v>4870097</v>
      </c>
      <c r="B396" s="3" t="s">
        <v>876</v>
      </c>
      <c r="C396" s="3" t="s">
        <v>1097</v>
      </c>
      <c r="D396" s="3" t="s">
        <v>2</v>
      </c>
      <c r="E396" s="3" t="s">
        <v>1177</v>
      </c>
    </row>
    <row r="397" spans="1:5">
      <c r="A397" s="2">
        <v>4868097</v>
      </c>
      <c r="B397" s="3" t="s">
        <v>876</v>
      </c>
      <c r="C397" s="3" t="s">
        <v>1097</v>
      </c>
      <c r="D397" s="3" t="s">
        <v>2</v>
      </c>
      <c r="E397" s="3" t="s">
        <v>1138</v>
      </c>
    </row>
    <row r="398" spans="1:5">
      <c r="A398" s="2">
        <v>4866097</v>
      </c>
      <c r="B398" s="3" t="s">
        <v>876</v>
      </c>
      <c r="C398" s="3" t="s">
        <v>1097</v>
      </c>
      <c r="D398" s="3" t="s">
        <v>2</v>
      </c>
      <c r="E398" s="3" t="s">
        <v>1177</v>
      </c>
    </row>
    <row r="399" spans="1:5">
      <c r="A399" s="2">
        <v>4864097</v>
      </c>
      <c r="B399" s="3" t="s">
        <v>876</v>
      </c>
      <c r="C399" s="3" t="s">
        <v>1097</v>
      </c>
      <c r="D399" s="3" t="s">
        <v>2</v>
      </c>
      <c r="E399" s="3" t="s">
        <v>1126</v>
      </c>
    </row>
    <row r="400" spans="1:5">
      <c r="A400" s="2">
        <v>4862097</v>
      </c>
      <c r="B400" s="3" t="s">
        <v>876</v>
      </c>
      <c r="C400" s="3" t="s">
        <v>1097</v>
      </c>
      <c r="D400" s="3" t="s">
        <v>2</v>
      </c>
      <c r="E400" s="3" t="s">
        <v>1063</v>
      </c>
    </row>
    <row r="401" spans="1:5">
      <c r="A401" s="2">
        <v>4860097</v>
      </c>
      <c r="B401" s="3" t="s">
        <v>876</v>
      </c>
      <c r="C401" s="3" t="s">
        <v>1097</v>
      </c>
      <c r="D401" s="3" t="s">
        <v>2</v>
      </c>
      <c r="E401" s="3" t="s">
        <v>1063</v>
      </c>
    </row>
    <row r="402" spans="1:5">
      <c r="A402" s="2">
        <v>4858097</v>
      </c>
      <c r="B402" s="3" t="s">
        <v>876</v>
      </c>
      <c r="C402" s="3" t="s">
        <v>1097</v>
      </c>
      <c r="D402" s="3" t="s">
        <v>2</v>
      </c>
      <c r="E402" s="3" t="s">
        <v>1126</v>
      </c>
    </row>
    <row r="403" spans="1:5">
      <c r="A403" s="2">
        <v>4856097</v>
      </c>
      <c r="B403" s="3" t="s">
        <v>876</v>
      </c>
      <c r="C403" s="3" t="s">
        <v>1097</v>
      </c>
      <c r="D403" s="3" t="s">
        <v>2</v>
      </c>
      <c r="E403" s="3" t="s">
        <v>1177</v>
      </c>
    </row>
    <row r="404" spans="1:5">
      <c r="A404" s="2">
        <v>4854097</v>
      </c>
      <c r="B404" s="3" t="s">
        <v>876</v>
      </c>
      <c r="C404" s="3" t="s">
        <v>1097</v>
      </c>
      <c r="D404" s="3" t="s">
        <v>2</v>
      </c>
      <c r="E404" s="3" t="s">
        <v>1205</v>
      </c>
    </row>
    <row r="405" spans="1:5">
      <c r="A405" s="2">
        <v>4852097</v>
      </c>
      <c r="B405" s="3" t="s">
        <v>876</v>
      </c>
      <c r="C405" s="3" t="s">
        <v>1097</v>
      </c>
      <c r="D405" s="3" t="s">
        <v>2</v>
      </c>
      <c r="E405" s="3" t="s">
        <v>1138</v>
      </c>
    </row>
    <row r="406" spans="1:5">
      <c r="A406" s="2">
        <v>4850097</v>
      </c>
      <c r="B406" s="3" t="s">
        <v>876</v>
      </c>
      <c r="C406" s="3" t="s">
        <v>1097</v>
      </c>
      <c r="D406" s="3" t="s">
        <v>2</v>
      </c>
      <c r="E406" s="3" t="s">
        <v>1205</v>
      </c>
    </row>
    <row r="407" spans="1:5">
      <c r="A407" s="2">
        <v>4848097</v>
      </c>
      <c r="B407" s="3" t="s">
        <v>876</v>
      </c>
      <c r="C407" s="3" t="s">
        <v>1097</v>
      </c>
      <c r="D407" s="3" t="s">
        <v>2</v>
      </c>
      <c r="E407" s="3" t="s">
        <v>1205</v>
      </c>
    </row>
    <row r="408" spans="1:5">
      <c r="A408" s="2">
        <v>4846097</v>
      </c>
      <c r="B408" s="3" t="s">
        <v>876</v>
      </c>
      <c r="C408" s="3" t="s">
        <v>1097</v>
      </c>
      <c r="D408" s="3" t="s">
        <v>2</v>
      </c>
      <c r="E408" s="3" t="s">
        <v>1138</v>
      </c>
    </row>
    <row r="409" spans="1:5">
      <c r="A409" s="2">
        <v>4844097</v>
      </c>
      <c r="B409" s="3" t="s">
        <v>876</v>
      </c>
      <c r="C409" s="3" t="s">
        <v>1097</v>
      </c>
      <c r="D409" s="3" t="s">
        <v>2</v>
      </c>
      <c r="E409" s="3" t="s">
        <v>1474</v>
      </c>
    </row>
    <row r="410" spans="1:5">
      <c r="A410" s="2">
        <v>4842097</v>
      </c>
      <c r="B410" s="3" t="s">
        <v>876</v>
      </c>
      <c r="C410" s="3" t="s">
        <v>1097</v>
      </c>
      <c r="D410" s="3" t="s">
        <v>2</v>
      </c>
      <c r="E410" s="3" t="s">
        <v>1205</v>
      </c>
    </row>
    <row r="411" spans="1:5">
      <c r="A411" s="2">
        <v>4840097</v>
      </c>
      <c r="B411" s="3" t="s">
        <v>876</v>
      </c>
      <c r="C411" s="3" t="s">
        <v>1097</v>
      </c>
      <c r="D411" s="3" t="s">
        <v>2</v>
      </c>
      <c r="E411" s="3" t="s">
        <v>1177</v>
      </c>
    </row>
    <row r="412" spans="1:5">
      <c r="A412" s="2">
        <v>4838097</v>
      </c>
      <c r="B412" s="3" t="s">
        <v>876</v>
      </c>
      <c r="C412" s="3" t="s">
        <v>1097</v>
      </c>
      <c r="D412" s="3" t="s">
        <v>2</v>
      </c>
      <c r="E412" s="3" t="s">
        <v>1151</v>
      </c>
    </row>
    <row r="413" spans="1:5">
      <c r="A413" s="2">
        <v>4836097</v>
      </c>
      <c r="B413" s="3" t="s">
        <v>876</v>
      </c>
      <c r="C413" s="3" t="s">
        <v>1097</v>
      </c>
      <c r="D413" s="3" t="s">
        <v>2</v>
      </c>
      <c r="E413" s="3" t="s">
        <v>1205</v>
      </c>
    </row>
    <row r="414" spans="1:5">
      <c r="A414" s="2">
        <v>4835097</v>
      </c>
      <c r="B414" s="3" t="s">
        <v>876</v>
      </c>
      <c r="C414" s="3" t="s">
        <v>919</v>
      </c>
      <c r="D414" s="3" t="s">
        <v>2</v>
      </c>
      <c r="E414" s="3" t="s">
        <v>1462</v>
      </c>
    </row>
    <row r="415" spans="1:5">
      <c r="A415" s="2">
        <v>4826097</v>
      </c>
      <c r="B415" s="3" t="s">
        <v>876</v>
      </c>
      <c r="C415" s="3" t="s">
        <v>1097</v>
      </c>
      <c r="D415" s="3" t="s">
        <v>2</v>
      </c>
      <c r="E415" s="3" t="s">
        <v>1474</v>
      </c>
    </row>
    <row r="416" spans="1:5">
      <c r="A416" s="2">
        <v>4822097</v>
      </c>
      <c r="B416" s="3" t="s">
        <v>876</v>
      </c>
      <c r="C416" s="3" t="s">
        <v>1097</v>
      </c>
      <c r="D416" s="3" t="s">
        <v>2</v>
      </c>
      <c r="E416" s="3" t="s">
        <v>1126</v>
      </c>
    </row>
    <row r="417" spans="1:5">
      <c r="A417" s="2">
        <v>4821097</v>
      </c>
      <c r="B417" s="3" t="s">
        <v>876</v>
      </c>
      <c r="C417" s="3" t="s">
        <v>1097</v>
      </c>
      <c r="D417" s="3" t="s">
        <v>2</v>
      </c>
      <c r="E417" s="3" t="s">
        <v>1158</v>
      </c>
    </row>
    <row r="418" spans="1:5">
      <c r="A418" s="2">
        <v>4816097</v>
      </c>
      <c r="B418" s="3" t="s">
        <v>876</v>
      </c>
      <c r="C418" s="3" t="s">
        <v>919</v>
      </c>
      <c r="D418" s="3" t="s">
        <v>2</v>
      </c>
      <c r="E418" s="3" t="s">
        <v>1342</v>
      </c>
    </row>
    <row r="419" spans="1:5">
      <c r="A419" s="2">
        <v>4811097</v>
      </c>
      <c r="B419" s="3" t="s">
        <v>876</v>
      </c>
      <c r="C419" s="3" t="s">
        <v>1097</v>
      </c>
      <c r="D419" s="3" t="s">
        <v>2</v>
      </c>
      <c r="E419" s="3" t="s">
        <v>1177</v>
      </c>
    </row>
    <row r="420" spans="1:5">
      <c r="A420" s="2">
        <v>4807097</v>
      </c>
      <c r="B420" s="3" t="s">
        <v>876</v>
      </c>
      <c r="C420" s="3" t="s">
        <v>919</v>
      </c>
      <c r="D420" s="3" t="s">
        <v>2</v>
      </c>
      <c r="E420" s="3" t="s">
        <v>3296</v>
      </c>
    </row>
    <row r="421" spans="1:5">
      <c r="A421" s="2">
        <v>4806097</v>
      </c>
      <c r="B421" s="3" t="s">
        <v>3304</v>
      </c>
      <c r="C421" s="3" t="s">
        <v>919</v>
      </c>
      <c r="D421" s="3" t="s">
        <v>2</v>
      </c>
      <c r="E421" s="3" t="s">
        <v>3303</v>
      </c>
    </row>
    <row r="422" spans="1:5">
      <c r="A422" s="2">
        <v>4803097</v>
      </c>
      <c r="B422" s="3" t="s">
        <v>876</v>
      </c>
      <c r="C422" s="3" t="s">
        <v>1097</v>
      </c>
      <c r="D422" s="3" t="s">
        <v>2</v>
      </c>
      <c r="E422" s="3" t="s">
        <v>905</v>
      </c>
    </row>
    <row r="423" spans="1:5">
      <c r="A423" s="2">
        <v>4801097</v>
      </c>
      <c r="B423" s="3" t="s">
        <v>876</v>
      </c>
      <c r="C423" s="3" t="s">
        <v>1097</v>
      </c>
      <c r="D423" s="3" t="s">
        <v>2</v>
      </c>
      <c r="E423" s="3" t="s">
        <v>1132</v>
      </c>
    </row>
    <row r="424" spans="1:5">
      <c r="A424" s="2">
        <v>4799097</v>
      </c>
      <c r="B424" s="3" t="s">
        <v>876</v>
      </c>
      <c r="C424" s="3" t="s">
        <v>1097</v>
      </c>
      <c r="D424" s="3" t="s">
        <v>2</v>
      </c>
      <c r="E424" s="3" t="s">
        <v>1126</v>
      </c>
    </row>
    <row r="425" spans="1:5">
      <c r="A425" s="2">
        <v>4797097</v>
      </c>
      <c r="B425" s="3" t="s">
        <v>876</v>
      </c>
      <c r="C425" s="3" t="s">
        <v>1097</v>
      </c>
      <c r="D425" s="3" t="s">
        <v>2</v>
      </c>
      <c r="E425" s="3" t="s">
        <v>994</v>
      </c>
    </row>
    <row r="426" spans="1:5">
      <c r="A426" s="2">
        <v>4795097</v>
      </c>
      <c r="B426" s="3" t="s">
        <v>2511</v>
      </c>
      <c r="C426" s="3" t="s">
        <v>875</v>
      </c>
      <c r="D426" s="3" t="s">
        <v>2</v>
      </c>
      <c r="E426" s="3" t="s">
        <v>1082</v>
      </c>
    </row>
    <row r="427" spans="1:5">
      <c r="A427" s="2">
        <v>4794097</v>
      </c>
      <c r="B427" s="3" t="s">
        <v>876</v>
      </c>
      <c r="C427" s="3" t="s">
        <v>1097</v>
      </c>
      <c r="D427" s="3" t="s">
        <v>2</v>
      </c>
      <c r="E427" s="3" t="s">
        <v>1474</v>
      </c>
    </row>
    <row r="428" spans="1:5">
      <c r="A428" s="2">
        <v>4792097</v>
      </c>
      <c r="B428" s="3" t="s">
        <v>876</v>
      </c>
      <c r="C428" s="3" t="s">
        <v>919</v>
      </c>
      <c r="D428" s="3" t="s">
        <v>2</v>
      </c>
      <c r="E428" s="3" t="s">
        <v>3341</v>
      </c>
    </row>
    <row r="429" spans="1:5">
      <c r="A429" s="2">
        <v>4789097</v>
      </c>
      <c r="B429" s="3" t="s">
        <v>876</v>
      </c>
      <c r="C429" s="3" t="s">
        <v>1097</v>
      </c>
      <c r="D429" s="3" t="s">
        <v>2</v>
      </c>
      <c r="E429" s="3" t="s">
        <v>1342</v>
      </c>
    </row>
    <row r="430" spans="1:5">
      <c r="A430" s="2">
        <v>4787097</v>
      </c>
      <c r="B430" s="3" t="s">
        <v>876</v>
      </c>
      <c r="C430" s="3" t="s">
        <v>1097</v>
      </c>
      <c r="D430" s="3" t="s">
        <v>2</v>
      </c>
      <c r="E430" s="3" t="s">
        <v>1462</v>
      </c>
    </row>
    <row r="431" spans="1:5">
      <c r="A431" s="2">
        <v>4785097</v>
      </c>
      <c r="B431" s="3" t="s">
        <v>876</v>
      </c>
      <c r="C431" s="3" t="s">
        <v>875</v>
      </c>
      <c r="D431" s="3" t="s">
        <v>7</v>
      </c>
      <c r="E431" s="3" t="s">
        <v>2320</v>
      </c>
    </row>
    <row r="432" spans="1:5">
      <c r="A432" s="2">
        <v>4784097</v>
      </c>
      <c r="B432" s="3" t="s">
        <v>876</v>
      </c>
      <c r="C432" s="3" t="s">
        <v>1026</v>
      </c>
      <c r="D432" s="3" t="s">
        <v>2</v>
      </c>
      <c r="E432" s="3" t="s">
        <v>1920</v>
      </c>
    </row>
    <row r="433" spans="1:5">
      <c r="A433" s="2">
        <v>4783097</v>
      </c>
      <c r="B433" s="3" t="s">
        <v>876</v>
      </c>
      <c r="C433" s="3" t="s">
        <v>875</v>
      </c>
      <c r="D433" s="3" t="s">
        <v>2</v>
      </c>
      <c r="E433" s="3" t="s">
        <v>1901</v>
      </c>
    </row>
    <row r="434" spans="1:5">
      <c r="A434" s="2">
        <v>4782097</v>
      </c>
      <c r="B434" s="3" t="s">
        <v>876</v>
      </c>
      <c r="C434" s="3" t="s">
        <v>1097</v>
      </c>
      <c r="D434" s="3" t="s">
        <v>2</v>
      </c>
      <c r="E434" s="3" t="s">
        <v>932</v>
      </c>
    </row>
    <row r="435" spans="1:5">
      <c r="A435" s="2">
        <v>4781097</v>
      </c>
      <c r="B435" s="3" t="s">
        <v>876</v>
      </c>
      <c r="C435" s="3" t="s">
        <v>1097</v>
      </c>
      <c r="D435" s="3" t="s">
        <v>2</v>
      </c>
      <c r="E435" s="3" t="s">
        <v>994</v>
      </c>
    </row>
    <row r="436" spans="1:5">
      <c r="A436" s="2">
        <v>4780097</v>
      </c>
      <c r="B436" s="3" t="s">
        <v>876</v>
      </c>
      <c r="C436" s="3" t="s">
        <v>1097</v>
      </c>
      <c r="D436" s="3" t="s">
        <v>2</v>
      </c>
      <c r="E436" s="3" t="s">
        <v>994</v>
      </c>
    </row>
    <row r="437" spans="1:5">
      <c r="A437" s="2">
        <v>4779097</v>
      </c>
      <c r="B437" s="3" t="s">
        <v>876</v>
      </c>
      <c r="C437" s="3" t="s">
        <v>1097</v>
      </c>
      <c r="D437" s="3" t="s">
        <v>2</v>
      </c>
      <c r="E437" s="3" t="s">
        <v>1177</v>
      </c>
    </row>
    <row r="438" spans="1:5">
      <c r="A438" s="2">
        <v>4778097</v>
      </c>
      <c r="B438" s="3" t="s">
        <v>876</v>
      </c>
      <c r="C438" s="3" t="s">
        <v>1097</v>
      </c>
      <c r="D438" s="3" t="s">
        <v>2</v>
      </c>
      <c r="E438" s="3" t="s">
        <v>918</v>
      </c>
    </row>
    <row r="439" spans="1:5">
      <c r="A439" s="2">
        <v>4777097</v>
      </c>
      <c r="B439" s="3" t="s">
        <v>876</v>
      </c>
      <c r="C439" s="3" t="s">
        <v>1097</v>
      </c>
      <c r="D439" s="3" t="s">
        <v>2</v>
      </c>
      <c r="E439" s="3" t="s">
        <v>1001</v>
      </c>
    </row>
    <row r="440" spans="1:5">
      <c r="A440" s="2">
        <v>4776097</v>
      </c>
      <c r="B440" s="3" t="s">
        <v>876</v>
      </c>
      <c r="C440" s="3" t="s">
        <v>1026</v>
      </c>
      <c r="D440" s="3" t="s">
        <v>2</v>
      </c>
      <c r="E440" s="3" t="s">
        <v>1082</v>
      </c>
    </row>
    <row r="441" spans="1:5">
      <c r="A441" s="2">
        <v>4775097</v>
      </c>
      <c r="B441" s="3" t="s">
        <v>876</v>
      </c>
      <c r="C441" s="3" t="s">
        <v>1097</v>
      </c>
      <c r="D441" s="3" t="s">
        <v>2</v>
      </c>
      <c r="E441" s="3" t="s">
        <v>1096</v>
      </c>
    </row>
    <row r="442" spans="1:5">
      <c r="A442" s="2">
        <v>4774097</v>
      </c>
      <c r="B442" s="3" t="s">
        <v>876</v>
      </c>
      <c r="C442" s="3" t="s">
        <v>1026</v>
      </c>
      <c r="D442" s="3" t="s">
        <v>2</v>
      </c>
      <c r="E442" s="3" t="s">
        <v>1845</v>
      </c>
    </row>
    <row r="443" spans="1:5">
      <c r="A443" s="2">
        <v>4773097</v>
      </c>
      <c r="B443" s="3" t="s">
        <v>876</v>
      </c>
      <c r="C443" s="3" t="s">
        <v>875</v>
      </c>
      <c r="D443" s="3" t="s">
        <v>2</v>
      </c>
      <c r="E443" s="3" t="s">
        <v>1474</v>
      </c>
    </row>
    <row r="444" spans="1:5">
      <c r="A444" s="2">
        <v>4769097</v>
      </c>
      <c r="B444" s="3" t="s">
        <v>876</v>
      </c>
      <c r="C444" s="3" t="s">
        <v>875</v>
      </c>
      <c r="D444" s="3" t="s">
        <v>2</v>
      </c>
      <c r="E444" s="3" t="s">
        <v>1374</v>
      </c>
    </row>
    <row r="445" spans="1:5">
      <c r="A445" s="2">
        <v>4768097</v>
      </c>
      <c r="B445" s="3" t="s">
        <v>876</v>
      </c>
      <c r="C445" s="3" t="s">
        <v>875</v>
      </c>
      <c r="D445" s="3" t="s">
        <v>2</v>
      </c>
      <c r="E445" s="3" t="s">
        <v>911</v>
      </c>
    </row>
    <row r="446" spans="1:5">
      <c r="A446" s="2">
        <v>4766097</v>
      </c>
      <c r="B446" s="3" t="s">
        <v>876</v>
      </c>
      <c r="C446" s="3" t="s">
        <v>875</v>
      </c>
      <c r="D446" s="3" t="s">
        <v>2</v>
      </c>
      <c r="E446" s="3" t="s">
        <v>874</v>
      </c>
    </row>
    <row r="447" spans="1:5">
      <c r="A447" s="2">
        <v>4760097</v>
      </c>
      <c r="B447" s="3" t="s">
        <v>876</v>
      </c>
      <c r="C447" s="3" t="s">
        <v>1097</v>
      </c>
      <c r="D447" s="3" t="s">
        <v>2</v>
      </c>
      <c r="E447" s="3" t="s">
        <v>1063</v>
      </c>
    </row>
    <row r="448" spans="1:5">
      <c r="A448" s="2">
        <v>4759097</v>
      </c>
      <c r="B448" s="3" t="s">
        <v>876</v>
      </c>
      <c r="C448" s="3" t="s">
        <v>1097</v>
      </c>
      <c r="D448" s="3" t="s">
        <v>2</v>
      </c>
      <c r="E448" s="3" t="s">
        <v>898</v>
      </c>
    </row>
    <row r="449" spans="1:5">
      <c r="A449" s="2">
        <v>4758097</v>
      </c>
      <c r="B449" s="3" t="s">
        <v>876</v>
      </c>
      <c r="C449" s="3" t="s">
        <v>1097</v>
      </c>
      <c r="D449" s="3" t="s">
        <v>2</v>
      </c>
      <c r="E449" s="3" t="s">
        <v>1089</v>
      </c>
    </row>
    <row r="450" spans="1:5">
      <c r="A450" s="2">
        <v>4757097</v>
      </c>
      <c r="B450" s="3" t="s">
        <v>876</v>
      </c>
      <c r="C450" s="3" t="s">
        <v>1097</v>
      </c>
      <c r="D450" s="3" t="s">
        <v>2</v>
      </c>
      <c r="E450" s="3" t="s">
        <v>1205</v>
      </c>
    </row>
    <row r="451" spans="1:5">
      <c r="A451" s="2">
        <v>4756097</v>
      </c>
      <c r="B451" s="3" t="s">
        <v>876</v>
      </c>
      <c r="C451" s="3" t="s">
        <v>1097</v>
      </c>
      <c r="D451" s="3" t="s">
        <v>2</v>
      </c>
      <c r="E451" s="3" t="s">
        <v>1205</v>
      </c>
    </row>
    <row r="452" spans="1:5">
      <c r="A452" s="2">
        <v>4755097</v>
      </c>
      <c r="B452" s="3" t="s">
        <v>876</v>
      </c>
      <c r="C452" s="3" t="s">
        <v>875</v>
      </c>
      <c r="D452" s="3" t="s">
        <v>2</v>
      </c>
      <c r="E452" s="3" t="s">
        <v>1126</v>
      </c>
    </row>
    <row r="453" spans="1:5">
      <c r="A453" s="2">
        <v>4749097</v>
      </c>
      <c r="B453" s="3" t="s">
        <v>876</v>
      </c>
      <c r="C453" s="3" t="s">
        <v>1026</v>
      </c>
      <c r="D453" s="3" t="s">
        <v>2</v>
      </c>
      <c r="E453" s="3" t="s">
        <v>953</v>
      </c>
    </row>
    <row r="454" spans="1:5">
      <c r="A454" s="2">
        <v>4745097</v>
      </c>
      <c r="B454" s="3" t="s">
        <v>933</v>
      </c>
      <c r="C454" s="3" t="s">
        <v>875</v>
      </c>
      <c r="D454" s="3" t="s">
        <v>2</v>
      </c>
      <c r="E454" s="3" t="s">
        <v>1492</v>
      </c>
    </row>
    <row r="455" spans="1:5">
      <c r="A455" s="2">
        <v>4744097</v>
      </c>
      <c r="B455" s="3" t="s">
        <v>3304</v>
      </c>
      <c r="C455" s="3" t="s">
        <v>919</v>
      </c>
      <c r="D455" s="3" t="s">
        <v>2</v>
      </c>
      <c r="E455" s="3" t="s">
        <v>3489</v>
      </c>
    </row>
    <row r="456" spans="1:5">
      <c r="A456" s="2">
        <v>4742097</v>
      </c>
      <c r="B456" s="3" t="s">
        <v>876</v>
      </c>
      <c r="C456" s="3" t="s">
        <v>875</v>
      </c>
      <c r="D456" s="3" t="s">
        <v>2</v>
      </c>
      <c r="E456" s="3" t="s">
        <v>972</v>
      </c>
    </row>
    <row r="457" spans="1:5">
      <c r="A457" s="2">
        <v>4741097</v>
      </c>
      <c r="B457" s="3" t="s">
        <v>1033</v>
      </c>
      <c r="C457" s="3" t="s">
        <v>875</v>
      </c>
      <c r="D457" s="3" t="s">
        <v>2</v>
      </c>
      <c r="E457" s="3" t="s">
        <v>1096</v>
      </c>
    </row>
    <row r="458" spans="1:5">
      <c r="A458" s="2">
        <v>4739097</v>
      </c>
      <c r="B458" s="3" t="s">
        <v>876</v>
      </c>
      <c r="C458" s="3" t="s">
        <v>919</v>
      </c>
      <c r="D458" s="3" t="s">
        <v>2</v>
      </c>
      <c r="E458" s="3" t="s">
        <v>3506</v>
      </c>
    </row>
    <row r="459" spans="1:5">
      <c r="A459" s="2">
        <v>4738097</v>
      </c>
      <c r="B459" s="3" t="s">
        <v>876</v>
      </c>
      <c r="C459" s="3" t="s">
        <v>875</v>
      </c>
      <c r="D459" s="3" t="s">
        <v>7</v>
      </c>
      <c r="E459" s="3" t="s">
        <v>1920</v>
      </c>
    </row>
    <row r="460" spans="1:5">
      <c r="A460" s="2">
        <v>4730097</v>
      </c>
      <c r="B460" s="3" t="s">
        <v>876</v>
      </c>
      <c r="C460" s="3" t="s">
        <v>1026</v>
      </c>
      <c r="D460" s="3" t="s">
        <v>2</v>
      </c>
      <c r="E460" s="3" t="s">
        <v>1443</v>
      </c>
    </row>
    <row r="461" spans="1:5">
      <c r="A461" s="2">
        <v>4728097</v>
      </c>
      <c r="B461" s="3" t="s">
        <v>876</v>
      </c>
      <c r="C461" s="3" t="s">
        <v>1026</v>
      </c>
      <c r="D461" s="3" t="s">
        <v>2</v>
      </c>
      <c r="E461" s="3" t="s">
        <v>1492</v>
      </c>
    </row>
    <row r="462" spans="1:5">
      <c r="A462" s="2">
        <v>4723097</v>
      </c>
      <c r="B462" s="3" t="s">
        <v>876</v>
      </c>
      <c r="C462" s="3" t="s">
        <v>1026</v>
      </c>
      <c r="D462" s="3" t="s">
        <v>2</v>
      </c>
      <c r="E462" s="3" t="s">
        <v>972</v>
      </c>
    </row>
    <row r="463" spans="1:5">
      <c r="A463" s="2">
        <v>4722097</v>
      </c>
      <c r="B463" s="3" t="s">
        <v>876</v>
      </c>
      <c r="C463" s="3" t="s">
        <v>875</v>
      </c>
      <c r="D463" s="3" t="s">
        <v>2</v>
      </c>
      <c r="E463" s="3" t="s">
        <v>2320</v>
      </c>
    </row>
    <row r="464" spans="1:5">
      <c r="A464" s="2">
        <v>4719097</v>
      </c>
      <c r="B464" s="3" t="s">
        <v>876</v>
      </c>
      <c r="C464" s="3" t="s">
        <v>1026</v>
      </c>
      <c r="D464" s="3" t="s">
        <v>2</v>
      </c>
      <c r="E464" s="3" t="s">
        <v>1235</v>
      </c>
    </row>
    <row r="465" spans="1:5">
      <c r="A465" s="2">
        <v>4718097</v>
      </c>
      <c r="B465" s="3" t="s">
        <v>876</v>
      </c>
      <c r="C465" s="3" t="s">
        <v>1026</v>
      </c>
      <c r="D465" s="3" t="s">
        <v>2</v>
      </c>
      <c r="E465" s="3" t="s">
        <v>1235</v>
      </c>
    </row>
    <row r="466" spans="1:5">
      <c r="A466" s="2">
        <v>4717097</v>
      </c>
      <c r="B466" s="3" t="s">
        <v>876</v>
      </c>
      <c r="C466" s="3" t="s">
        <v>875</v>
      </c>
      <c r="D466" s="3" t="s">
        <v>7</v>
      </c>
      <c r="E466" s="3" t="s">
        <v>911</v>
      </c>
    </row>
    <row r="467" spans="1:5">
      <c r="A467" s="2">
        <v>4716097</v>
      </c>
      <c r="B467" s="3" t="s">
        <v>876</v>
      </c>
      <c r="C467" s="3" t="s">
        <v>875</v>
      </c>
      <c r="D467" s="3" t="s">
        <v>2</v>
      </c>
      <c r="E467" s="3" t="s">
        <v>2320</v>
      </c>
    </row>
    <row r="468" spans="1:5">
      <c r="A468" s="2">
        <v>4715097</v>
      </c>
      <c r="B468" s="3" t="s">
        <v>876</v>
      </c>
      <c r="C468" s="3" t="s">
        <v>1026</v>
      </c>
      <c r="D468" s="3" t="s">
        <v>2</v>
      </c>
      <c r="E468" s="3" t="s">
        <v>1443</v>
      </c>
    </row>
    <row r="469" spans="1:5">
      <c r="A469" s="2">
        <v>4713097</v>
      </c>
      <c r="B469" s="3" t="s">
        <v>876</v>
      </c>
      <c r="C469" s="3" t="s">
        <v>1026</v>
      </c>
      <c r="D469" s="3" t="s">
        <v>2</v>
      </c>
      <c r="E469" s="3" t="s">
        <v>1268</v>
      </c>
    </row>
    <row r="470" spans="1:5">
      <c r="A470" s="2">
        <v>4705097</v>
      </c>
      <c r="B470" s="3" t="s">
        <v>876</v>
      </c>
      <c r="C470" s="3" t="s">
        <v>875</v>
      </c>
      <c r="D470" s="3" t="s">
        <v>2</v>
      </c>
      <c r="E470" s="3" t="s">
        <v>1025</v>
      </c>
    </row>
    <row r="471" spans="1:5">
      <c r="A471" s="2">
        <v>4704097</v>
      </c>
      <c r="B471" s="3" t="s">
        <v>876</v>
      </c>
      <c r="C471" s="3" t="s">
        <v>875</v>
      </c>
      <c r="D471" s="3" t="s">
        <v>2</v>
      </c>
      <c r="E471" s="3" t="s">
        <v>1937</v>
      </c>
    </row>
    <row r="472" spans="1:5">
      <c r="A472" s="2">
        <v>4697097</v>
      </c>
      <c r="B472" s="3" t="s">
        <v>876</v>
      </c>
      <c r="C472" s="3" t="s">
        <v>1026</v>
      </c>
      <c r="D472" s="3" t="s">
        <v>2</v>
      </c>
      <c r="E472" s="3" t="s">
        <v>1937</v>
      </c>
    </row>
    <row r="473" spans="1:5">
      <c r="A473" s="2">
        <v>4693097</v>
      </c>
      <c r="B473" s="3" t="s">
        <v>876</v>
      </c>
      <c r="C473" s="3" t="s">
        <v>875</v>
      </c>
      <c r="D473" s="3" t="s">
        <v>2</v>
      </c>
      <c r="E473" s="3" t="s">
        <v>1025</v>
      </c>
    </row>
    <row r="474" spans="1:5">
      <c r="A474" s="2">
        <v>4692097</v>
      </c>
      <c r="B474" s="3" t="s">
        <v>876</v>
      </c>
      <c r="C474" s="3" t="s">
        <v>875</v>
      </c>
      <c r="D474" s="3" t="s">
        <v>7</v>
      </c>
      <c r="E474" s="3" t="s">
        <v>953</v>
      </c>
    </row>
    <row r="475" spans="1:5">
      <c r="A475" s="2">
        <v>4690097</v>
      </c>
      <c r="B475" s="3" t="s">
        <v>876</v>
      </c>
      <c r="C475" s="3" t="s">
        <v>1026</v>
      </c>
      <c r="D475" s="3" t="s">
        <v>2</v>
      </c>
      <c r="E475" s="3" t="s">
        <v>1025</v>
      </c>
    </row>
    <row r="476" spans="1:5">
      <c r="A476" s="2">
        <v>4685097</v>
      </c>
      <c r="B476" s="3" t="s">
        <v>876</v>
      </c>
      <c r="C476" s="3" t="s">
        <v>875</v>
      </c>
      <c r="D476" s="3" t="s">
        <v>7</v>
      </c>
      <c r="E476" s="3" t="s">
        <v>918</v>
      </c>
    </row>
    <row r="477" spans="1:5">
      <c r="A477" s="2">
        <v>4679097</v>
      </c>
      <c r="B477" s="3" t="s">
        <v>876</v>
      </c>
      <c r="C477" s="3" t="s">
        <v>1026</v>
      </c>
      <c r="D477" s="3" t="s">
        <v>2</v>
      </c>
      <c r="E477" s="3" t="s">
        <v>953</v>
      </c>
    </row>
    <row r="478" spans="1:5">
      <c r="A478" s="2">
        <v>4677097</v>
      </c>
      <c r="B478" s="3" t="s">
        <v>876</v>
      </c>
      <c r="C478" s="3" t="s">
        <v>875</v>
      </c>
      <c r="D478" s="3" t="s">
        <v>2</v>
      </c>
      <c r="E478" s="3" t="s">
        <v>1937</v>
      </c>
    </row>
    <row r="479" spans="1:5">
      <c r="A479" s="2">
        <v>4676097</v>
      </c>
      <c r="B479" s="3" t="s">
        <v>876</v>
      </c>
      <c r="C479" s="3" t="s">
        <v>1026</v>
      </c>
      <c r="D479" s="3" t="s">
        <v>2</v>
      </c>
      <c r="E479" s="3" t="s">
        <v>1492</v>
      </c>
    </row>
    <row r="480" spans="1:5">
      <c r="A480" s="2">
        <v>4675097</v>
      </c>
      <c r="B480" s="3" t="s">
        <v>876</v>
      </c>
      <c r="C480" s="3" t="s">
        <v>1026</v>
      </c>
      <c r="D480" s="3" t="s">
        <v>2</v>
      </c>
      <c r="E480" s="3" t="s">
        <v>972</v>
      </c>
    </row>
    <row r="481" spans="1:5">
      <c r="A481" s="2">
        <v>4674097</v>
      </c>
      <c r="B481" s="3" t="s">
        <v>876</v>
      </c>
      <c r="C481" s="3" t="s">
        <v>875</v>
      </c>
      <c r="D481" s="3" t="s">
        <v>2</v>
      </c>
      <c r="E481" s="3" t="s">
        <v>1056</v>
      </c>
    </row>
    <row r="482" spans="1:5">
      <c r="A482" s="2">
        <v>4670097</v>
      </c>
      <c r="B482" s="3" t="s">
        <v>1033</v>
      </c>
      <c r="C482" s="3" t="s">
        <v>1026</v>
      </c>
      <c r="D482" s="3" t="s">
        <v>2</v>
      </c>
      <c r="E482" s="3" t="s">
        <v>1443</v>
      </c>
    </row>
  </sheetData>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5</vt:i4>
      </vt:variant>
    </vt:vector>
  </HeadingPairs>
  <TitlesOfParts>
    <vt:vector size="5" baseType="lpstr">
      <vt:lpstr>Sheet1</vt:lpstr>
      <vt:lpstr>Sheet2</vt:lpstr>
      <vt:lpstr>Sheet3</vt:lpstr>
      <vt:lpstr>Sheet5</vt:lpstr>
      <vt:lpstr>Sheet6</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Berliana Elfada</dc:creator>
  <cp:lastModifiedBy>ASUS</cp:lastModifiedBy>
  <dcterms:created xsi:type="dcterms:W3CDTF">2022-04-25T12:15:00Z</dcterms:created>
  <dcterms:modified xsi:type="dcterms:W3CDTF">2022-05-15T10:22:02Z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BD415990727A42D0BE4302C06E16FF23</vt:lpwstr>
  </property>
  <property fmtid="{D5CDD505-2E9C-101B-9397-08002B2CF9AE}" pid="3" name="KSOProductBuildVer">
    <vt:lpwstr>1033-11.2.0.11130</vt:lpwstr>
  </property>
</Properties>
</file>